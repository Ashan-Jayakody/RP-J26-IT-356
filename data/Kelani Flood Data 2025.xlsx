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025 Nov Flood\"/>
    </mc:Choice>
  </mc:AlternateContent>
  <xr:revisionPtr revIDLastSave="0" documentId="13_ncr:1_{179370E1-9F60-4AF0-AA80-5E5759B62747}" xr6:coauthVersionLast="47" xr6:coauthVersionMax="47" xr10:uidLastSave="{00000000-0000-0000-0000-000000000000}"/>
  <bookViews>
    <workbookView xWindow="5760" yWindow="3720" windowWidth="17280" windowHeight="9960" xr2:uid="{142187B3-BCA6-4A97-94FE-A3DA79FB59BF}"/>
  </bookViews>
  <sheets>
    <sheet name="WL &amp; Q" sheetId="1" r:id="rId1"/>
    <sheet name="RF" sheetId="2" r:id="rId2"/>
    <sheet name="Daily RF" sheetId="4" r:id="rId3"/>
    <sheet name="Hanwella" sheetId="3" r:id="rId4"/>
    <sheet name="Glencourse" sheetId="5" r:id="rId5"/>
    <sheet name="Kithulgala" sheetId="7" r:id="rId6"/>
    <sheet name="Holombuwa" sheetId="8" r:id="rId7"/>
    <sheet name="Deraniyagala" sheetId="9" r:id="rId8"/>
    <sheet name="Norwoo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7" i="10" l="1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G5" i="1"/>
  <c r="M5" i="1"/>
  <c r="P5" i="1"/>
  <c r="J5" i="1"/>
  <c r="S5" i="1"/>
  <c r="D5" i="1"/>
</calcChain>
</file>

<file path=xl/sharedStrings.xml><?xml version="1.0" encoding="utf-8"?>
<sst xmlns="http://schemas.openxmlformats.org/spreadsheetml/2006/main" count="131" uniqueCount="32">
  <si>
    <t>N'Street</t>
  </si>
  <si>
    <t>Hanwella</t>
  </si>
  <si>
    <t>Glencourse</t>
  </si>
  <si>
    <t>Kithulgala</t>
  </si>
  <si>
    <t>Holombuwa</t>
  </si>
  <si>
    <t>Deraniyagala</t>
  </si>
  <si>
    <t>Norwood</t>
  </si>
  <si>
    <t>WL (ft)</t>
  </si>
  <si>
    <t>WL (m)</t>
  </si>
  <si>
    <r>
      <t>Q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s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</si>
  <si>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t>2025 Kelani Flood</t>
  </si>
  <si>
    <t>RF</t>
  </si>
  <si>
    <t>Station Name</t>
  </si>
  <si>
    <t>NA</t>
  </si>
  <si>
    <t>Castlereigh(CEB)</t>
  </si>
  <si>
    <t>Norton(CEB)</t>
  </si>
  <si>
    <t>Maussakelle(CEB)</t>
  </si>
  <si>
    <t>Canyon(CEB)</t>
  </si>
  <si>
    <t>Laxapana(CEB)</t>
  </si>
  <si>
    <t>Alert</t>
  </si>
  <si>
    <t>Minor</t>
  </si>
  <si>
    <t>Major</t>
  </si>
  <si>
    <t>No 01</t>
  </si>
  <si>
    <t>No 02</t>
  </si>
  <si>
    <t>No 03</t>
  </si>
  <si>
    <t>No 04</t>
  </si>
  <si>
    <t>Range</t>
  </si>
  <si>
    <t>Colombo (Irrigation)</t>
  </si>
  <si>
    <t>Hourly Water Level &amp; Discharges</t>
  </si>
  <si>
    <t>Hourly Rainfall in mm</t>
  </si>
  <si>
    <t>Daily Rainfall in mm</t>
  </si>
  <si>
    <t>RF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</si>
</sst>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0" xfId="0" applyFont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5" fontId="1" fillId="0" borderId="3" xfId="0" applyNumberFormat="1" applyFont="1" applyBorder="1"/>
    <xf numFmtId="0" fontId="0" fillId="0" borderId="1" xfId="0" applyBorder="1"/>
    <xf numFmtId="2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Hanwella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Hanwella!$D$3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Hanwella!$D$4:$D$267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22.8</c:v>
                </c:pt>
                <c:pt idx="16">
                  <c:v>1.3</c:v>
                </c:pt>
                <c:pt idx="17">
                  <c:v>2.5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1.2</c:v>
                </c:pt>
                <c:pt idx="55">
                  <c:v>0.5</c:v>
                </c:pt>
                <c:pt idx="56">
                  <c:v>0.2</c:v>
                </c:pt>
                <c:pt idx="57">
                  <c:v>0.5</c:v>
                </c:pt>
                <c:pt idx="58">
                  <c:v>1</c:v>
                </c:pt>
                <c:pt idx="59">
                  <c:v>1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1.7</c:v>
                </c:pt>
                <c:pt idx="64">
                  <c:v>1</c:v>
                </c:pt>
                <c:pt idx="65">
                  <c:v>0.7</c:v>
                </c:pt>
                <c:pt idx="66">
                  <c:v>0.8</c:v>
                </c:pt>
                <c:pt idx="67">
                  <c:v>1</c:v>
                </c:pt>
                <c:pt idx="68">
                  <c:v>0.8</c:v>
                </c:pt>
                <c:pt idx="69">
                  <c:v>4.2</c:v>
                </c:pt>
                <c:pt idx="70">
                  <c:v>6.5</c:v>
                </c:pt>
                <c:pt idx="71">
                  <c:v>4</c:v>
                </c:pt>
                <c:pt idx="72">
                  <c:v>2.5</c:v>
                </c:pt>
                <c:pt idx="73">
                  <c:v>2.8</c:v>
                </c:pt>
                <c:pt idx="74">
                  <c:v>7.6</c:v>
                </c:pt>
                <c:pt idx="75">
                  <c:v>2.5</c:v>
                </c:pt>
                <c:pt idx="76">
                  <c:v>1.6</c:v>
                </c:pt>
                <c:pt idx="77">
                  <c:v>0.5</c:v>
                </c:pt>
                <c:pt idx="78">
                  <c:v>2</c:v>
                </c:pt>
                <c:pt idx="79">
                  <c:v>2.9</c:v>
                </c:pt>
                <c:pt idx="80">
                  <c:v>4</c:v>
                </c:pt>
                <c:pt idx="81">
                  <c:v>3</c:v>
                </c:pt>
                <c:pt idx="82">
                  <c:v>2</c:v>
                </c:pt>
                <c:pt idx="83">
                  <c:v>2.5</c:v>
                </c:pt>
                <c:pt idx="84">
                  <c:v>1.8</c:v>
                </c:pt>
                <c:pt idx="85">
                  <c:v>0.7</c:v>
                </c:pt>
                <c:pt idx="86">
                  <c:v>0</c:v>
                </c:pt>
                <c:pt idx="87">
                  <c:v>1.2</c:v>
                </c:pt>
                <c:pt idx="88">
                  <c:v>2</c:v>
                </c:pt>
                <c:pt idx="89">
                  <c:v>0.5</c:v>
                </c:pt>
                <c:pt idx="90">
                  <c:v>4</c:v>
                </c:pt>
                <c:pt idx="91">
                  <c:v>6.8</c:v>
                </c:pt>
                <c:pt idx="92">
                  <c:v>5.7</c:v>
                </c:pt>
                <c:pt idx="93">
                  <c:v>3.7</c:v>
                </c:pt>
                <c:pt idx="94">
                  <c:v>2.5</c:v>
                </c:pt>
                <c:pt idx="95">
                  <c:v>12.4</c:v>
                </c:pt>
                <c:pt idx="96">
                  <c:v>16</c:v>
                </c:pt>
                <c:pt idx="97">
                  <c:v>12.4</c:v>
                </c:pt>
                <c:pt idx="98">
                  <c:v>12.1</c:v>
                </c:pt>
                <c:pt idx="99">
                  <c:v>28.7</c:v>
                </c:pt>
                <c:pt idx="100">
                  <c:v>13</c:v>
                </c:pt>
                <c:pt idx="101">
                  <c:v>9</c:v>
                </c:pt>
                <c:pt idx="102">
                  <c:v>17.899999999999999</c:v>
                </c:pt>
                <c:pt idx="103">
                  <c:v>25</c:v>
                </c:pt>
                <c:pt idx="104">
                  <c:v>12.6</c:v>
                </c:pt>
                <c:pt idx="105">
                  <c:v>8.1</c:v>
                </c:pt>
                <c:pt idx="106">
                  <c:v>4</c:v>
                </c:pt>
                <c:pt idx="107">
                  <c:v>6.4</c:v>
                </c:pt>
                <c:pt idx="108">
                  <c:v>3.4</c:v>
                </c:pt>
                <c:pt idx="109">
                  <c:v>1.5</c:v>
                </c:pt>
                <c:pt idx="110">
                  <c:v>2</c:v>
                </c:pt>
                <c:pt idx="111">
                  <c:v>3.5</c:v>
                </c:pt>
                <c:pt idx="112">
                  <c:v>2.6</c:v>
                </c:pt>
                <c:pt idx="113">
                  <c:v>0</c:v>
                </c:pt>
                <c:pt idx="114">
                  <c:v>1.5</c:v>
                </c:pt>
                <c:pt idx="115">
                  <c:v>2.6</c:v>
                </c:pt>
                <c:pt idx="116">
                  <c:v>2.5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3.1</c:v>
                </c:pt>
                <c:pt idx="257">
                  <c:v>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F7D-80DF-4BC6AF79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Hanwella!$B$3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Hanwella!$A$4:$A$267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Hanwella!$B$4:$B$267</c:f>
              <c:numCache>
                <c:formatCode>0.00</c:formatCode>
                <c:ptCount val="264"/>
                <c:pt idx="0">
                  <c:v>2.2999999999999998</c:v>
                </c:pt>
                <c:pt idx="1">
                  <c:v>2.3199999999999998</c:v>
                </c:pt>
                <c:pt idx="2">
                  <c:v>2.38</c:v>
                </c:pt>
                <c:pt idx="3">
                  <c:v>2.6</c:v>
                </c:pt>
                <c:pt idx="4">
                  <c:v>2.84</c:v>
                </c:pt>
                <c:pt idx="5">
                  <c:v>2.96</c:v>
                </c:pt>
                <c:pt idx="6">
                  <c:v>3.09</c:v>
                </c:pt>
                <c:pt idx="7">
                  <c:v>3.14</c:v>
                </c:pt>
                <c:pt idx="8">
                  <c:v>3.15</c:v>
                </c:pt>
                <c:pt idx="9">
                  <c:v>3.12</c:v>
                </c:pt>
                <c:pt idx="10">
                  <c:v>3.08</c:v>
                </c:pt>
                <c:pt idx="11">
                  <c:v>2.97</c:v>
                </c:pt>
                <c:pt idx="12">
                  <c:v>2.89</c:v>
                </c:pt>
                <c:pt idx="13">
                  <c:v>2.81</c:v>
                </c:pt>
                <c:pt idx="14">
                  <c:v>2.74</c:v>
                </c:pt>
                <c:pt idx="15">
                  <c:v>2.67</c:v>
                </c:pt>
                <c:pt idx="16">
                  <c:v>2.6</c:v>
                </c:pt>
                <c:pt idx="17">
                  <c:v>2.56</c:v>
                </c:pt>
                <c:pt idx="18">
                  <c:v>2.54</c:v>
                </c:pt>
                <c:pt idx="19">
                  <c:v>2.54</c:v>
                </c:pt>
                <c:pt idx="20">
                  <c:v>2.56</c:v>
                </c:pt>
                <c:pt idx="21">
                  <c:v>2.63</c:v>
                </c:pt>
                <c:pt idx="22">
                  <c:v>2.71</c:v>
                </c:pt>
                <c:pt idx="23">
                  <c:v>2.8</c:v>
                </c:pt>
                <c:pt idx="24">
                  <c:v>2.93</c:v>
                </c:pt>
                <c:pt idx="25">
                  <c:v>3.05</c:v>
                </c:pt>
                <c:pt idx="26">
                  <c:v>3.12</c:v>
                </c:pt>
                <c:pt idx="27">
                  <c:v>3.14</c:v>
                </c:pt>
                <c:pt idx="28">
                  <c:v>3.14</c:v>
                </c:pt>
                <c:pt idx="29">
                  <c:v>3.11</c:v>
                </c:pt>
                <c:pt idx="30">
                  <c:v>3.04</c:v>
                </c:pt>
                <c:pt idx="31">
                  <c:v>2.95</c:v>
                </c:pt>
                <c:pt idx="32">
                  <c:v>2.89</c:v>
                </c:pt>
                <c:pt idx="33">
                  <c:v>2.82</c:v>
                </c:pt>
                <c:pt idx="34">
                  <c:v>2.75</c:v>
                </c:pt>
                <c:pt idx="35">
                  <c:v>2.69</c:v>
                </c:pt>
                <c:pt idx="36">
                  <c:v>2.63</c:v>
                </c:pt>
                <c:pt idx="37">
                  <c:v>2.58</c:v>
                </c:pt>
                <c:pt idx="38">
                  <c:v>2.52</c:v>
                </c:pt>
                <c:pt idx="39">
                  <c:v>2.4900000000000002</c:v>
                </c:pt>
                <c:pt idx="40">
                  <c:v>2.42</c:v>
                </c:pt>
                <c:pt idx="41">
                  <c:v>2.38</c:v>
                </c:pt>
                <c:pt idx="42">
                  <c:v>2.34</c:v>
                </c:pt>
                <c:pt idx="43">
                  <c:v>2.29</c:v>
                </c:pt>
                <c:pt idx="44">
                  <c:v>2.2599999999999998</c:v>
                </c:pt>
                <c:pt idx="45">
                  <c:v>2.21</c:v>
                </c:pt>
                <c:pt idx="46">
                  <c:v>2.1800000000000002</c:v>
                </c:pt>
                <c:pt idx="47">
                  <c:v>2.15</c:v>
                </c:pt>
                <c:pt idx="48">
                  <c:v>2.11</c:v>
                </c:pt>
                <c:pt idx="49">
                  <c:v>2.09</c:v>
                </c:pt>
                <c:pt idx="50">
                  <c:v>2.09</c:v>
                </c:pt>
                <c:pt idx="51">
                  <c:v>2.09</c:v>
                </c:pt>
                <c:pt idx="52">
                  <c:v>2.1</c:v>
                </c:pt>
                <c:pt idx="53">
                  <c:v>2.12</c:v>
                </c:pt>
                <c:pt idx="54">
                  <c:v>2.14</c:v>
                </c:pt>
                <c:pt idx="55">
                  <c:v>2.15</c:v>
                </c:pt>
                <c:pt idx="56">
                  <c:v>2.16</c:v>
                </c:pt>
                <c:pt idx="57">
                  <c:v>2.17</c:v>
                </c:pt>
                <c:pt idx="58">
                  <c:v>2.1800000000000002</c:v>
                </c:pt>
                <c:pt idx="59">
                  <c:v>2.19</c:v>
                </c:pt>
                <c:pt idx="60">
                  <c:v>2.21</c:v>
                </c:pt>
                <c:pt idx="61">
                  <c:v>2.2400000000000002</c:v>
                </c:pt>
                <c:pt idx="62">
                  <c:v>2.2799999999999998</c:v>
                </c:pt>
                <c:pt idx="63">
                  <c:v>2.33</c:v>
                </c:pt>
                <c:pt idx="64">
                  <c:v>2.37</c:v>
                </c:pt>
                <c:pt idx="65">
                  <c:v>2.4</c:v>
                </c:pt>
                <c:pt idx="66">
                  <c:v>2.44</c:v>
                </c:pt>
                <c:pt idx="67">
                  <c:v>2.5</c:v>
                </c:pt>
                <c:pt idx="68">
                  <c:v>2.57</c:v>
                </c:pt>
                <c:pt idx="69">
                  <c:v>2.63</c:v>
                </c:pt>
                <c:pt idx="70">
                  <c:v>2.68</c:v>
                </c:pt>
                <c:pt idx="71">
                  <c:v>2.73</c:v>
                </c:pt>
                <c:pt idx="72">
                  <c:v>2.8</c:v>
                </c:pt>
                <c:pt idx="73">
                  <c:v>2.88</c:v>
                </c:pt>
                <c:pt idx="74">
                  <c:v>2.98</c:v>
                </c:pt>
                <c:pt idx="75">
                  <c:v>3.1</c:v>
                </c:pt>
                <c:pt idx="76">
                  <c:v>3.36</c:v>
                </c:pt>
                <c:pt idx="77">
                  <c:v>3.67</c:v>
                </c:pt>
                <c:pt idx="78">
                  <c:v>4.0199999999999996</c:v>
                </c:pt>
                <c:pt idx="79">
                  <c:v>4.34</c:v>
                </c:pt>
                <c:pt idx="80">
                  <c:v>4.6399999999999997</c:v>
                </c:pt>
                <c:pt idx="81">
                  <c:v>4.9000000000000004</c:v>
                </c:pt>
                <c:pt idx="82">
                  <c:v>5.14</c:v>
                </c:pt>
                <c:pt idx="83">
                  <c:v>5.35</c:v>
                </c:pt>
                <c:pt idx="84">
                  <c:v>5.54</c:v>
                </c:pt>
                <c:pt idx="85">
                  <c:v>5.72</c:v>
                </c:pt>
                <c:pt idx="86">
                  <c:v>5.88</c:v>
                </c:pt>
                <c:pt idx="87">
                  <c:v>6.05</c:v>
                </c:pt>
                <c:pt idx="88">
                  <c:v>6.17</c:v>
                </c:pt>
                <c:pt idx="89">
                  <c:v>6.27</c:v>
                </c:pt>
                <c:pt idx="90">
                  <c:v>6.39</c:v>
                </c:pt>
                <c:pt idx="91">
                  <c:v>6.5</c:v>
                </c:pt>
                <c:pt idx="92">
                  <c:v>6.58</c:v>
                </c:pt>
                <c:pt idx="93">
                  <c:v>6.69</c:v>
                </c:pt>
                <c:pt idx="94">
                  <c:v>6.82</c:v>
                </c:pt>
                <c:pt idx="95">
                  <c:v>6.95</c:v>
                </c:pt>
                <c:pt idx="96">
                  <c:v>7.16</c:v>
                </c:pt>
                <c:pt idx="97">
                  <c:v>7.3</c:v>
                </c:pt>
                <c:pt idx="98">
                  <c:v>7.48</c:v>
                </c:pt>
                <c:pt idx="99">
                  <c:v>7.7</c:v>
                </c:pt>
                <c:pt idx="100">
                  <c:v>7.86</c:v>
                </c:pt>
                <c:pt idx="101">
                  <c:v>8.02</c:v>
                </c:pt>
                <c:pt idx="102">
                  <c:v>8.1999999999999993</c:v>
                </c:pt>
                <c:pt idx="103">
                  <c:v>8.3699999999999992</c:v>
                </c:pt>
                <c:pt idx="104">
                  <c:v>8.59</c:v>
                </c:pt>
                <c:pt idx="105">
                  <c:v>8.7799999999999994</c:v>
                </c:pt>
                <c:pt idx="106">
                  <c:v>8.9499999999999993</c:v>
                </c:pt>
                <c:pt idx="107">
                  <c:v>9.15</c:v>
                </c:pt>
                <c:pt idx="108">
                  <c:v>9.3000000000000007</c:v>
                </c:pt>
                <c:pt idx="109">
                  <c:v>9.43</c:v>
                </c:pt>
                <c:pt idx="110">
                  <c:v>9.5399999999999991</c:v>
                </c:pt>
                <c:pt idx="111">
                  <c:v>9.6199999999999992</c:v>
                </c:pt>
                <c:pt idx="112">
                  <c:v>9.68</c:v>
                </c:pt>
                <c:pt idx="113">
                  <c:v>9.74</c:v>
                </c:pt>
                <c:pt idx="114">
                  <c:v>9.82</c:v>
                </c:pt>
                <c:pt idx="115">
                  <c:v>9.9</c:v>
                </c:pt>
                <c:pt idx="116">
                  <c:v>9.98</c:v>
                </c:pt>
                <c:pt idx="117">
                  <c:v>10.01</c:v>
                </c:pt>
                <c:pt idx="118">
                  <c:v>10.07</c:v>
                </c:pt>
                <c:pt idx="119">
                  <c:v>10.15</c:v>
                </c:pt>
                <c:pt idx="120">
                  <c:v>10.19</c:v>
                </c:pt>
                <c:pt idx="121">
                  <c:v>10.24</c:v>
                </c:pt>
                <c:pt idx="122">
                  <c:v>10.31</c:v>
                </c:pt>
                <c:pt idx="123">
                  <c:v>10.38</c:v>
                </c:pt>
                <c:pt idx="124">
                  <c:v>10.41</c:v>
                </c:pt>
                <c:pt idx="125">
                  <c:v>10.47</c:v>
                </c:pt>
                <c:pt idx="126">
                  <c:v>10.5</c:v>
                </c:pt>
                <c:pt idx="127">
                  <c:v>10.56</c:v>
                </c:pt>
                <c:pt idx="128">
                  <c:v>10.6</c:v>
                </c:pt>
                <c:pt idx="129">
                  <c:v>10.64</c:v>
                </c:pt>
                <c:pt idx="130">
                  <c:v>10.69</c:v>
                </c:pt>
                <c:pt idx="131">
                  <c:v>10.72</c:v>
                </c:pt>
                <c:pt idx="132">
                  <c:v>10.75</c:v>
                </c:pt>
                <c:pt idx="133">
                  <c:v>10.78</c:v>
                </c:pt>
                <c:pt idx="134">
                  <c:v>10.81</c:v>
                </c:pt>
                <c:pt idx="135">
                  <c:v>10.83</c:v>
                </c:pt>
                <c:pt idx="136">
                  <c:v>10.85</c:v>
                </c:pt>
                <c:pt idx="137">
                  <c:v>10.87</c:v>
                </c:pt>
                <c:pt idx="138">
                  <c:v>10.89</c:v>
                </c:pt>
                <c:pt idx="139">
                  <c:v>10.89</c:v>
                </c:pt>
                <c:pt idx="140">
                  <c:v>10.91</c:v>
                </c:pt>
                <c:pt idx="141">
                  <c:v>10.91</c:v>
                </c:pt>
                <c:pt idx="142">
                  <c:v>10.93</c:v>
                </c:pt>
                <c:pt idx="143">
                  <c:v>10.95</c:v>
                </c:pt>
                <c:pt idx="144">
                  <c:v>10.92</c:v>
                </c:pt>
                <c:pt idx="145">
                  <c:v>10.9</c:v>
                </c:pt>
                <c:pt idx="146">
                  <c:v>10.9</c:v>
                </c:pt>
                <c:pt idx="147">
                  <c:v>10.9</c:v>
                </c:pt>
                <c:pt idx="148">
                  <c:v>10.88</c:v>
                </c:pt>
                <c:pt idx="149">
                  <c:v>10.88</c:v>
                </c:pt>
                <c:pt idx="150">
                  <c:v>10.87</c:v>
                </c:pt>
                <c:pt idx="151">
                  <c:v>10.84</c:v>
                </c:pt>
                <c:pt idx="152">
                  <c:v>10.82</c:v>
                </c:pt>
                <c:pt idx="153">
                  <c:v>10.8</c:v>
                </c:pt>
                <c:pt idx="154">
                  <c:v>10.77</c:v>
                </c:pt>
                <c:pt idx="155">
                  <c:v>10.75</c:v>
                </c:pt>
                <c:pt idx="156">
                  <c:v>10.72</c:v>
                </c:pt>
                <c:pt idx="157">
                  <c:v>10.69</c:v>
                </c:pt>
                <c:pt idx="158">
                  <c:v>10.64</c:v>
                </c:pt>
                <c:pt idx="159">
                  <c:v>10.6</c:v>
                </c:pt>
                <c:pt idx="160">
                  <c:v>10.55</c:v>
                </c:pt>
                <c:pt idx="161">
                  <c:v>10.51</c:v>
                </c:pt>
                <c:pt idx="162">
                  <c:v>10.46</c:v>
                </c:pt>
                <c:pt idx="163">
                  <c:v>10.4</c:v>
                </c:pt>
                <c:pt idx="164">
                  <c:v>10.35</c:v>
                </c:pt>
                <c:pt idx="165">
                  <c:v>10.29</c:v>
                </c:pt>
                <c:pt idx="166">
                  <c:v>10.23</c:v>
                </c:pt>
                <c:pt idx="167">
                  <c:v>10.18</c:v>
                </c:pt>
                <c:pt idx="168">
                  <c:v>10.1</c:v>
                </c:pt>
                <c:pt idx="169">
                  <c:v>10.039999999999999</c:v>
                </c:pt>
                <c:pt idx="170">
                  <c:v>9.9499999999999993</c:v>
                </c:pt>
                <c:pt idx="171">
                  <c:v>9.8800000000000008</c:v>
                </c:pt>
                <c:pt idx="172">
                  <c:v>9.7799999999999994</c:v>
                </c:pt>
                <c:pt idx="173">
                  <c:v>9.69</c:v>
                </c:pt>
                <c:pt idx="174">
                  <c:v>9.6</c:v>
                </c:pt>
                <c:pt idx="175">
                  <c:v>9.5</c:v>
                </c:pt>
                <c:pt idx="176">
                  <c:v>9.42</c:v>
                </c:pt>
                <c:pt idx="177">
                  <c:v>9.31</c:v>
                </c:pt>
                <c:pt idx="178">
                  <c:v>9.2100000000000009</c:v>
                </c:pt>
                <c:pt idx="179">
                  <c:v>9.1199999999999992</c:v>
                </c:pt>
                <c:pt idx="180">
                  <c:v>9.0299999999999994</c:v>
                </c:pt>
                <c:pt idx="181">
                  <c:v>8.94</c:v>
                </c:pt>
                <c:pt idx="182">
                  <c:v>8.86</c:v>
                </c:pt>
                <c:pt idx="183">
                  <c:v>8.77</c:v>
                </c:pt>
                <c:pt idx="184">
                  <c:v>8.6999999999999993</c:v>
                </c:pt>
                <c:pt idx="185">
                  <c:v>8.61</c:v>
                </c:pt>
                <c:pt idx="186">
                  <c:v>8.5299999999999994</c:v>
                </c:pt>
                <c:pt idx="187">
                  <c:v>8.44</c:v>
                </c:pt>
                <c:pt idx="188">
                  <c:v>8.33</c:v>
                </c:pt>
                <c:pt idx="189">
                  <c:v>8.27</c:v>
                </c:pt>
                <c:pt idx="190">
                  <c:v>8.2100000000000009</c:v>
                </c:pt>
                <c:pt idx="191">
                  <c:v>8.14</c:v>
                </c:pt>
                <c:pt idx="192">
                  <c:v>8.07</c:v>
                </c:pt>
                <c:pt idx="193">
                  <c:v>8</c:v>
                </c:pt>
                <c:pt idx="194">
                  <c:v>7.93</c:v>
                </c:pt>
                <c:pt idx="195">
                  <c:v>7.87</c:v>
                </c:pt>
                <c:pt idx="196">
                  <c:v>7.8</c:v>
                </c:pt>
                <c:pt idx="197">
                  <c:v>7.73</c:v>
                </c:pt>
                <c:pt idx="198">
                  <c:v>7.64</c:v>
                </c:pt>
                <c:pt idx="199">
                  <c:v>7.58</c:v>
                </c:pt>
                <c:pt idx="200">
                  <c:v>7.5</c:v>
                </c:pt>
                <c:pt idx="201">
                  <c:v>7.43</c:v>
                </c:pt>
                <c:pt idx="202">
                  <c:v>7.36</c:v>
                </c:pt>
                <c:pt idx="203">
                  <c:v>7.29</c:v>
                </c:pt>
                <c:pt idx="204">
                  <c:v>7.22</c:v>
                </c:pt>
                <c:pt idx="205">
                  <c:v>7.14</c:v>
                </c:pt>
                <c:pt idx="206">
                  <c:v>7.07</c:v>
                </c:pt>
                <c:pt idx="207">
                  <c:v>7</c:v>
                </c:pt>
                <c:pt idx="208">
                  <c:v>6.9</c:v>
                </c:pt>
                <c:pt idx="209">
                  <c:v>6.8</c:v>
                </c:pt>
                <c:pt idx="210">
                  <c:v>6.74</c:v>
                </c:pt>
                <c:pt idx="211">
                  <c:v>6.65</c:v>
                </c:pt>
                <c:pt idx="212">
                  <c:v>6.56</c:v>
                </c:pt>
                <c:pt idx="213">
                  <c:v>6.46</c:v>
                </c:pt>
                <c:pt idx="214">
                  <c:v>6.37</c:v>
                </c:pt>
                <c:pt idx="215">
                  <c:v>6.26</c:v>
                </c:pt>
                <c:pt idx="216">
                  <c:v>6.16</c:v>
                </c:pt>
                <c:pt idx="217">
                  <c:v>6.02</c:v>
                </c:pt>
                <c:pt idx="218">
                  <c:v>5.95</c:v>
                </c:pt>
                <c:pt idx="219">
                  <c:v>5.91</c:v>
                </c:pt>
                <c:pt idx="220">
                  <c:v>5.84</c:v>
                </c:pt>
                <c:pt idx="221">
                  <c:v>5.76</c:v>
                </c:pt>
                <c:pt idx="222">
                  <c:v>5.68</c:v>
                </c:pt>
                <c:pt idx="223">
                  <c:v>5.59</c:v>
                </c:pt>
                <c:pt idx="224">
                  <c:v>5.51</c:v>
                </c:pt>
                <c:pt idx="225">
                  <c:v>5.44</c:v>
                </c:pt>
                <c:pt idx="226">
                  <c:v>5.36</c:v>
                </c:pt>
                <c:pt idx="227">
                  <c:v>5.28</c:v>
                </c:pt>
                <c:pt idx="228">
                  <c:v>5.21</c:v>
                </c:pt>
                <c:pt idx="229">
                  <c:v>5.14</c:v>
                </c:pt>
                <c:pt idx="230">
                  <c:v>5.0599999999999996</c:v>
                </c:pt>
                <c:pt idx="231">
                  <c:v>5</c:v>
                </c:pt>
                <c:pt idx="232">
                  <c:v>4.93</c:v>
                </c:pt>
                <c:pt idx="233">
                  <c:v>4.8600000000000003</c:v>
                </c:pt>
                <c:pt idx="234">
                  <c:v>4.78</c:v>
                </c:pt>
                <c:pt idx="235">
                  <c:v>4.7</c:v>
                </c:pt>
                <c:pt idx="236">
                  <c:v>4.62</c:v>
                </c:pt>
                <c:pt idx="237">
                  <c:v>4.54</c:v>
                </c:pt>
                <c:pt idx="238">
                  <c:v>4.46</c:v>
                </c:pt>
                <c:pt idx="239">
                  <c:v>4.38</c:v>
                </c:pt>
                <c:pt idx="240">
                  <c:v>4.3099999999999996</c:v>
                </c:pt>
                <c:pt idx="241">
                  <c:v>4.24</c:v>
                </c:pt>
                <c:pt idx="242">
                  <c:v>4.18</c:v>
                </c:pt>
                <c:pt idx="243">
                  <c:v>4.12</c:v>
                </c:pt>
                <c:pt idx="244">
                  <c:v>4.0599999999999996</c:v>
                </c:pt>
                <c:pt idx="245">
                  <c:v>4.01</c:v>
                </c:pt>
                <c:pt idx="246">
                  <c:v>3.99</c:v>
                </c:pt>
                <c:pt idx="247">
                  <c:v>3.95</c:v>
                </c:pt>
                <c:pt idx="248">
                  <c:v>3.91</c:v>
                </c:pt>
                <c:pt idx="249">
                  <c:v>3.88</c:v>
                </c:pt>
                <c:pt idx="250">
                  <c:v>3.84</c:v>
                </c:pt>
                <c:pt idx="251">
                  <c:v>3.8</c:v>
                </c:pt>
                <c:pt idx="252">
                  <c:v>3.77</c:v>
                </c:pt>
                <c:pt idx="253">
                  <c:v>3.72</c:v>
                </c:pt>
                <c:pt idx="254">
                  <c:v>3.66</c:v>
                </c:pt>
                <c:pt idx="255">
                  <c:v>3.6</c:v>
                </c:pt>
                <c:pt idx="256">
                  <c:v>3.54</c:v>
                </c:pt>
                <c:pt idx="257">
                  <c:v>3.5</c:v>
                </c:pt>
                <c:pt idx="258">
                  <c:v>3.46</c:v>
                </c:pt>
                <c:pt idx="259">
                  <c:v>3.44</c:v>
                </c:pt>
                <c:pt idx="260">
                  <c:v>3.42</c:v>
                </c:pt>
                <c:pt idx="261">
                  <c:v>3.41</c:v>
                </c:pt>
                <c:pt idx="262">
                  <c:v>3.42</c:v>
                </c:pt>
                <c:pt idx="263">
                  <c:v>3.42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E-4F7D-80DF-4BC6AF7926AB}"/>
            </c:ext>
          </c:extLst>
        </c:ser>
        <c:ser>
          <c:idx val="2"/>
          <c:order val="2"/>
          <c:tx>
            <c:strRef>
              <c:f>Hanwella!$E$3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Hanwella!$A$4:$A$267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Hanwella!$E$4:$E$267</c:f>
              <c:numCache>
                <c:formatCode>0.00</c:formatCode>
                <c:ptCount val="26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E9-4BEC-87F1-56A8CA10F4C9}"/>
            </c:ext>
          </c:extLst>
        </c:ser>
        <c:ser>
          <c:idx val="3"/>
          <c:order val="3"/>
          <c:tx>
            <c:strRef>
              <c:f>Hanwella!$F$3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Hanwella!$A$4:$A$267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Hanwella!$F$4:$F$267</c:f>
              <c:numCache>
                <c:formatCode>0.00</c:formatCode>
                <c:ptCount val="26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BE9-4BEC-87F1-56A8CA10F4C9}"/>
            </c:ext>
          </c:extLst>
        </c:ser>
        <c:ser>
          <c:idx val="4"/>
          <c:order val="4"/>
          <c:tx>
            <c:strRef>
              <c:f>Hanwella!$G$3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Hanwella!$A$4:$A$267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Hanwella!$G$4:$G$267</c:f>
              <c:numCache>
                <c:formatCode>0.00</c:formatCode>
                <c:ptCount val="26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BE9-4BEC-87F1-56A8CA10F4C9}"/>
            </c:ext>
          </c:extLst>
        </c:ser>
        <c:ser>
          <c:idx val="5"/>
          <c:order val="5"/>
          <c:tx>
            <c:strRef>
              <c:f>Hanwella!$J$2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BE9-4BEC-87F1-56A8CA10F4C9}"/>
            </c:ext>
          </c:extLst>
        </c:ser>
        <c:ser>
          <c:idx val="6"/>
          <c:order val="6"/>
          <c:tx>
            <c:strRef>
              <c:f>Hanwella!$K$2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BE9-4BEC-87F1-56A8CA10F4C9}"/>
            </c:ext>
          </c:extLst>
        </c:ser>
        <c:ser>
          <c:idx val="7"/>
          <c:order val="7"/>
          <c:tx>
            <c:strRef>
              <c:f>Hanwella!$L$2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BE9-4BEC-87F1-56A8CA10F4C9}"/>
            </c:ext>
          </c:extLst>
        </c:ser>
        <c:ser>
          <c:idx val="8"/>
          <c:order val="8"/>
          <c:tx>
            <c:strRef>
              <c:f>Hanwella!$M$2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BE9-4BEC-87F1-56A8CA10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Discharge in Cumecs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Glencourse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Glencourse!$D$3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Glencourse!$D$4:$D$267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1.4</c:v>
                </c:pt>
                <c:pt idx="16">
                  <c:v>3.5</c:v>
                </c:pt>
                <c:pt idx="17">
                  <c:v>2</c:v>
                </c:pt>
                <c:pt idx="18">
                  <c:v>0.7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2.6</c:v>
                </c:pt>
                <c:pt idx="49">
                  <c:v>2.5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1.5</c:v>
                </c:pt>
                <c:pt idx="54">
                  <c:v>2.8</c:v>
                </c:pt>
                <c:pt idx="55">
                  <c:v>0</c:v>
                </c:pt>
                <c:pt idx="56">
                  <c:v>0.5</c:v>
                </c:pt>
                <c:pt idx="57">
                  <c:v>2.5</c:v>
                </c:pt>
                <c:pt idx="58">
                  <c:v>2</c:v>
                </c:pt>
                <c:pt idx="59">
                  <c:v>1.9</c:v>
                </c:pt>
                <c:pt idx="60">
                  <c:v>0</c:v>
                </c:pt>
                <c:pt idx="61">
                  <c:v>0</c:v>
                </c:pt>
                <c:pt idx="62">
                  <c:v>1.4</c:v>
                </c:pt>
                <c:pt idx="63">
                  <c:v>2.8</c:v>
                </c:pt>
                <c:pt idx="64">
                  <c:v>0.7</c:v>
                </c:pt>
                <c:pt idx="65">
                  <c:v>13.2</c:v>
                </c:pt>
                <c:pt idx="66">
                  <c:v>1</c:v>
                </c:pt>
                <c:pt idx="67">
                  <c:v>2</c:v>
                </c:pt>
                <c:pt idx="68">
                  <c:v>2.2000000000000002</c:v>
                </c:pt>
                <c:pt idx="69">
                  <c:v>3.8</c:v>
                </c:pt>
                <c:pt idx="70">
                  <c:v>6.3</c:v>
                </c:pt>
                <c:pt idx="71">
                  <c:v>0.5</c:v>
                </c:pt>
                <c:pt idx="72">
                  <c:v>2.2000000000000002</c:v>
                </c:pt>
                <c:pt idx="73">
                  <c:v>5</c:v>
                </c:pt>
                <c:pt idx="74">
                  <c:v>2</c:v>
                </c:pt>
                <c:pt idx="75">
                  <c:v>4.5</c:v>
                </c:pt>
                <c:pt idx="76">
                  <c:v>2.2000000000000002</c:v>
                </c:pt>
                <c:pt idx="77">
                  <c:v>0.3</c:v>
                </c:pt>
                <c:pt idx="78">
                  <c:v>4.8</c:v>
                </c:pt>
                <c:pt idx="79">
                  <c:v>5.6</c:v>
                </c:pt>
                <c:pt idx="80">
                  <c:v>1.8</c:v>
                </c:pt>
                <c:pt idx="81">
                  <c:v>4.5999999999999996</c:v>
                </c:pt>
                <c:pt idx="82">
                  <c:v>1.4</c:v>
                </c:pt>
                <c:pt idx="83">
                  <c:v>3.1</c:v>
                </c:pt>
                <c:pt idx="84">
                  <c:v>1.6</c:v>
                </c:pt>
                <c:pt idx="85">
                  <c:v>0.5</c:v>
                </c:pt>
                <c:pt idx="86">
                  <c:v>1.1000000000000001</c:v>
                </c:pt>
                <c:pt idx="87">
                  <c:v>4.2</c:v>
                </c:pt>
                <c:pt idx="88">
                  <c:v>1</c:v>
                </c:pt>
                <c:pt idx="89">
                  <c:v>5</c:v>
                </c:pt>
                <c:pt idx="90">
                  <c:v>8</c:v>
                </c:pt>
                <c:pt idx="91">
                  <c:v>7.5</c:v>
                </c:pt>
                <c:pt idx="92">
                  <c:v>6.6</c:v>
                </c:pt>
                <c:pt idx="93">
                  <c:v>9.3000000000000007</c:v>
                </c:pt>
                <c:pt idx="94">
                  <c:v>9.1999999999999993</c:v>
                </c:pt>
                <c:pt idx="95">
                  <c:v>17.5</c:v>
                </c:pt>
                <c:pt idx="96">
                  <c:v>16.5</c:v>
                </c:pt>
                <c:pt idx="97">
                  <c:v>10.5</c:v>
                </c:pt>
                <c:pt idx="98">
                  <c:v>7</c:v>
                </c:pt>
                <c:pt idx="99">
                  <c:v>11.5</c:v>
                </c:pt>
                <c:pt idx="100">
                  <c:v>16.2</c:v>
                </c:pt>
                <c:pt idx="101">
                  <c:v>16.5</c:v>
                </c:pt>
                <c:pt idx="102">
                  <c:v>14</c:v>
                </c:pt>
                <c:pt idx="103">
                  <c:v>2.9</c:v>
                </c:pt>
                <c:pt idx="104">
                  <c:v>32.4</c:v>
                </c:pt>
                <c:pt idx="105">
                  <c:v>17.3</c:v>
                </c:pt>
                <c:pt idx="106">
                  <c:v>8</c:v>
                </c:pt>
                <c:pt idx="107">
                  <c:v>11.3</c:v>
                </c:pt>
                <c:pt idx="108">
                  <c:v>15.8</c:v>
                </c:pt>
                <c:pt idx="109">
                  <c:v>4.5999999999999996</c:v>
                </c:pt>
                <c:pt idx="110">
                  <c:v>5.8</c:v>
                </c:pt>
                <c:pt idx="111">
                  <c:v>7.2</c:v>
                </c:pt>
                <c:pt idx="112">
                  <c:v>3.8</c:v>
                </c:pt>
                <c:pt idx="113">
                  <c:v>3.5</c:v>
                </c:pt>
                <c:pt idx="114">
                  <c:v>3.5</c:v>
                </c:pt>
                <c:pt idx="115">
                  <c:v>3.5</c:v>
                </c:pt>
                <c:pt idx="116">
                  <c:v>4.5</c:v>
                </c:pt>
                <c:pt idx="117">
                  <c:v>0.5</c:v>
                </c:pt>
                <c:pt idx="118">
                  <c:v>0.5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20.3</c:v>
                </c:pt>
                <c:pt idx="256">
                  <c:v>15.9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0-4483-BC8C-3E82FF0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Glencourse!$B$3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Glencourse!$A$4:$A$267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Glencourse!$B$4:$B$267</c:f>
              <c:numCache>
                <c:formatCode>0.00</c:formatCode>
                <c:ptCount val="264"/>
                <c:pt idx="0">
                  <c:v>10.62</c:v>
                </c:pt>
                <c:pt idx="1">
                  <c:v>10.97</c:v>
                </c:pt>
                <c:pt idx="2">
                  <c:v>11.25</c:v>
                </c:pt>
                <c:pt idx="3">
                  <c:v>11.32</c:v>
                </c:pt>
                <c:pt idx="4">
                  <c:v>11.36</c:v>
                </c:pt>
                <c:pt idx="5">
                  <c:v>11.33</c:v>
                </c:pt>
                <c:pt idx="6">
                  <c:v>11.23</c:v>
                </c:pt>
                <c:pt idx="7">
                  <c:v>11.11</c:v>
                </c:pt>
                <c:pt idx="8">
                  <c:v>10.97</c:v>
                </c:pt>
                <c:pt idx="9">
                  <c:v>10.83</c:v>
                </c:pt>
                <c:pt idx="10">
                  <c:v>10.7</c:v>
                </c:pt>
                <c:pt idx="11">
                  <c:v>10.61</c:v>
                </c:pt>
                <c:pt idx="12">
                  <c:v>10.51</c:v>
                </c:pt>
                <c:pt idx="13">
                  <c:v>10.43</c:v>
                </c:pt>
                <c:pt idx="14">
                  <c:v>10.35</c:v>
                </c:pt>
                <c:pt idx="15">
                  <c:v>10.34</c:v>
                </c:pt>
                <c:pt idx="16">
                  <c:v>10.36</c:v>
                </c:pt>
                <c:pt idx="17">
                  <c:v>10.43</c:v>
                </c:pt>
                <c:pt idx="18">
                  <c:v>10.52</c:v>
                </c:pt>
                <c:pt idx="19">
                  <c:v>10.72</c:v>
                </c:pt>
                <c:pt idx="20">
                  <c:v>11.07</c:v>
                </c:pt>
                <c:pt idx="21">
                  <c:v>11.31</c:v>
                </c:pt>
                <c:pt idx="22">
                  <c:v>11.43</c:v>
                </c:pt>
                <c:pt idx="23">
                  <c:v>11.45</c:v>
                </c:pt>
                <c:pt idx="24">
                  <c:v>11.4</c:v>
                </c:pt>
                <c:pt idx="25">
                  <c:v>11.31</c:v>
                </c:pt>
                <c:pt idx="26">
                  <c:v>11.22</c:v>
                </c:pt>
                <c:pt idx="27">
                  <c:v>11.13</c:v>
                </c:pt>
                <c:pt idx="28">
                  <c:v>11.01</c:v>
                </c:pt>
                <c:pt idx="29">
                  <c:v>10.92</c:v>
                </c:pt>
                <c:pt idx="30">
                  <c:v>10.84</c:v>
                </c:pt>
                <c:pt idx="31">
                  <c:v>10.75</c:v>
                </c:pt>
                <c:pt idx="32">
                  <c:v>10.68</c:v>
                </c:pt>
                <c:pt idx="33">
                  <c:v>10.64</c:v>
                </c:pt>
                <c:pt idx="34">
                  <c:v>10.6</c:v>
                </c:pt>
                <c:pt idx="35">
                  <c:v>10.55</c:v>
                </c:pt>
                <c:pt idx="36">
                  <c:v>10.5</c:v>
                </c:pt>
                <c:pt idx="37">
                  <c:v>10.46</c:v>
                </c:pt>
                <c:pt idx="38">
                  <c:v>10.41</c:v>
                </c:pt>
                <c:pt idx="39">
                  <c:v>10.37</c:v>
                </c:pt>
                <c:pt idx="40">
                  <c:v>10.33</c:v>
                </c:pt>
                <c:pt idx="41">
                  <c:v>10.3</c:v>
                </c:pt>
                <c:pt idx="42">
                  <c:v>10.3</c:v>
                </c:pt>
                <c:pt idx="43">
                  <c:v>10.25</c:v>
                </c:pt>
                <c:pt idx="44">
                  <c:v>10.210000000000001</c:v>
                </c:pt>
                <c:pt idx="45">
                  <c:v>10.17</c:v>
                </c:pt>
                <c:pt idx="46">
                  <c:v>10.199999999999999</c:v>
                </c:pt>
                <c:pt idx="47">
                  <c:v>10.210000000000001</c:v>
                </c:pt>
                <c:pt idx="48">
                  <c:v>10.210000000000001</c:v>
                </c:pt>
                <c:pt idx="49">
                  <c:v>10.25</c:v>
                </c:pt>
                <c:pt idx="50">
                  <c:v>10.3</c:v>
                </c:pt>
                <c:pt idx="51">
                  <c:v>10.33</c:v>
                </c:pt>
                <c:pt idx="52">
                  <c:v>10.35</c:v>
                </c:pt>
                <c:pt idx="53">
                  <c:v>10.35</c:v>
                </c:pt>
                <c:pt idx="54">
                  <c:v>10.33</c:v>
                </c:pt>
                <c:pt idx="55">
                  <c:v>10.34</c:v>
                </c:pt>
                <c:pt idx="56">
                  <c:v>10.37</c:v>
                </c:pt>
                <c:pt idx="57">
                  <c:v>10.41</c:v>
                </c:pt>
                <c:pt idx="58">
                  <c:v>10.46</c:v>
                </c:pt>
                <c:pt idx="59">
                  <c:v>10.53</c:v>
                </c:pt>
                <c:pt idx="60">
                  <c:v>10.6</c:v>
                </c:pt>
                <c:pt idx="61">
                  <c:v>10.65</c:v>
                </c:pt>
                <c:pt idx="62">
                  <c:v>10.67</c:v>
                </c:pt>
                <c:pt idx="63">
                  <c:v>10.7</c:v>
                </c:pt>
                <c:pt idx="64">
                  <c:v>10.75</c:v>
                </c:pt>
                <c:pt idx="65">
                  <c:v>10.81</c:v>
                </c:pt>
                <c:pt idx="66">
                  <c:v>10.9</c:v>
                </c:pt>
                <c:pt idx="67">
                  <c:v>10.98</c:v>
                </c:pt>
                <c:pt idx="68">
                  <c:v>11.05</c:v>
                </c:pt>
                <c:pt idx="69">
                  <c:v>11.1</c:v>
                </c:pt>
                <c:pt idx="70">
                  <c:v>11.1</c:v>
                </c:pt>
                <c:pt idx="71">
                  <c:v>11.18</c:v>
                </c:pt>
                <c:pt idx="72">
                  <c:v>11.31</c:v>
                </c:pt>
                <c:pt idx="73">
                  <c:v>11.61</c:v>
                </c:pt>
                <c:pt idx="74">
                  <c:v>11.98</c:v>
                </c:pt>
                <c:pt idx="75">
                  <c:v>12.45</c:v>
                </c:pt>
                <c:pt idx="76">
                  <c:v>12.96</c:v>
                </c:pt>
                <c:pt idx="77">
                  <c:v>13.28</c:v>
                </c:pt>
                <c:pt idx="78">
                  <c:v>13.59</c:v>
                </c:pt>
                <c:pt idx="79">
                  <c:v>13.87</c:v>
                </c:pt>
                <c:pt idx="80">
                  <c:v>14.09</c:v>
                </c:pt>
                <c:pt idx="81">
                  <c:v>14.27</c:v>
                </c:pt>
                <c:pt idx="82">
                  <c:v>14.45</c:v>
                </c:pt>
                <c:pt idx="83">
                  <c:v>14.59</c:v>
                </c:pt>
                <c:pt idx="84">
                  <c:v>14.74</c:v>
                </c:pt>
                <c:pt idx="85">
                  <c:v>14.87</c:v>
                </c:pt>
                <c:pt idx="86">
                  <c:v>14.99</c:v>
                </c:pt>
                <c:pt idx="87">
                  <c:v>15.08</c:v>
                </c:pt>
                <c:pt idx="88">
                  <c:v>15.15</c:v>
                </c:pt>
                <c:pt idx="89">
                  <c:v>15.21</c:v>
                </c:pt>
                <c:pt idx="90">
                  <c:v>15.28</c:v>
                </c:pt>
                <c:pt idx="91">
                  <c:v>15.4</c:v>
                </c:pt>
                <c:pt idx="92">
                  <c:v>15.57</c:v>
                </c:pt>
                <c:pt idx="93">
                  <c:v>15.79</c:v>
                </c:pt>
                <c:pt idx="94">
                  <c:v>16.05</c:v>
                </c:pt>
                <c:pt idx="95">
                  <c:v>16.350000000000001</c:v>
                </c:pt>
                <c:pt idx="96">
                  <c:v>16.66</c:v>
                </c:pt>
                <c:pt idx="97">
                  <c:v>16.98</c:v>
                </c:pt>
                <c:pt idx="98">
                  <c:v>17.3</c:v>
                </c:pt>
                <c:pt idx="99">
                  <c:v>17.600000000000001</c:v>
                </c:pt>
                <c:pt idx="100">
                  <c:v>17.940000000000001</c:v>
                </c:pt>
                <c:pt idx="101">
                  <c:v>18.25</c:v>
                </c:pt>
                <c:pt idx="102">
                  <c:v>18.57</c:v>
                </c:pt>
                <c:pt idx="103">
                  <c:v>18.920000000000002</c:v>
                </c:pt>
                <c:pt idx="104">
                  <c:v>19.27</c:v>
                </c:pt>
                <c:pt idx="105">
                  <c:v>19.61</c:v>
                </c:pt>
                <c:pt idx="106">
                  <c:v>19.899999999999999</c:v>
                </c:pt>
                <c:pt idx="107">
                  <c:v>20.170000000000002</c:v>
                </c:pt>
                <c:pt idx="108">
                  <c:v>20.45</c:v>
                </c:pt>
                <c:pt idx="109">
                  <c:v>20.7</c:v>
                </c:pt>
                <c:pt idx="110">
                  <c:v>20.93</c:v>
                </c:pt>
                <c:pt idx="111">
                  <c:v>21.1</c:v>
                </c:pt>
                <c:pt idx="112">
                  <c:v>21.29</c:v>
                </c:pt>
                <c:pt idx="113">
                  <c:v>21.48</c:v>
                </c:pt>
                <c:pt idx="114">
                  <c:v>21.61</c:v>
                </c:pt>
                <c:pt idx="115">
                  <c:v>21.75</c:v>
                </c:pt>
                <c:pt idx="116">
                  <c:v>21.83</c:v>
                </c:pt>
                <c:pt idx="117">
                  <c:v>21.91</c:v>
                </c:pt>
                <c:pt idx="118">
                  <c:v>21.91</c:v>
                </c:pt>
                <c:pt idx="119">
                  <c:v>21.9</c:v>
                </c:pt>
                <c:pt idx="120">
                  <c:v>21.9</c:v>
                </c:pt>
                <c:pt idx="121">
                  <c:v>21.88</c:v>
                </c:pt>
                <c:pt idx="122">
                  <c:v>21.84</c:v>
                </c:pt>
                <c:pt idx="123">
                  <c:v>21.78</c:v>
                </c:pt>
                <c:pt idx="124">
                  <c:v>21.7</c:v>
                </c:pt>
                <c:pt idx="125">
                  <c:v>21.65</c:v>
                </c:pt>
                <c:pt idx="126">
                  <c:v>21.53</c:v>
                </c:pt>
                <c:pt idx="127">
                  <c:v>21.47</c:v>
                </c:pt>
                <c:pt idx="128">
                  <c:v>21.39</c:v>
                </c:pt>
                <c:pt idx="129">
                  <c:v>21.3</c:v>
                </c:pt>
                <c:pt idx="130">
                  <c:v>21.19</c:v>
                </c:pt>
                <c:pt idx="131">
                  <c:v>21.08</c:v>
                </c:pt>
                <c:pt idx="132">
                  <c:v>20.96</c:v>
                </c:pt>
                <c:pt idx="133">
                  <c:v>20.86</c:v>
                </c:pt>
                <c:pt idx="134">
                  <c:v>20.75</c:v>
                </c:pt>
                <c:pt idx="135">
                  <c:v>20.62</c:v>
                </c:pt>
                <c:pt idx="136">
                  <c:v>20.46</c:v>
                </c:pt>
                <c:pt idx="137">
                  <c:v>20.350000000000001</c:v>
                </c:pt>
                <c:pt idx="138">
                  <c:v>20.2</c:v>
                </c:pt>
                <c:pt idx="139">
                  <c:v>20.059999999999999</c:v>
                </c:pt>
                <c:pt idx="140">
                  <c:v>19.91</c:v>
                </c:pt>
                <c:pt idx="141">
                  <c:v>19.8</c:v>
                </c:pt>
                <c:pt idx="142">
                  <c:v>19.670000000000002</c:v>
                </c:pt>
                <c:pt idx="143">
                  <c:v>19.5</c:v>
                </c:pt>
                <c:pt idx="144">
                  <c:v>19.350000000000001</c:v>
                </c:pt>
                <c:pt idx="145">
                  <c:v>19.18</c:v>
                </c:pt>
                <c:pt idx="146">
                  <c:v>19.02</c:v>
                </c:pt>
                <c:pt idx="147">
                  <c:v>18.850000000000001</c:v>
                </c:pt>
                <c:pt idx="148">
                  <c:v>18.7</c:v>
                </c:pt>
                <c:pt idx="149">
                  <c:v>18.55</c:v>
                </c:pt>
                <c:pt idx="150">
                  <c:v>18.36</c:v>
                </c:pt>
                <c:pt idx="151">
                  <c:v>18.18</c:v>
                </c:pt>
                <c:pt idx="152">
                  <c:v>18.010000000000002</c:v>
                </c:pt>
                <c:pt idx="153">
                  <c:v>17.82</c:v>
                </c:pt>
                <c:pt idx="154">
                  <c:v>17.66</c:v>
                </c:pt>
                <c:pt idx="155">
                  <c:v>17.47</c:v>
                </c:pt>
                <c:pt idx="156">
                  <c:v>17.29</c:v>
                </c:pt>
                <c:pt idx="157">
                  <c:v>17.09</c:v>
                </c:pt>
                <c:pt idx="158">
                  <c:v>16.899999999999999</c:v>
                </c:pt>
                <c:pt idx="159">
                  <c:v>16.68</c:v>
                </c:pt>
                <c:pt idx="160">
                  <c:v>16.48</c:v>
                </c:pt>
                <c:pt idx="161">
                  <c:v>16.25</c:v>
                </c:pt>
                <c:pt idx="162">
                  <c:v>16.05</c:v>
                </c:pt>
                <c:pt idx="163">
                  <c:v>15.8</c:v>
                </c:pt>
                <c:pt idx="164">
                  <c:v>15.56</c:v>
                </c:pt>
                <c:pt idx="165">
                  <c:v>15.35</c:v>
                </c:pt>
                <c:pt idx="166">
                  <c:v>15.11</c:v>
                </c:pt>
                <c:pt idx="167">
                  <c:v>14.9</c:v>
                </c:pt>
                <c:pt idx="168">
                  <c:v>14.68</c:v>
                </c:pt>
                <c:pt idx="169">
                  <c:v>14.46</c:v>
                </c:pt>
                <c:pt idx="170">
                  <c:v>14.21</c:v>
                </c:pt>
                <c:pt idx="171">
                  <c:v>13.98</c:v>
                </c:pt>
                <c:pt idx="172">
                  <c:v>13.75</c:v>
                </c:pt>
                <c:pt idx="173">
                  <c:v>13.58</c:v>
                </c:pt>
                <c:pt idx="174">
                  <c:v>13.38</c:v>
                </c:pt>
                <c:pt idx="175">
                  <c:v>13.2</c:v>
                </c:pt>
                <c:pt idx="176">
                  <c:v>13.05</c:v>
                </c:pt>
                <c:pt idx="177">
                  <c:v>12.89</c:v>
                </c:pt>
                <c:pt idx="178">
                  <c:v>12.79</c:v>
                </c:pt>
                <c:pt idx="179">
                  <c:v>12.71</c:v>
                </c:pt>
                <c:pt idx="180">
                  <c:v>12.65</c:v>
                </c:pt>
                <c:pt idx="181">
                  <c:v>12.58</c:v>
                </c:pt>
                <c:pt idx="182">
                  <c:v>12.51</c:v>
                </c:pt>
                <c:pt idx="183">
                  <c:v>12.41</c:v>
                </c:pt>
                <c:pt idx="184">
                  <c:v>12.31</c:v>
                </c:pt>
                <c:pt idx="185">
                  <c:v>12.22</c:v>
                </c:pt>
                <c:pt idx="186">
                  <c:v>12.13</c:v>
                </c:pt>
                <c:pt idx="187">
                  <c:v>12.05</c:v>
                </c:pt>
                <c:pt idx="188">
                  <c:v>11.98</c:v>
                </c:pt>
                <c:pt idx="189">
                  <c:v>11.92</c:v>
                </c:pt>
                <c:pt idx="190">
                  <c:v>11.88</c:v>
                </c:pt>
                <c:pt idx="191">
                  <c:v>11.85</c:v>
                </c:pt>
                <c:pt idx="192">
                  <c:v>11.81</c:v>
                </c:pt>
                <c:pt idx="193">
                  <c:v>11.76</c:v>
                </c:pt>
                <c:pt idx="194">
                  <c:v>11.71</c:v>
                </c:pt>
                <c:pt idx="195">
                  <c:v>11.66</c:v>
                </c:pt>
                <c:pt idx="196">
                  <c:v>11.6</c:v>
                </c:pt>
                <c:pt idx="197">
                  <c:v>11.56</c:v>
                </c:pt>
                <c:pt idx="198">
                  <c:v>11.52</c:v>
                </c:pt>
                <c:pt idx="199">
                  <c:v>11.47</c:v>
                </c:pt>
                <c:pt idx="200">
                  <c:v>11.45</c:v>
                </c:pt>
                <c:pt idx="201">
                  <c:v>11.41</c:v>
                </c:pt>
                <c:pt idx="202">
                  <c:v>11.39</c:v>
                </c:pt>
                <c:pt idx="203">
                  <c:v>11.37</c:v>
                </c:pt>
                <c:pt idx="204">
                  <c:v>11.35</c:v>
                </c:pt>
                <c:pt idx="205">
                  <c:v>11.32</c:v>
                </c:pt>
                <c:pt idx="206">
                  <c:v>11.27</c:v>
                </c:pt>
                <c:pt idx="207">
                  <c:v>11.23</c:v>
                </c:pt>
                <c:pt idx="208">
                  <c:v>11.21</c:v>
                </c:pt>
                <c:pt idx="209" formatCode="General">
                  <c:v>11.15</c:v>
                </c:pt>
                <c:pt idx="210" formatCode="General">
                  <c:v>11.1</c:v>
                </c:pt>
                <c:pt idx="211" formatCode="General">
                  <c:v>11.1</c:v>
                </c:pt>
                <c:pt idx="212" formatCode="General">
                  <c:v>11.09</c:v>
                </c:pt>
                <c:pt idx="213" formatCode="General">
                  <c:v>11.08</c:v>
                </c:pt>
                <c:pt idx="214" formatCode="General">
                  <c:v>11.08</c:v>
                </c:pt>
                <c:pt idx="215" formatCode="General">
                  <c:v>11.1</c:v>
                </c:pt>
                <c:pt idx="216" formatCode="General">
                  <c:v>11.09</c:v>
                </c:pt>
                <c:pt idx="217" formatCode="General">
                  <c:v>11.08</c:v>
                </c:pt>
                <c:pt idx="218" formatCode="General">
                  <c:v>11.07</c:v>
                </c:pt>
                <c:pt idx="219" formatCode="General">
                  <c:v>11.04</c:v>
                </c:pt>
                <c:pt idx="220" formatCode="General">
                  <c:v>11.02</c:v>
                </c:pt>
                <c:pt idx="221" formatCode="General">
                  <c:v>11.04</c:v>
                </c:pt>
                <c:pt idx="222" formatCode="General">
                  <c:v>11.03</c:v>
                </c:pt>
                <c:pt idx="223" formatCode="General">
                  <c:v>11.03</c:v>
                </c:pt>
                <c:pt idx="224" formatCode="General">
                  <c:v>11.02</c:v>
                </c:pt>
                <c:pt idx="225" formatCode="General">
                  <c:v>11.01</c:v>
                </c:pt>
                <c:pt idx="226" formatCode="General">
                  <c:v>10.99</c:v>
                </c:pt>
                <c:pt idx="227" formatCode="General">
                  <c:v>10.98</c:v>
                </c:pt>
                <c:pt idx="228" formatCode="General">
                  <c:v>10.95</c:v>
                </c:pt>
                <c:pt idx="229" formatCode="General">
                  <c:v>10.93</c:v>
                </c:pt>
                <c:pt idx="230" formatCode="General">
                  <c:v>10.91</c:v>
                </c:pt>
                <c:pt idx="231" formatCode="General">
                  <c:v>10.9</c:v>
                </c:pt>
                <c:pt idx="232" formatCode="General">
                  <c:v>10.85</c:v>
                </c:pt>
                <c:pt idx="233" formatCode="General">
                  <c:v>10.79</c:v>
                </c:pt>
                <c:pt idx="234" formatCode="General">
                  <c:v>10.74</c:v>
                </c:pt>
                <c:pt idx="235" formatCode="General">
                  <c:v>10.7</c:v>
                </c:pt>
                <c:pt idx="236" formatCode="General">
                  <c:v>10.65</c:v>
                </c:pt>
                <c:pt idx="237" formatCode="General">
                  <c:v>10.6</c:v>
                </c:pt>
                <c:pt idx="238" formatCode="General">
                  <c:v>10.56</c:v>
                </c:pt>
                <c:pt idx="239" formatCode="General">
                  <c:v>10.52</c:v>
                </c:pt>
                <c:pt idx="240" formatCode="General">
                  <c:v>10.48</c:v>
                </c:pt>
                <c:pt idx="241" formatCode="General">
                  <c:v>10.46</c:v>
                </c:pt>
                <c:pt idx="242" formatCode="General">
                  <c:v>10.44</c:v>
                </c:pt>
                <c:pt idx="243" formatCode="General">
                  <c:v>10.5</c:v>
                </c:pt>
                <c:pt idx="244" formatCode="General">
                  <c:v>10.57</c:v>
                </c:pt>
                <c:pt idx="245" formatCode="General">
                  <c:v>10.6</c:v>
                </c:pt>
                <c:pt idx="246" formatCode="General">
                  <c:v>10.6</c:v>
                </c:pt>
                <c:pt idx="247" formatCode="General">
                  <c:v>10.59</c:v>
                </c:pt>
                <c:pt idx="248" formatCode="General">
                  <c:v>10.69</c:v>
                </c:pt>
                <c:pt idx="249" formatCode="General">
                  <c:v>10.68</c:v>
                </c:pt>
                <c:pt idx="250" formatCode="General">
                  <c:v>10.64</c:v>
                </c:pt>
                <c:pt idx="251" formatCode="General">
                  <c:v>10.6</c:v>
                </c:pt>
                <c:pt idx="252" formatCode="General">
                  <c:v>10.52</c:v>
                </c:pt>
                <c:pt idx="253" formatCode="General">
                  <c:v>10.45</c:v>
                </c:pt>
                <c:pt idx="254" formatCode="General">
                  <c:v>10.37</c:v>
                </c:pt>
                <c:pt idx="255" formatCode="General">
                  <c:v>10.32</c:v>
                </c:pt>
                <c:pt idx="256" formatCode="General">
                  <c:v>10.35</c:v>
                </c:pt>
                <c:pt idx="257" formatCode="General">
                  <c:v>10.42</c:v>
                </c:pt>
                <c:pt idx="258" formatCode="General">
                  <c:v>10.48</c:v>
                </c:pt>
                <c:pt idx="259" formatCode="General">
                  <c:v>10.5</c:v>
                </c:pt>
                <c:pt idx="260" formatCode="General">
                  <c:v>10.52</c:v>
                </c:pt>
                <c:pt idx="261" formatCode="General">
                  <c:v>10.62</c:v>
                </c:pt>
                <c:pt idx="262" formatCode="General">
                  <c:v>10.65</c:v>
                </c:pt>
                <c:pt idx="263" formatCode="General">
                  <c:v>10.65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D0-4483-BC8C-3E82FF0F37AE}"/>
            </c:ext>
          </c:extLst>
        </c:ser>
        <c:ser>
          <c:idx val="2"/>
          <c:order val="2"/>
          <c:tx>
            <c:strRef>
              <c:f>Glencourse!$E$3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Glencourse!$A$4:$A$267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Glencourse!$E$4:$E$267</c:f>
              <c:numCache>
                <c:formatCode>0.00</c:formatCode>
                <c:ptCount val="26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D0-4483-BC8C-3E82FF0F37AE}"/>
            </c:ext>
          </c:extLst>
        </c:ser>
        <c:ser>
          <c:idx val="3"/>
          <c:order val="3"/>
          <c:tx>
            <c:strRef>
              <c:f>Glencourse!$F$3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Glencourse!$A$4:$A$267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Glencourse!$F$4:$F$267</c:f>
              <c:numCache>
                <c:formatCode>0.00</c:formatCode>
                <c:ptCount val="264"/>
                <c:pt idx="0">
                  <c:v>16.5</c:v>
                </c:pt>
                <c:pt idx="1">
                  <c:v>16.5</c:v>
                </c:pt>
                <c:pt idx="2">
                  <c:v>16.5</c:v>
                </c:pt>
                <c:pt idx="3">
                  <c:v>16.5</c:v>
                </c:pt>
                <c:pt idx="4">
                  <c:v>16.5</c:v>
                </c:pt>
                <c:pt idx="5">
                  <c:v>16.5</c:v>
                </c:pt>
                <c:pt idx="6">
                  <c:v>16.5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16.5</c:v>
                </c:pt>
                <c:pt idx="11">
                  <c:v>16.5</c:v>
                </c:pt>
                <c:pt idx="12">
                  <c:v>16.5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16.5</c:v>
                </c:pt>
                <c:pt idx="17">
                  <c:v>16.5</c:v>
                </c:pt>
                <c:pt idx="18">
                  <c:v>16.5</c:v>
                </c:pt>
                <c:pt idx="19">
                  <c:v>16.5</c:v>
                </c:pt>
                <c:pt idx="20">
                  <c:v>16.5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16.5</c:v>
                </c:pt>
                <c:pt idx="33">
                  <c:v>16.5</c:v>
                </c:pt>
                <c:pt idx="34">
                  <c:v>16.5</c:v>
                </c:pt>
                <c:pt idx="35">
                  <c:v>16.5</c:v>
                </c:pt>
                <c:pt idx="36">
                  <c:v>16.5</c:v>
                </c:pt>
                <c:pt idx="37">
                  <c:v>16.5</c:v>
                </c:pt>
                <c:pt idx="38">
                  <c:v>16.5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16.5</c:v>
                </c:pt>
                <c:pt idx="45">
                  <c:v>16.5</c:v>
                </c:pt>
                <c:pt idx="46">
                  <c:v>16.5</c:v>
                </c:pt>
                <c:pt idx="47">
                  <c:v>16.5</c:v>
                </c:pt>
                <c:pt idx="48">
                  <c:v>16.5</c:v>
                </c:pt>
                <c:pt idx="49">
                  <c:v>16.5</c:v>
                </c:pt>
                <c:pt idx="50">
                  <c:v>16.5</c:v>
                </c:pt>
                <c:pt idx="51">
                  <c:v>16.5</c:v>
                </c:pt>
                <c:pt idx="52">
                  <c:v>16.5</c:v>
                </c:pt>
                <c:pt idx="53">
                  <c:v>16.5</c:v>
                </c:pt>
                <c:pt idx="54">
                  <c:v>16.5</c:v>
                </c:pt>
                <c:pt idx="55">
                  <c:v>16.5</c:v>
                </c:pt>
                <c:pt idx="56">
                  <c:v>16.5</c:v>
                </c:pt>
                <c:pt idx="57">
                  <c:v>16.5</c:v>
                </c:pt>
                <c:pt idx="58">
                  <c:v>16.5</c:v>
                </c:pt>
                <c:pt idx="59">
                  <c:v>16.5</c:v>
                </c:pt>
                <c:pt idx="60">
                  <c:v>16.5</c:v>
                </c:pt>
                <c:pt idx="61">
                  <c:v>16.5</c:v>
                </c:pt>
                <c:pt idx="62">
                  <c:v>16.5</c:v>
                </c:pt>
                <c:pt idx="63">
                  <c:v>16.5</c:v>
                </c:pt>
                <c:pt idx="64">
                  <c:v>16.5</c:v>
                </c:pt>
                <c:pt idx="65">
                  <c:v>16.5</c:v>
                </c:pt>
                <c:pt idx="66">
                  <c:v>16.5</c:v>
                </c:pt>
                <c:pt idx="67">
                  <c:v>16.5</c:v>
                </c:pt>
                <c:pt idx="68">
                  <c:v>16.5</c:v>
                </c:pt>
                <c:pt idx="69">
                  <c:v>16.5</c:v>
                </c:pt>
                <c:pt idx="70">
                  <c:v>16.5</c:v>
                </c:pt>
                <c:pt idx="71">
                  <c:v>16.5</c:v>
                </c:pt>
                <c:pt idx="72">
                  <c:v>16.5</c:v>
                </c:pt>
                <c:pt idx="73">
                  <c:v>16.5</c:v>
                </c:pt>
                <c:pt idx="74">
                  <c:v>16.5</c:v>
                </c:pt>
                <c:pt idx="75">
                  <c:v>16.5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16.5</c:v>
                </c:pt>
                <c:pt idx="84">
                  <c:v>16.5</c:v>
                </c:pt>
                <c:pt idx="85">
                  <c:v>16.5</c:v>
                </c:pt>
                <c:pt idx="86">
                  <c:v>16.5</c:v>
                </c:pt>
                <c:pt idx="87">
                  <c:v>16.5</c:v>
                </c:pt>
                <c:pt idx="88">
                  <c:v>16.5</c:v>
                </c:pt>
                <c:pt idx="89">
                  <c:v>16.5</c:v>
                </c:pt>
                <c:pt idx="90">
                  <c:v>16.5</c:v>
                </c:pt>
                <c:pt idx="91">
                  <c:v>16.5</c:v>
                </c:pt>
                <c:pt idx="92">
                  <c:v>16.5</c:v>
                </c:pt>
                <c:pt idx="93">
                  <c:v>16.5</c:v>
                </c:pt>
                <c:pt idx="94">
                  <c:v>16.5</c:v>
                </c:pt>
                <c:pt idx="95">
                  <c:v>16.5</c:v>
                </c:pt>
                <c:pt idx="96">
                  <c:v>16.5</c:v>
                </c:pt>
                <c:pt idx="97">
                  <c:v>16.5</c:v>
                </c:pt>
                <c:pt idx="98">
                  <c:v>16.5</c:v>
                </c:pt>
                <c:pt idx="99">
                  <c:v>16.5</c:v>
                </c:pt>
                <c:pt idx="100">
                  <c:v>16.5</c:v>
                </c:pt>
                <c:pt idx="101">
                  <c:v>16.5</c:v>
                </c:pt>
                <c:pt idx="102">
                  <c:v>16.5</c:v>
                </c:pt>
                <c:pt idx="103">
                  <c:v>16.5</c:v>
                </c:pt>
                <c:pt idx="104">
                  <c:v>16.5</c:v>
                </c:pt>
                <c:pt idx="105">
                  <c:v>16.5</c:v>
                </c:pt>
                <c:pt idx="106">
                  <c:v>16.5</c:v>
                </c:pt>
                <c:pt idx="107">
                  <c:v>16.5</c:v>
                </c:pt>
                <c:pt idx="108">
                  <c:v>16.5</c:v>
                </c:pt>
                <c:pt idx="109">
                  <c:v>16.5</c:v>
                </c:pt>
                <c:pt idx="110">
                  <c:v>16.5</c:v>
                </c:pt>
                <c:pt idx="111">
                  <c:v>16.5</c:v>
                </c:pt>
                <c:pt idx="112">
                  <c:v>16.5</c:v>
                </c:pt>
                <c:pt idx="113">
                  <c:v>16.5</c:v>
                </c:pt>
                <c:pt idx="114">
                  <c:v>16.5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16.5</c:v>
                </c:pt>
                <c:pt idx="121">
                  <c:v>16.5</c:v>
                </c:pt>
                <c:pt idx="122">
                  <c:v>16.5</c:v>
                </c:pt>
                <c:pt idx="123">
                  <c:v>16.5</c:v>
                </c:pt>
                <c:pt idx="124">
                  <c:v>16.5</c:v>
                </c:pt>
                <c:pt idx="125">
                  <c:v>16.5</c:v>
                </c:pt>
                <c:pt idx="126">
                  <c:v>16.5</c:v>
                </c:pt>
                <c:pt idx="127">
                  <c:v>16.5</c:v>
                </c:pt>
                <c:pt idx="128">
                  <c:v>16.5</c:v>
                </c:pt>
                <c:pt idx="129">
                  <c:v>16.5</c:v>
                </c:pt>
                <c:pt idx="130">
                  <c:v>16.5</c:v>
                </c:pt>
                <c:pt idx="131">
                  <c:v>16.5</c:v>
                </c:pt>
                <c:pt idx="132">
                  <c:v>16.5</c:v>
                </c:pt>
                <c:pt idx="133">
                  <c:v>16.5</c:v>
                </c:pt>
                <c:pt idx="134">
                  <c:v>16.5</c:v>
                </c:pt>
                <c:pt idx="135">
                  <c:v>16.5</c:v>
                </c:pt>
                <c:pt idx="136">
                  <c:v>16.5</c:v>
                </c:pt>
                <c:pt idx="137">
                  <c:v>16.5</c:v>
                </c:pt>
                <c:pt idx="138">
                  <c:v>16.5</c:v>
                </c:pt>
                <c:pt idx="139">
                  <c:v>16.5</c:v>
                </c:pt>
                <c:pt idx="140">
                  <c:v>16.5</c:v>
                </c:pt>
                <c:pt idx="141">
                  <c:v>16.5</c:v>
                </c:pt>
                <c:pt idx="142">
                  <c:v>16.5</c:v>
                </c:pt>
                <c:pt idx="143">
                  <c:v>16.5</c:v>
                </c:pt>
                <c:pt idx="144">
                  <c:v>16.5</c:v>
                </c:pt>
                <c:pt idx="145">
                  <c:v>16.5</c:v>
                </c:pt>
                <c:pt idx="146">
                  <c:v>16.5</c:v>
                </c:pt>
                <c:pt idx="147">
                  <c:v>16.5</c:v>
                </c:pt>
                <c:pt idx="148">
                  <c:v>16.5</c:v>
                </c:pt>
                <c:pt idx="149">
                  <c:v>16.5</c:v>
                </c:pt>
                <c:pt idx="150">
                  <c:v>16.5</c:v>
                </c:pt>
                <c:pt idx="151">
                  <c:v>16.5</c:v>
                </c:pt>
                <c:pt idx="152">
                  <c:v>16.5</c:v>
                </c:pt>
                <c:pt idx="153">
                  <c:v>16.5</c:v>
                </c:pt>
                <c:pt idx="154">
                  <c:v>16.5</c:v>
                </c:pt>
                <c:pt idx="155">
                  <c:v>16.5</c:v>
                </c:pt>
                <c:pt idx="156">
                  <c:v>16.5</c:v>
                </c:pt>
                <c:pt idx="157">
                  <c:v>16.5</c:v>
                </c:pt>
                <c:pt idx="158">
                  <c:v>16.5</c:v>
                </c:pt>
                <c:pt idx="159">
                  <c:v>16.5</c:v>
                </c:pt>
                <c:pt idx="160">
                  <c:v>16.5</c:v>
                </c:pt>
                <c:pt idx="161">
                  <c:v>16.5</c:v>
                </c:pt>
                <c:pt idx="162">
                  <c:v>16.5</c:v>
                </c:pt>
                <c:pt idx="163">
                  <c:v>16.5</c:v>
                </c:pt>
                <c:pt idx="164">
                  <c:v>16.5</c:v>
                </c:pt>
                <c:pt idx="165">
                  <c:v>16.5</c:v>
                </c:pt>
                <c:pt idx="166">
                  <c:v>16.5</c:v>
                </c:pt>
                <c:pt idx="167">
                  <c:v>16.5</c:v>
                </c:pt>
                <c:pt idx="168">
                  <c:v>16.5</c:v>
                </c:pt>
                <c:pt idx="169">
                  <c:v>16.5</c:v>
                </c:pt>
                <c:pt idx="170">
                  <c:v>16.5</c:v>
                </c:pt>
                <c:pt idx="171">
                  <c:v>16.5</c:v>
                </c:pt>
                <c:pt idx="172">
                  <c:v>16.5</c:v>
                </c:pt>
                <c:pt idx="173">
                  <c:v>16.5</c:v>
                </c:pt>
                <c:pt idx="174">
                  <c:v>16.5</c:v>
                </c:pt>
                <c:pt idx="175">
                  <c:v>16.5</c:v>
                </c:pt>
                <c:pt idx="176">
                  <c:v>16.5</c:v>
                </c:pt>
                <c:pt idx="177">
                  <c:v>16.5</c:v>
                </c:pt>
                <c:pt idx="178">
                  <c:v>16.5</c:v>
                </c:pt>
                <c:pt idx="179">
                  <c:v>16.5</c:v>
                </c:pt>
                <c:pt idx="180">
                  <c:v>16.5</c:v>
                </c:pt>
                <c:pt idx="181">
                  <c:v>16.5</c:v>
                </c:pt>
                <c:pt idx="182">
                  <c:v>16.5</c:v>
                </c:pt>
                <c:pt idx="183">
                  <c:v>16.5</c:v>
                </c:pt>
                <c:pt idx="184">
                  <c:v>16.5</c:v>
                </c:pt>
                <c:pt idx="185">
                  <c:v>16.5</c:v>
                </c:pt>
                <c:pt idx="186">
                  <c:v>16.5</c:v>
                </c:pt>
                <c:pt idx="187">
                  <c:v>16.5</c:v>
                </c:pt>
                <c:pt idx="188">
                  <c:v>16.5</c:v>
                </c:pt>
                <c:pt idx="189">
                  <c:v>16.5</c:v>
                </c:pt>
                <c:pt idx="190">
                  <c:v>16.5</c:v>
                </c:pt>
                <c:pt idx="191">
                  <c:v>16.5</c:v>
                </c:pt>
                <c:pt idx="192">
                  <c:v>16.5</c:v>
                </c:pt>
                <c:pt idx="193">
                  <c:v>16.5</c:v>
                </c:pt>
                <c:pt idx="194">
                  <c:v>16.5</c:v>
                </c:pt>
                <c:pt idx="195">
                  <c:v>16.5</c:v>
                </c:pt>
                <c:pt idx="196">
                  <c:v>16.5</c:v>
                </c:pt>
                <c:pt idx="197">
                  <c:v>16.5</c:v>
                </c:pt>
                <c:pt idx="198">
                  <c:v>16.5</c:v>
                </c:pt>
                <c:pt idx="199">
                  <c:v>16.5</c:v>
                </c:pt>
                <c:pt idx="200">
                  <c:v>16.5</c:v>
                </c:pt>
                <c:pt idx="201">
                  <c:v>16.5</c:v>
                </c:pt>
                <c:pt idx="202">
                  <c:v>16.5</c:v>
                </c:pt>
                <c:pt idx="203">
                  <c:v>16.5</c:v>
                </c:pt>
                <c:pt idx="204">
                  <c:v>16.5</c:v>
                </c:pt>
                <c:pt idx="205">
                  <c:v>16.5</c:v>
                </c:pt>
                <c:pt idx="206">
                  <c:v>16.5</c:v>
                </c:pt>
                <c:pt idx="207">
                  <c:v>16.5</c:v>
                </c:pt>
                <c:pt idx="208">
                  <c:v>16.5</c:v>
                </c:pt>
                <c:pt idx="209">
                  <c:v>16.5</c:v>
                </c:pt>
                <c:pt idx="210">
                  <c:v>16.5</c:v>
                </c:pt>
                <c:pt idx="211">
                  <c:v>16.5</c:v>
                </c:pt>
                <c:pt idx="212">
                  <c:v>16.5</c:v>
                </c:pt>
                <c:pt idx="213">
                  <c:v>16.5</c:v>
                </c:pt>
                <c:pt idx="214">
                  <c:v>16.5</c:v>
                </c:pt>
                <c:pt idx="215">
                  <c:v>16.5</c:v>
                </c:pt>
                <c:pt idx="216">
                  <c:v>16.5</c:v>
                </c:pt>
                <c:pt idx="217">
                  <c:v>16.5</c:v>
                </c:pt>
                <c:pt idx="218">
                  <c:v>16.5</c:v>
                </c:pt>
                <c:pt idx="219">
                  <c:v>16.5</c:v>
                </c:pt>
                <c:pt idx="220">
                  <c:v>16.5</c:v>
                </c:pt>
                <c:pt idx="221">
                  <c:v>16.5</c:v>
                </c:pt>
                <c:pt idx="222">
                  <c:v>16.5</c:v>
                </c:pt>
                <c:pt idx="223">
                  <c:v>16.5</c:v>
                </c:pt>
                <c:pt idx="224">
                  <c:v>16.5</c:v>
                </c:pt>
                <c:pt idx="225">
                  <c:v>16.5</c:v>
                </c:pt>
                <c:pt idx="226">
                  <c:v>16.5</c:v>
                </c:pt>
                <c:pt idx="227">
                  <c:v>16.5</c:v>
                </c:pt>
                <c:pt idx="228">
                  <c:v>16.5</c:v>
                </c:pt>
                <c:pt idx="229">
                  <c:v>16.5</c:v>
                </c:pt>
                <c:pt idx="230">
                  <c:v>16.5</c:v>
                </c:pt>
                <c:pt idx="231">
                  <c:v>16.5</c:v>
                </c:pt>
                <c:pt idx="232">
                  <c:v>16.5</c:v>
                </c:pt>
                <c:pt idx="233">
                  <c:v>16.5</c:v>
                </c:pt>
                <c:pt idx="234">
                  <c:v>16.5</c:v>
                </c:pt>
                <c:pt idx="235">
                  <c:v>16.5</c:v>
                </c:pt>
                <c:pt idx="236">
                  <c:v>16.5</c:v>
                </c:pt>
                <c:pt idx="237">
                  <c:v>16.5</c:v>
                </c:pt>
                <c:pt idx="238">
                  <c:v>16.5</c:v>
                </c:pt>
                <c:pt idx="239">
                  <c:v>16.5</c:v>
                </c:pt>
                <c:pt idx="240">
                  <c:v>16.5</c:v>
                </c:pt>
                <c:pt idx="241">
                  <c:v>16.5</c:v>
                </c:pt>
                <c:pt idx="242">
                  <c:v>16.5</c:v>
                </c:pt>
                <c:pt idx="243">
                  <c:v>16.5</c:v>
                </c:pt>
                <c:pt idx="244">
                  <c:v>16.5</c:v>
                </c:pt>
                <c:pt idx="245">
                  <c:v>16.5</c:v>
                </c:pt>
                <c:pt idx="246">
                  <c:v>16.5</c:v>
                </c:pt>
                <c:pt idx="247">
                  <c:v>16.5</c:v>
                </c:pt>
                <c:pt idx="248">
                  <c:v>16.5</c:v>
                </c:pt>
                <c:pt idx="249">
                  <c:v>16.5</c:v>
                </c:pt>
                <c:pt idx="250">
                  <c:v>16.5</c:v>
                </c:pt>
                <c:pt idx="251">
                  <c:v>16.5</c:v>
                </c:pt>
                <c:pt idx="252">
                  <c:v>16.5</c:v>
                </c:pt>
                <c:pt idx="253">
                  <c:v>16.5</c:v>
                </c:pt>
                <c:pt idx="254">
                  <c:v>16.5</c:v>
                </c:pt>
                <c:pt idx="255">
                  <c:v>16.5</c:v>
                </c:pt>
                <c:pt idx="256">
                  <c:v>16.5</c:v>
                </c:pt>
                <c:pt idx="257">
                  <c:v>16.5</c:v>
                </c:pt>
                <c:pt idx="258">
                  <c:v>16.5</c:v>
                </c:pt>
                <c:pt idx="259">
                  <c:v>16.5</c:v>
                </c:pt>
                <c:pt idx="260">
                  <c:v>16.5</c:v>
                </c:pt>
                <c:pt idx="261">
                  <c:v>16.5</c:v>
                </c:pt>
                <c:pt idx="262">
                  <c:v>16.5</c:v>
                </c:pt>
                <c:pt idx="263">
                  <c:v>16.5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D0-4483-BC8C-3E82FF0F37AE}"/>
            </c:ext>
          </c:extLst>
        </c:ser>
        <c:ser>
          <c:idx val="4"/>
          <c:order val="4"/>
          <c:tx>
            <c:strRef>
              <c:f>Glencourse!$G$3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Glencourse!$A$4:$A$267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Glencourse!$G$4:$G$267</c:f>
              <c:numCache>
                <c:formatCode>0.00</c:formatCode>
                <c:ptCount val="26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D0-4483-BC8C-3E82FF0F37AE}"/>
            </c:ext>
          </c:extLst>
        </c:ser>
        <c:ser>
          <c:idx val="5"/>
          <c:order val="5"/>
          <c:tx>
            <c:strRef>
              <c:f>Glencourse!$J$2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D0-4483-BC8C-3E82FF0F37AE}"/>
            </c:ext>
          </c:extLst>
        </c:ser>
        <c:ser>
          <c:idx val="6"/>
          <c:order val="6"/>
          <c:tx>
            <c:strRef>
              <c:f>Glencourse!$K$2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D0-4483-BC8C-3E82FF0F37AE}"/>
            </c:ext>
          </c:extLst>
        </c:ser>
        <c:ser>
          <c:idx val="7"/>
          <c:order val="7"/>
          <c:tx>
            <c:strRef>
              <c:f>Glencourse!$L$2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D0-4483-BC8C-3E82FF0F37AE}"/>
            </c:ext>
          </c:extLst>
        </c:ser>
        <c:ser>
          <c:idx val="8"/>
          <c:order val="8"/>
          <c:tx>
            <c:strRef>
              <c:f>Glencourse!$M$2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D0-4483-BC8C-3E82FF0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2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Kithulgala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Kithulgala!$D$3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Kithulgala!$D$4:$D$267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</c:v>
                </c:pt>
                <c:pt idx="41">
                  <c:v>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6.1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4.8</c:v>
                </c:pt>
                <c:pt idx="54">
                  <c:v>0</c:v>
                </c:pt>
                <c:pt idx="55">
                  <c:v>0.5</c:v>
                </c:pt>
                <c:pt idx="56">
                  <c:v>1</c:v>
                </c:pt>
                <c:pt idx="57">
                  <c:v>4.4000000000000004</c:v>
                </c:pt>
                <c:pt idx="58">
                  <c:v>2.5</c:v>
                </c:pt>
                <c:pt idx="59">
                  <c:v>1.3</c:v>
                </c:pt>
                <c:pt idx="60">
                  <c:v>0</c:v>
                </c:pt>
                <c:pt idx="61">
                  <c:v>0.8</c:v>
                </c:pt>
                <c:pt idx="62">
                  <c:v>1.2</c:v>
                </c:pt>
                <c:pt idx="63">
                  <c:v>1</c:v>
                </c:pt>
                <c:pt idx="64">
                  <c:v>1.5</c:v>
                </c:pt>
                <c:pt idx="65">
                  <c:v>14.7</c:v>
                </c:pt>
                <c:pt idx="66">
                  <c:v>1.5</c:v>
                </c:pt>
                <c:pt idx="67">
                  <c:v>2.1</c:v>
                </c:pt>
                <c:pt idx="68">
                  <c:v>7.4</c:v>
                </c:pt>
                <c:pt idx="69">
                  <c:v>7.5</c:v>
                </c:pt>
                <c:pt idx="70">
                  <c:v>10.5</c:v>
                </c:pt>
                <c:pt idx="71">
                  <c:v>11.3</c:v>
                </c:pt>
                <c:pt idx="72">
                  <c:v>1.5</c:v>
                </c:pt>
                <c:pt idx="73">
                  <c:v>1.5</c:v>
                </c:pt>
                <c:pt idx="74">
                  <c:v>1</c:v>
                </c:pt>
                <c:pt idx="75">
                  <c:v>2.2999999999999998</c:v>
                </c:pt>
                <c:pt idx="76">
                  <c:v>0.8</c:v>
                </c:pt>
                <c:pt idx="77">
                  <c:v>12.3</c:v>
                </c:pt>
                <c:pt idx="78">
                  <c:v>8.9</c:v>
                </c:pt>
                <c:pt idx="79">
                  <c:v>8</c:v>
                </c:pt>
                <c:pt idx="80">
                  <c:v>5</c:v>
                </c:pt>
                <c:pt idx="81">
                  <c:v>3.8</c:v>
                </c:pt>
                <c:pt idx="82">
                  <c:v>3.2</c:v>
                </c:pt>
                <c:pt idx="83">
                  <c:v>2.5</c:v>
                </c:pt>
                <c:pt idx="84">
                  <c:v>0.5</c:v>
                </c:pt>
                <c:pt idx="85">
                  <c:v>1.2</c:v>
                </c:pt>
                <c:pt idx="86">
                  <c:v>6.5</c:v>
                </c:pt>
                <c:pt idx="87">
                  <c:v>12</c:v>
                </c:pt>
                <c:pt idx="88">
                  <c:v>10</c:v>
                </c:pt>
                <c:pt idx="89">
                  <c:v>7.5</c:v>
                </c:pt>
                <c:pt idx="90">
                  <c:v>7.2</c:v>
                </c:pt>
                <c:pt idx="91">
                  <c:v>21.2</c:v>
                </c:pt>
                <c:pt idx="92">
                  <c:v>7.3</c:v>
                </c:pt>
                <c:pt idx="93">
                  <c:v>16.7</c:v>
                </c:pt>
                <c:pt idx="94">
                  <c:v>12.2</c:v>
                </c:pt>
                <c:pt idx="95">
                  <c:v>28</c:v>
                </c:pt>
                <c:pt idx="96">
                  <c:v>16</c:v>
                </c:pt>
                <c:pt idx="97">
                  <c:v>17</c:v>
                </c:pt>
                <c:pt idx="98">
                  <c:v>15.5</c:v>
                </c:pt>
                <c:pt idx="99">
                  <c:v>7</c:v>
                </c:pt>
                <c:pt idx="100">
                  <c:v>5</c:v>
                </c:pt>
                <c:pt idx="101">
                  <c:v>9.1999999999999993</c:v>
                </c:pt>
                <c:pt idx="102">
                  <c:v>7</c:v>
                </c:pt>
                <c:pt idx="103">
                  <c:v>7.3</c:v>
                </c:pt>
                <c:pt idx="104">
                  <c:v>21.5</c:v>
                </c:pt>
                <c:pt idx="105">
                  <c:v>30.5</c:v>
                </c:pt>
                <c:pt idx="106">
                  <c:v>17.399999999999999</c:v>
                </c:pt>
                <c:pt idx="107">
                  <c:v>22</c:v>
                </c:pt>
                <c:pt idx="108">
                  <c:v>27.5</c:v>
                </c:pt>
                <c:pt idx="109">
                  <c:v>15</c:v>
                </c:pt>
                <c:pt idx="110">
                  <c:v>4.2</c:v>
                </c:pt>
                <c:pt idx="111">
                  <c:v>7.3</c:v>
                </c:pt>
                <c:pt idx="112">
                  <c:v>7.9</c:v>
                </c:pt>
                <c:pt idx="113">
                  <c:v>3.5</c:v>
                </c:pt>
                <c:pt idx="114">
                  <c:v>2</c:v>
                </c:pt>
                <c:pt idx="115">
                  <c:v>1</c:v>
                </c:pt>
                <c:pt idx="116">
                  <c:v>1.2</c:v>
                </c:pt>
                <c:pt idx="117">
                  <c:v>1.5</c:v>
                </c:pt>
                <c:pt idx="118">
                  <c:v>1.3</c:v>
                </c:pt>
                <c:pt idx="119">
                  <c:v>0.5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4</c:v>
                </c:pt>
                <c:pt idx="126">
                  <c:v>0.5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4FA1-989E-A4E35D23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Kithulgala!$B$3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Kithulgala!$A$4:$A$267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Kithulgala!$B$4:$B$267</c:f>
              <c:numCache>
                <c:formatCode>0.00</c:formatCode>
                <c:ptCount val="264"/>
                <c:pt idx="0">
                  <c:v>1.8</c:v>
                </c:pt>
                <c:pt idx="1">
                  <c:v>1.7</c:v>
                </c:pt>
                <c:pt idx="2">
                  <c:v>1.7</c:v>
                </c:pt>
                <c:pt idx="3">
                  <c:v>1.7</c:v>
                </c:pt>
                <c:pt idx="4">
                  <c:v>1.7</c:v>
                </c:pt>
                <c:pt idx="5">
                  <c:v>1.65</c:v>
                </c:pt>
                <c:pt idx="6">
                  <c:v>1.69</c:v>
                </c:pt>
                <c:pt idx="7">
                  <c:v>1.58</c:v>
                </c:pt>
                <c:pt idx="8">
                  <c:v>1.57</c:v>
                </c:pt>
                <c:pt idx="9">
                  <c:v>1.66</c:v>
                </c:pt>
                <c:pt idx="10">
                  <c:v>1.47</c:v>
                </c:pt>
                <c:pt idx="11">
                  <c:v>1.47</c:v>
                </c:pt>
                <c:pt idx="12">
                  <c:v>1.74</c:v>
                </c:pt>
                <c:pt idx="13">
                  <c:v>1.8</c:v>
                </c:pt>
                <c:pt idx="14">
                  <c:v>1.99</c:v>
                </c:pt>
                <c:pt idx="15">
                  <c:v>1.93</c:v>
                </c:pt>
                <c:pt idx="16">
                  <c:v>2.14</c:v>
                </c:pt>
                <c:pt idx="17">
                  <c:v>1.98</c:v>
                </c:pt>
                <c:pt idx="18">
                  <c:v>1.95</c:v>
                </c:pt>
                <c:pt idx="19">
                  <c:v>1.96</c:v>
                </c:pt>
                <c:pt idx="20">
                  <c:v>1.9</c:v>
                </c:pt>
                <c:pt idx="21">
                  <c:v>1.9</c:v>
                </c:pt>
                <c:pt idx="22">
                  <c:v>1.88</c:v>
                </c:pt>
                <c:pt idx="23">
                  <c:v>1.8</c:v>
                </c:pt>
                <c:pt idx="24">
                  <c:v>1.8</c:v>
                </c:pt>
                <c:pt idx="25">
                  <c:v>1.8</c:v>
                </c:pt>
                <c:pt idx="26">
                  <c:v>1.7</c:v>
                </c:pt>
                <c:pt idx="27">
                  <c:v>1.89</c:v>
                </c:pt>
                <c:pt idx="28">
                  <c:v>1.83</c:v>
                </c:pt>
                <c:pt idx="29">
                  <c:v>1.83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1.76</c:v>
                </c:pt>
                <c:pt idx="35">
                  <c:v>1.76</c:v>
                </c:pt>
                <c:pt idx="36">
                  <c:v>1.75</c:v>
                </c:pt>
                <c:pt idx="37">
                  <c:v>1.58</c:v>
                </c:pt>
                <c:pt idx="38">
                  <c:v>1.7</c:v>
                </c:pt>
                <c:pt idx="39">
                  <c:v>1.72</c:v>
                </c:pt>
                <c:pt idx="40">
                  <c:v>1.85</c:v>
                </c:pt>
                <c:pt idx="41">
                  <c:v>1.78</c:v>
                </c:pt>
                <c:pt idx="42">
                  <c:v>1.73</c:v>
                </c:pt>
                <c:pt idx="43">
                  <c:v>1.89</c:v>
                </c:pt>
                <c:pt idx="44">
                  <c:v>1.89</c:v>
                </c:pt>
                <c:pt idx="45">
                  <c:v>1.83</c:v>
                </c:pt>
                <c:pt idx="46">
                  <c:v>1.83</c:v>
                </c:pt>
                <c:pt idx="47">
                  <c:v>1.53</c:v>
                </c:pt>
                <c:pt idx="48">
                  <c:v>1.59</c:v>
                </c:pt>
                <c:pt idx="49">
                  <c:v>1.65</c:v>
                </c:pt>
                <c:pt idx="50">
                  <c:v>1.69</c:v>
                </c:pt>
                <c:pt idx="51">
                  <c:v>1.69</c:v>
                </c:pt>
                <c:pt idx="52">
                  <c:v>1.73</c:v>
                </c:pt>
                <c:pt idx="53">
                  <c:v>1.79</c:v>
                </c:pt>
                <c:pt idx="54">
                  <c:v>1.9</c:v>
                </c:pt>
                <c:pt idx="55">
                  <c:v>1.8</c:v>
                </c:pt>
                <c:pt idx="56">
                  <c:v>1.8</c:v>
                </c:pt>
                <c:pt idx="57">
                  <c:v>1.72</c:v>
                </c:pt>
                <c:pt idx="58">
                  <c:v>1.84</c:v>
                </c:pt>
                <c:pt idx="59">
                  <c:v>1.84</c:v>
                </c:pt>
                <c:pt idx="60">
                  <c:v>1.85</c:v>
                </c:pt>
                <c:pt idx="61">
                  <c:v>1.85</c:v>
                </c:pt>
                <c:pt idx="62">
                  <c:v>1.86</c:v>
                </c:pt>
                <c:pt idx="63">
                  <c:v>1.85</c:v>
                </c:pt>
                <c:pt idx="64">
                  <c:v>1.85</c:v>
                </c:pt>
                <c:pt idx="65">
                  <c:v>1.8</c:v>
                </c:pt>
                <c:pt idx="66">
                  <c:v>1.95</c:v>
                </c:pt>
                <c:pt idx="67">
                  <c:v>1.96</c:v>
                </c:pt>
                <c:pt idx="68">
                  <c:v>1.92</c:v>
                </c:pt>
                <c:pt idx="69">
                  <c:v>1.9</c:v>
                </c:pt>
                <c:pt idx="70">
                  <c:v>1.83</c:v>
                </c:pt>
                <c:pt idx="71">
                  <c:v>1.9</c:v>
                </c:pt>
                <c:pt idx="72">
                  <c:v>1.95</c:v>
                </c:pt>
                <c:pt idx="73">
                  <c:v>1.98</c:v>
                </c:pt>
                <c:pt idx="74">
                  <c:v>1.98</c:v>
                </c:pt>
                <c:pt idx="75">
                  <c:v>1.98</c:v>
                </c:pt>
                <c:pt idx="76">
                  <c:v>2.0499999999999998</c:v>
                </c:pt>
                <c:pt idx="77">
                  <c:v>2.1</c:v>
                </c:pt>
                <c:pt idx="78">
                  <c:v>2.1800000000000002</c:v>
                </c:pt>
                <c:pt idx="79">
                  <c:v>2.19</c:v>
                </c:pt>
                <c:pt idx="80">
                  <c:v>2.19</c:v>
                </c:pt>
                <c:pt idx="81">
                  <c:v>2.3199999999999998</c:v>
                </c:pt>
                <c:pt idx="82">
                  <c:v>2.35</c:v>
                </c:pt>
                <c:pt idx="83">
                  <c:v>2.4500000000000002</c:v>
                </c:pt>
                <c:pt idx="84">
                  <c:v>2.4300000000000002</c:v>
                </c:pt>
                <c:pt idx="85">
                  <c:v>2.42</c:v>
                </c:pt>
                <c:pt idx="86">
                  <c:v>2.4500000000000002</c:v>
                </c:pt>
                <c:pt idx="87">
                  <c:v>2.2799999999999998</c:v>
                </c:pt>
                <c:pt idx="88">
                  <c:v>2.5499999999999998</c:v>
                </c:pt>
                <c:pt idx="89">
                  <c:v>3.39</c:v>
                </c:pt>
                <c:pt idx="90">
                  <c:v>3.76</c:v>
                </c:pt>
                <c:pt idx="91">
                  <c:v>3.94</c:v>
                </c:pt>
                <c:pt idx="92">
                  <c:v>5.47</c:v>
                </c:pt>
                <c:pt idx="93">
                  <c:v>5.81</c:v>
                </c:pt>
                <c:pt idx="94">
                  <c:v>5.85</c:v>
                </c:pt>
                <c:pt idx="95">
                  <c:v>6.18</c:v>
                </c:pt>
                <c:pt idx="96">
                  <c:v>6.1</c:v>
                </c:pt>
                <c:pt idx="97">
                  <c:v>6.18</c:v>
                </c:pt>
                <c:pt idx="98">
                  <c:v>6.18</c:v>
                </c:pt>
                <c:pt idx="99">
                  <c:v>6.05</c:v>
                </c:pt>
                <c:pt idx="100">
                  <c:v>5.65</c:v>
                </c:pt>
                <c:pt idx="101">
                  <c:v>5.3</c:v>
                </c:pt>
                <c:pt idx="102">
                  <c:v>5.25</c:v>
                </c:pt>
                <c:pt idx="103">
                  <c:v>5.0999999999999996</c:v>
                </c:pt>
                <c:pt idx="104">
                  <c:v>5.05</c:v>
                </c:pt>
                <c:pt idx="105">
                  <c:v>5.38</c:v>
                </c:pt>
                <c:pt idx="106">
                  <c:v>6.25</c:v>
                </c:pt>
                <c:pt idx="107">
                  <c:v>6.48</c:v>
                </c:pt>
                <c:pt idx="108">
                  <c:v>7.1</c:v>
                </c:pt>
                <c:pt idx="109">
                  <c:v>6.8</c:v>
                </c:pt>
                <c:pt idx="110">
                  <c:v>6</c:v>
                </c:pt>
                <c:pt idx="111">
                  <c:v>5.26</c:v>
                </c:pt>
                <c:pt idx="112">
                  <c:v>4.8</c:v>
                </c:pt>
                <c:pt idx="113">
                  <c:v>4.6500000000000004</c:v>
                </c:pt>
                <c:pt idx="114">
                  <c:v>4.2</c:v>
                </c:pt>
                <c:pt idx="115">
                  <c:v>4.1500000000000004</c:v>
                </c:pt>
                <c:pt idx="116">
                  <c:v>4.05</c:v>
                </c:pt>
                <c:pt idx="117">
                  <c:v>3.89</c:v>
                </c:pt>
                <c:pt idx="118">
                  <c:v>3.92</c:v>
                </c:pt>
                <c:pt idx="119">
                  <c:v>3.75</c:v>
                </c:pt>
                <c:pt idx="120">
                  <c:v>3.69</c:v>
                </c:pt>
                <c:pt idx="121">
                  <c:v>3.55</c:v>
                </c:pt>
                <c:pt idx="122">
                  <c:v>3.48</c:v>
                </c:pt>
                <c:pt idx="123">
                  <c:v>3.48</c:v>
                </c:pt>
                <c:pt idx="124">
                  <c:v>3.52</c:v>
                </c:pt>
                <c:pt idx="125">
                  <c:v>3.4</c:v>
                </c:pt>
                <c:pt idx="126">
                  <c:v>3.35</c:v>
                </c:pt>
                <c:pt idx="127">
                  <c:v>3.28</c:v>
                </c:pt>
                <c:pt idx="128">
                  <c:v>3.15</c:v>
                </c:pt>
                <c:pt idx="129">
                  <c:v>3.05</c:v>
                </c:pt>
                <c:pt idx="130">
                  <c:v>3</c:v>
                </c:pt>
                <c:pt idx="131">
                  <c:v>2.9</c:v>
                </c:pt>
                <c:pt idx="132">
                  <c:v>3.05</c:v>
                </c:pt>
                <c:pt idx="133">
                  <c:v>3</c:v>
                </c:pt>
                <c:pt idx="134">
                  <c:v>2.85</c:v>
                </c:pt>
                <c:pt idx="135">
                  <c:v>2.95</c:v>
                </c:pt>
                <c:pt idx="136">
                  <c:v>3.3</c:v>
                </c:pt>
                <c:pt idx="137">
                  <c:v>3.35</c:v>
                </c:pt>
                <c:pt idx="138">
                  <c:v>3.25</c:v>
                </c:pt>
                <c:pt idx="139">
                  <c:v>2.8</c:v>
                </c:pt>
                <c:pt idx="140">
                  <c:v>2.7</c:v>
                </c:pt>
                <c:pt idx="141">
                  <c:v>2.75</c:v>
                </c:pt>
                <c:pt idx="142">
                  <c:v>2.8</c:v>
                </c:pt>
                <c:pt idx="143">
                  <c:v>2.75</c:v>
                </c:pt>
                <c:pt idx="144">
                  <c:v>2.65</c:v>
                </c:pt>
                <c:pt idx="145">
                  <c:v>2.56</c:v>
                </c:pt>
                <c:pt idx="146">
                  <c:v>2.56</c:v>
                </c:pt>
                <c:pt idx="147">
                  <c:v>2.5</c:v>
                </c:pt>
                <c:pt idx="148">
                  <c:v>2.5</c:v>
                </c:pt>
                <c:pt idx="149">
                  <c:v>2.8</c:v>
                </c:pt>
                <c:pt idx="150">
                  <c:v>2.79</c:v>
                </c:pt>
                <c:pt idx="151">
                  <c:v>2.78</c:v>
                </c:pt>
                <c:pt idx="152">
                  <c:v>2.62</c:v>
                </c:pt>
                <c:pt idx="153">
                  <c:v>2.5499999999999998</c:v>
                </c:pt>
                <c:pt idx="154">
                  <c:v>2.52</c:v>
                </c:pt>
                <c:pt idx="155">
                  <c:v>2.48</c:v>
                </c:pt>
                <c:pt idx="156">
                  <c:v>2.25</c:v>
                </c:pt>
                <c:pt idx="157">
                  <c:v>2.29</c:v>
                </c:pt>
                <c:pt idx="158">
                  <c:v>2.63</c:v>
                </c:pt>
                <c:pt idx="159">
                  <c:v>2.66</c:v>
                </c:pt>
                <c:pt idx="160">
                  <c:v>2.59</c:v>
                </c:pt>
                <c:pt idx="161">
                  <c:v>2.5499999999999998</c:v>
                </c:pt>
                <c:pt idx="162">
                  <c:v>2.72</c:v>
                </c:pt>
                <c:pt idx="163">
                  <c:v>2.69</c:v>
                </c:pt>
                <c:pt idx="164">
                  <c:v>2.65</c:v>
                </c:pt>
                <c:pt idx="165">
                  <c:v>2.39</c:v>
                </c:pt>
                <c:pt idx="166">
                  <c:v>2.4900000000000002</c:v>
                </c:pt>
                <c:pt idx="167">
                  <c:v>2.35</c:v>
                </c:pt>
                <c:pt idx="168">
                  <c:v>2.35</c:v>
                </c:pt>
                <c:pt idx="169">
                  <c:v>2.39</c:v>
                </c:pt>
                <c:pt idx="170">
                  <c:v>2.35</c:v>
                </c:pt>
                <c:pt idx="171">
                  <c:v>2.29</c:v>
                </c:pt>
                <c:pt idx="172">
                  <c:v>2.2799999999999998</c:v>
                </c:pt>
                <c:pt idx="173">
                  <c:v>2.25</c:v>
                </c:pt>
                <c:pt idx="174">
                  <c:v>2.58</c:v>
                </c:pt>
                <c:pt idx="175">
                  <c:v>2.58</c:v>
                </c:pt>
                <c:pt idx="176">
                  <c:v>2.58</c:v>
                </c:pt>
                <c:pt idx="177">
                  <c:v>2.35</c:v>
                </c:pt>
                <c:pt idx="178">
                  <c:v>2.25</c:v>
                </c:pt>
                <c:pt idx="179">
                  <c:v>2.2000000000000002</c:v>
                </c:pt>
                <c:pt idx="180">
                  <c:v>2.0499999999999998</c:v>
                </c:pt>
                <c:pt idx="181">
                  <c:v>2.25</c:v>
                </c:pt>
                <c:pt idx="182">
                  <c:v>2.25</c:v>
                </c:pt>
                <c:pt idx="183">
                  <c:v>2.2000000000000002</c:v>
                </c:pt>
                <c:pt idx="184">
                  <c:v>2</c:v>
                </c:pt>
                <c:pt idx="185">
                  <c:v>2.2000000000000002</c:v>
                </c:pt>
                <c:pt idx="186">
                  <c:v>2.2999999999999998</c:v>
                </c:pt>
                <c:pt idx="187">
                  <c:v>2.1800000000000002</c:v>
                </c:pt>
                <c:pt idx="188">
                  <c:v>2.15</c:v>
                </c:pt>
                <c:pt idx="189">
                  <c:v>2.0499999999999998</c:v>
                </c:pt>
                <c:pt idx="190">
                  <c:v>2.0499999999999998</c:v>
                </c:pt>
                <c:pt idx="191">
                  <c:v>2.0499999999999998</c:v>
                </c:pt>
                <c:pt idx="192">
                  <c:v>2.15</c:v>
                </c:pt>
                <c:pt idx="193">
                  <c:v>2.15</c:v>
                </c:pt>
                <c:pt idx="194">
                  <c:v>2.15</c:v>
                </c:pt>
                <c:pt idx="195">
                  <c:v>2</c:v>
                </c:pt>
                <c:pt idx="196">
                  <c:v>2</c:v>
                </c:pt>
                <c:pt idx="197">
                  <c:v>2.15</c:v>
                </c:pt>
                <c:pt idx="198">
                  <c:v>2.1</c:v>
                </c:pt>
                <c:pt idx="199">
                  <c:v>2.1800000000000002</c:v>
                </c:pt>
                <c:pt idx="200">
                  <c:v>2.12</c:v>
                </c:pt>
                <c:pt idx="201">
                  <c:v>1.9</c:v>
                </c:pt>
                <c:pt idx="202">
                  <c:v>2.1800000000000002</c:v>
                </c:pt>
                <c:pt idx="203">
                  <c:v>1.98</c:v>
                </c:pt>
                <c:pt idx="204">
                  <c:v>1.98</c:v>
                </c:pt>
                <c:pt idx="205">
                  <c:v>1.98</c:v>
                </c:pt>
                <c:pt idx="206">
                  <c:v>1.98</c:v>
                </c:pt>
                <c:pt idx="207">
                  <c:v>2.04</c:v>
                </c:pt>
                <c:pt idx="208">
                  <c:v>2.1</c:v>
                </c:pt>
                <c:pt idx="209" formatCode="General">
                  <c:v>2.1800000000000002</c:v>
                </c:pt>
                <c:pt idx="210" formatCode="General">
                  <c:v>2.2000000000000002</c:v>
                </c:pt>
                <c:pt idx="211" formatCode="General">
                  <c:v>2.1800000000000002</c:v>
                </c:pt>
                <c:pt idx="212" formatCode="General">
                  <c:v>2.1800000000000002</c:v>
                </c:pt>
                <c:pt idx="213" formatCode="General">
                  <c:v>2.15</c:v>
                </c:pt>
                <c:pt idx="214" formatCode="General">
                  <c:v>2.12</c:v>
                </c:pt>
                <c:pt idx="215" formatCode="General">
                  <c:v>2.0499999999999998</c:v>
                </c:pt>
                <c:pt idx="216" formatCode="General">
                  <c:v>2.2999999999999998</c:v>
                </c:pt>
                <c:pt idx="217" formatCode="General">
                  <c:v>2.17</c:v>
                </c:pt>
                <c:pt idx="218" formatCode="General">
                  <c:v>2.0499999999999998</c:v>
                </c:pt>
                <c:pt idx="219" formatCode="General">
                  <c:v>2</c:v>
                </c:pt>
                <c:pt idx="220" formatCode="General">
                  <c:v>2.15</c:v>
                </c:pt>
                <c:pt idx="221" formatCode="General">
                  <c:v>2.15</c:v>
                </c:pt>
                <c:pt idx="222" formatCode="General">
                  <c:v>2.16</c:v>
                </c:pt>
                <c:pt idx="223" formatCode="General">
                  <c:v>2.11</c:v>
                </c:pt>
                <c:pt idx="224" formatCode="General">
                  <c:v>2.11</c:v>
                </c:pt>
                <c:pt idx="225" formatCode="General">
                  <c:v>2.0499999999999998</c:v>
                </c:pt>
                <c:pt idx="226" formatCode="General">
                  <c:v>2.0699999999999998</c:v>
                </c:pt>
                <c:pt idx="227" formatCode="General">
                  <c:v>2.0499999999999998</c:v>
                </c:pt>
                <c:pt idx="228" formatCode="General">
                  <c:v>1.98</c:v>
                </c:pt>
                <c:pt idx="229" formatCode="General">
                  <c:v>1.97</c:v>
                </c:pt>
                <c:pt idx="230" formatCode="General">
                  <c:v>1.88</c:v>
                </c:pt>
                <c:pt idx="231" formatCode="General">
                  <c:v>1.95</c:v>
                </c:pt>
                <c:pt idx="232" formatCode="General">
                  <c:v>1.85</c:v>
                </c:pt>
                <c:pt idx="233" formatCode="General">
                  <c:v>1.91</c:v>
                </c:pt>
                <c:pt idx="234" formatCode="General">
                  <c:v>1.91</c:v>
                </c:pt>
                <c:pt idx="235" formatCode="General">
                  <c:v>1.95</c:v>
                </c:pt>
                <c:pt idx="236" formatCode="General">
                  <c:v>1.98</c:v>
                </c:pt>
                <c:pt idx="237" formatCode="General">
                  <c:v>1.98</c:v>
                </c:pt>
                <c:pt idx="238" formatCode="General">
                  <c:v>1.98</c:v>
                </c:pt>
                <c:pt idx="239" formatCode="General">
                  <c:v>1.98</c:v>
                </c:pt>
                <c:pt idx="240" formatCode="General">
                  <c:v>1.96</c:v>
                </c:pt>
                <c:pt idx="241" formatCode="General">
                  <c:v>2.2999999999999998</c:v>
                </c:pt>
                <c:pt idx="242" formatCode="General">
                  <c:v>2.25</c:v>
                </c:pt>
                <c:pt idx="243" formatCode="General">
                  <c:v>2.1</c:v>
                </c:pt>
                <c:pt idx="244" formatCode="General">
                  <c:v>2.0499999999999998</c:v>
                </c:pt>
                <c:pt idx="245" formatCode="General">
                  <c:v>1.93</c:v>
                </c:pt>
                <c:pt idx="246" formatCode="General">
                  <c:v>1.88</c:v>
                </c:pt>
                <c:pt idx="247" formatCode="General">
                  <c:v>1.84</c:v>
                </c:pt>
                <c:pt idx="248" formatCode="General">
                  <c:v>1.63</c:v>
                </c:pt>
                <c:pt idx="249" formatCode="General">
                  <c:v>1.58</c:v>
                </c:pt>
                <c:pt idx="250" formatCode="General">
                  <c:v>1.5</c:v>
                </c:pt>
                <c:pt idx="251" formatCode="General">
                  <c:v>1.5</c:v>
                </c:pt>
                <c:pt idx="252" formatCode="General">
                  <c:v>1.49</c:v>
                </c:pt>
                <c:pt idx="253" formatCode="General">
                  <c:v>1.5</c:v>
                </c:pt>
                <c:pt idx="254" formatCode="General">
                  <c:v>1.51</c:v>
                </c:pt>
                <c:pt idx="255" formatCode="General">
                  <c:v>1.95</c:v>
                </c:pt>
                <c:pt idx="256" formatCode="General">
                  <c:v>1.91</c:v>
                </c:pt>
                <c:pt idx="257" formatCode="General">
                  <c:v>2.09</c:v>
                </c:pt>
                <c:pt idx="258" formatCode="General">
                  <c:v>2.2000000000000002</c:v>
                </c:pt>
                <c:pt idx="259" formatCode="General">
                  <c:v>2.08</c:v>
                </c:pt>
                <c:pt idx="260" formatCode="General">
                  <c:v>2.0699999999999998</c:v>
                </c:pt>
                <c:pt idx="261" formatCode="General">
                  <c:v>2.06</c:v>
                </c:pt>
                <c:pt idx="262" formatCode="General">
                  <c:v>2.0299999999999998</c:v>
                </c:pt>
                <c:pt idx="263" formatCode="General">
                  <c:v>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B8-4FA1-989E-A4E35D23E7AF}"/>
            </c:ext>
          </c:extLst>
        </c:ser>
        <c:ser>
          <c:idx val="2"/>
          <c:order val="2"/>
          <c:tx>
            <c:strRef>
              <c:f>Kithulgala!$E$3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Kithulgala!$A$4:$A$267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Kithulgala!$E$4:$E$267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B8-4FA1-989E-A4E35D23E7AF}"/>
            </c:ext>
          </c:extLst>
        </c:ser>
        <c:ser>
          <c:idx val="3"/>
          <c:order val="3"/>
          <c:tx>
            <c:strRef>
              <c:f>Kithulgala!$F$3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Kithulgala!$A$4:$A$267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Kithulgala!$F$4:$F$267</c:f>
              <c:numCache>
                <c:formatCode>0.00</c:formatCode>
                <c:ptCount val="26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B8-4FA1-989E-A4E35D23E7AF}"/>
            </c:ext>
          </c:extLst>
        </c:ser>
        <c:ser>
          <c:idx val="4"/>
          <c:order val="4"/>
          <c:tx>
            <c:strRef>
              <c:f>Kithulgala!$G$3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Kithulgala!$A$4:$A$267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Kithulgala!$G$4:$G$267</c:f>
              <c:numCache>
                <c:formatCode>0.00</c:formatCode>
                <c:ptCount val="26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B8-4FA1-989E-A4E35D23E7AF}"/>
            </c:ext>
          </c:extLst>
        </c:ser>
        <c:ser>
          <c:idx val="5"/>
          <c:order val="5"/>
          <c:tx>
            <c:strRef>
              <c:f>Kithulgala!$J$2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B8-4FA1-989E-A4E35D23E7AF}"/>
            </c:ext>
          </c:extLst>
        </c:ser>
        <c:ser>
          <c:idx val="6"/>
          <c:order val="6"/>
          <c:tx>
            <c:strRef>
              <c:f>Kithulgala!$K$2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B8-4FA1-989E-A4E35D23E7AF}"/>
            </c:ext>
          </c:extLst>
        </c:ser>
        <c:ser>
          <c:idx val="7"/>
          <c:order val="7"/>
          <c:tx>
            <c:strRef>
              <c:f>Kithulgala!$L$2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B8-4FA1-989E-A4E35D23E7AF}"/>
            </c:ext>
          </c:extLst>
        </c:ser>
        <c:ser>
          <c:idx val="8"/>
          <c:order val="8"/>
          <c:tx>
            <c:strRef>
              <c:f>Kithulgala!$M$2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B8-4FA1-989E-A4E35D23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Holombuwa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Holombuwa!$D$3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Holombuwa!$D$4:$D$267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1.1000000000000001</c:v>
                </c:pt>
                <c:pt idx="16">
                  <c:v>0</c:v>
                </c:pt>
                <c:pt idx="17">
                  <c:v>0.8</c:v>
                </c:pt>
                <c:pt idx="18">
                  <c:v>4.5</c:v>
                </c:pt>
                <c:pt idx="19">
                  <c:v>0.8</c:v>
                </c:pt>
                <c:pt idx="20">
                  <c:v>0</c:v>
                </c:pt>
                <c:pt idx="21">
                  <c:v>0</c:v>
                </c:pt>
                <c:pt idx="22">
                  <c:v>1.1000000000000001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</c:v>
                </c:pt>
                <c:pt idx="36">
                  <c:v>0.6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0.8</c:v>
                </c:pt>
                <c:pt idx="46">
                  <c:v>0.8</c:v>
                </c:pt>
                <c:pt idx="47">
                  <c:v>0.6</c:v>
                </c:pt>
                <c:pt idx="48">
                  <c:v>7.6</c:v>
                </c:pt>
                <c:pt idx="49">
                  <c:v>1.1000000000000001</c:v>
                </c:pt>
                <c:pt idx="50">
                  <c:v>0.3</c:v>
                </c:pt>
                <c:pt idx="51">
                  <c:v>0</c:v>
                </c:pt>
                <c:pt idx="52">
                  <c:v>0</c:v>
                </c:pt>
                <c:pt idx="53">
                  <c:v>4.8</c:v>
                </c:pt>
                <c:pt idx="54">
                  <c:v>2.8</c:v>
                </c:pt>
                <c:pt idx="55">
                  <c:v>0.3</c:v>
                </c:pt>
                <c:pt idx="56">
                  <c:v>0.9</c:v>
                </c:pt>
                <c:pt idx="57">
                  <c:v>5.6</c:v>
                </c:pt>
                <c:pt idx="58">
                  <c:v>4.5</c:v>
                </c:pt>
                <c:pt idx="59">
                  <c:v>5.3</c:v>
                </c:pt>
                <c:pt idx="60">
                  <c:v>0.8</c:v>
                </c:pt>
                <c:pt idx="61">
                  <c:v>0.3</c:v>
                </c:pt>
                <c:pt idx="62">
                  <c:v>0.6</c:v>
                </c:pt>
                <c:pt idx="63">
                  <c:v>0.6</c:v>
                </c:pt>
                <c:pt idx="64">
                  <c:v>0.8</c:v>
                </c:pt>
                <c:pt idx="65">
                  <c:v>19.600000000000001</c:v>
                </c:pt>
                <c:pt idx="66">
                  <c:v>3.1</c:v>
                </c:pt>
                <c:pt idx="67">
                  <c:v>4.2</c:v>
                </c:pt>
                <c:pt idx="68">
                  <c:v>4.5</c:v>
                </c:pt>
                <c:pt idx="69">
                  <c:v>9.8000000000000007</c:v>
                </c:pt>
                <c:pt idx="70">
                  <c:v>16.600000000000001</c:v>
                </c:pt>
                <c:pt idx="71">
                  <c:v>11.2</c:v>
                </c:pt>
                <c:pt idx="72">
                  <c:v>12.9</c:v>
                </c:pt>
                <c:pt idx="73">
                  <c:v>9</c:v>
                </c:pt>
                <c:pt idx="74">
                  <c:v>6.2</c:v>
                </c:pt>
                <c:pt idx="75">
                  <c:v>4.8</c:v>
                </c:pt>
                <c:pt idx="76">
                  <c:v>0.6</c:v>
                </c:pt>
                <c:pt idx="77">
                  <c:v>5.9</c:v>
                </c:pt>
                <c:pt idx="78">
                  <c:v>5.9</c:v>
                </c:pt>
                <c:pt idx="79">
                  <c:v>7.6</c:v>
                </c:pt>
                <c:pt idx="80">
                  <c:v>2.5</c:v>
                </c:pt>
                <c:pt idx="81">
                  <c:v>0.8</c:v>
                </c:pt>
                <c:pt idx="82">
                  <c:v>3.1</c:v>
                </c:pt>
                <c:pt idx="83">
                  <c:v>3.6</c:v>
                </c:pt>
                <c:pt idx="84">
                  <c:v>0.8</c:v>
                </c:pt>
                <c:pt idx="85">
                  <c:v>0.6</c:v>
                </c:pt>
                <c:pt idx="86">
                  <c:v>5.9</c:v>
                </c:pt>
                <c:pt idx="87">
                  <c:v>5</c:v>
                </c:pt>
                <c:pt idx="88">
                  <c:v>5.9</c:v>
                </c:pt>
                <c:pt idx="89">
                  <c:v>8.4</c:v>
                </c:pt>
                <c:pt idx="90">
                  <c:v>6.4</c:v>
                </c:pt>
                <c:pt idx="91">
                  <c:v>14.3</c:v>
                </c:pt>
                <c:pt idx="92">
                  <c:v>9.8000000000000007</c:v>
                </c:pt>
                <c:pt idx="93">
                  <c:v>10.9</c:v>
                </c:pt>
                <c:pt idx="94">
                  <c:v>19</c:v>
                </c:pt>
                <c:pt idx="95">
                  <c:v>13.2</c:v>
                </c:pt>
                <c:pt idx="96">
                  <c:v>4.8</c:v>
                </c:pt>
                <c:pt idx="97">
                  <c:v>10.1</c:v>
                </c:pt>
                <c:pt idx="98">
                  <c:v>5.6</c:v>
                </c:pt>
                <c:pt idx="99">
                  <c:v>4.5</c:v>
                </c:pt>
                <c:pt idx="100">
                  <c:v>0.6</c:v>
                </c:pt>
                <c:pt idx="101">
                  <c:v>2.2000000000000002</c:v>
                </c:pt>
                <c:pt idx="102">
                  <c:v>4.8</c:v>
                </c:pt>
                <c:pt idx="103">
                  <c:v>10.6</c:v>
                </c:pt>
                <c:pt idx="104">
                  <c:v>14.6</c:v>
                </c:pt>
                <c:pt idx="105">
                  <c:v>14</c:v>
                </c:pt>
                <c:pt idx="106">
                  <c:v>5.9</c:v>
                </c:pt>
                <c:pt idx="107">
                  <c:v>5.9</c:v>
                </c:pt>
                <c:pt idx="108">
                  <c:v>5</c:v>
                </c:pt>
                <c:pt idx="109">
                  <c:v>11.8</c:v>
                </c:pt>
                <c:pt idx="110">
                  <c:v>12</c:v>
                </c:pt>
                <c:pt idx="111">
                  <c:v>14</c:v>
                </c:pt>
                <c:pt idx="112">
                  <c:v>14</c:v>
                </c:pt>
                <c:pt idx="113">
                  <c:v>10.9</c:v>
                </c:pt>
                <c:pt idx="114">
                  <c:v>6.4</c:v>
                </c:pt>
                <c:pt idx="115">
                  <c:v>17.100000000000001</c:v>
                </c:pt>
                <c:pt idx="116">
                  <c:v>10.6</c:v>
                </c:pt>
                <c:pt idx="117">
                  <c:v>5</c:v>
                </c:pt>
                <c:pt idx="118">
                  <c:v>3.9</c:v>
                </c:pt>
                <c:pt idx="119">
                  <c:v>3.9</c:v>
                </c:pt>
                <c:pt idx="120">
                  <c:v>2.8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0-49BC-9468-63E5739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Holombuwa!$B$3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Holombuwa!$A$4:$A$267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Holombuwa!$B$4:$B$267</c:f>
              <c:numCache>
                <c:formatCode>0.00</c:formatCode>
                <c:ptCount val="264"/>
                <c:pt idx="0">
                  <c:v>2.72</c:v>
                </c:pt>
                <c:pt idx="1">
                  <c:v>2.5099999999999998</c:v>
                </c:pt>
                <c:pt idx="2">
                  <c:v>2.12</c:v>
                </c:pt>
                <c:pt idx="3">
                  <c:v>1.91</c:v>
                </c:pt>
                <c:pt idx="4">
                  <c:v>1.86</c:v>
                </c:pt>
                <c:pt idx="5">
                  <c:v>1.78</c:v>
                </c:pt>
                <c:pt idx="6">
                  <c:v>1.74</c:v>
                </c:pt>
                <c:pt idx="7">
                  <c:v>1.67</c:v>
                </c:pt>
                <c:pt idx="8">
                  <c:v>1.59</c:v>
                </c:pt>
                <c:pt idx="9">
                  <c:v>1.5</c:v>
                </c:pt>
                <c:pt idx="10">
                  <c:v>1.44</c:v>
                </c:pt>
                <c:pt idx="11">
                  <c:v>1.37</c:v>
                </c:pt>
                <c:pt idx="12">
                  <c:v>1.31</c:v>
                </c:pt>
                <c:pt idx="13">
                  <c:v>1.28</c:v>
                </c:pt>
                <c:pt idx="14">
                  <c:v>1.24</c:v>
                </c:pt>
                <c:pt idx="15">
                  <c:v>1.19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1.18</c:v>
                </c:pt>
                <c:pt idx="19">
                  <c:v>1.18</c:v>
                </c:pt>
                <c:pt idx="20">
                  <c:v>1.21</c:v>
                </c:pt>
                <c:pt idx="21">
                  <c:v>1.25</c:v>
                </c:pt>
                <c:pt idx="22">
                  <c:v>1.29</c:v>
                </c:pt>
                <c:pt idx="23">
                  <c:v>1.34</c:v>
                </c:pt>
                <c:pt idx="24">
                  <c:v>1.39</c:v>
                </c:pt>
                <c:pt idx="25">
                  <c:v>1.36</c:v>
                </c:pt>
                <c:pt idx="26">
                  <c:v>1.32</c:v>
                </c:pt>
                <c:pt idx="27">
                  <c:v>1.28</c:v>
                </c:pt>
                <c:pt idx="28">
                  <c:v>1.25</c:v>
                </c:pt>
                <c:pt idx="29">
                  <c:v>1.2</c:v>
                </c:pt>
                <c:pt idx="30">
                  <c:v>1.1000000000000001</c:v>
                </c:pt>
                <c:pt idx="31">
                  <c:v>1.06</c:v>
                </c:pt>
                <c:pt idx="32">
                  <c:v>1.04</c:v>
                </c:pt>
                <c:pt idx="33">
                  <c:v>1.04</c:v>
                </c:pt>
                <c:pt idx="34">
                  <c:v>1.04</c:v>
                </c:pt>
                <c:pt idx="35">
                  <c:v>1.01</c:v>
                </c:pt>
                <c:pt idx="36">
                  <c:v>1</c:v>
                </c:pt>
                <c:pt idx="37">
                  <c:v>1</c:v>
                </c:pt>
                <c:pt idx="38">
                  <c:v>0.99</c:v>
                </c:pt>
                <c:pt idx="39">
                  <c:v>0.99</c:v>
                </c:pt>
                <c:pt idx="40">
                  <c:v>0.99</c:v>
                </c:pt>
                <c:pt idx="41">
                  <c:v>0.99</c:v>
                </c:pt>
                <c:pt idx="42">
                  <c:v>0.99</c:v>
                </c:pt>
                <c:pt idx="43">
                  <c:v>0.98</c:v>
                </c:pt>
                <c:pt idx="44">
                  <c:v>0.98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1.02</c:v>
                </c:pt>
                <c:pt idx="52">
                  <c:v>1.1000000000000001</c:v>
                </c:pt>
                <c:pt idx="53">
                  <c:v>1.35</c:v>
                </c:pt>
                <c:pt idx="54">
                  <c:v>1.36</c:v>
                </c:pt>
                <c:pt idx="55">
                  <c:v>1.39</c:v>
                </c:pt>
                <c:pt idx="56">
                  <c:v>1.34</c:v>
                </c:pt>
                <c:pt idx="57">
                  <c:v>1.31</c:v>
                </c:pt>
                <c:pt idx="58">
                  <c:v>1.31</c:v>
                </c:pt>
                <c:pt idx="59">
                  <c:v>1.39</c:v>
                </c:pt>
                <c:pt idx="60">
                  <c:v>1.59</c:v>
                </c:pt>
                <c:pt idx="61">
                  <c:v>1.83</c:v>
                </c:pt>
                <c:pt idx="62">
                  <c:v>2.0099999999999998</c:v>
                </c:pt>
                <c:pt idx="63">
                  <c:v>2.1</c:v>
                </c:pt>
                <c:pt idx="64">
                  <c:v>2.0099999999999998</c:v>
                </c:pt>
                <c:pt idx="65">
                  <c:v>1.91</c:v>
                </c:pt>
                <c:pt idx="66">
                  <c:v>1.8</c:v>
                </c:pt>
                <c:pt idx="67">
                  <c:v>1.76</c:v>
                </c:pt>
                <c:pt idx="68">
                  <c:v>1.82</c:v>
                </c:pt>
                <c:pt idx="69">
                  <c:v>1.9</c:v>
                </c:pt>
                <c:pt idx="70">
                  <c:v>2.11</c:v>
                </c:pt>
                <c:pt idx="71">
                  <c:v>2.71</c:v>
                </c:pt>
                <c:pt idx="72">
                  <c:v>3.52</c:v>
                </c:pt>
                <c:pt idx="73">
                  <c:v>4.0999999999999996</c:v>
                </c:pt>
                <c:pt idx="74">
                  <c:v>4.53</c:v>
                </c:pt>
                <c:pt idx="75">
                  <c:v>4.76</c:v>
                </c:pt>
                <c:pt idx="76">
                  <c:v>4.8499999999999996</c:v>
                </c:pt>
                <c:pt idx="77">
                  <c:v>4.74</c:v>
                </c:pt>
                <c:pt idx="78">
                  <c:v>4.67</c:v>
                </c:pt>
                <c:pt idx="79">
                  <c:v>4.37</c:v>
                </c:pt>
                <c:pt idx="80">
                  <c:v>4.26</c:v>
                </c:pt>
                <c:pt idx="81">
                  <c:v>4.29</c:v>
                </c:pt>
                <c:pt idx="82">
                  <c:v>4.34</c:v>
                </c:pt>
                <c:pt idx="83">
                  <c:v>4.34</c:v>
                </c:pt>
                <c:pt idx="84">
                  <c:v>4.34</c:v>
                </c:pt>
                <c:pt idx="85">
                  <c:v>4.34</c:v>
                </c:pt>
                <c:pt idx="86">
                  <c:v>4.32</c:v>
                </c:pt>
                <c:pt idx="87">
                  <c:v>4.25</c:v>
                </c:pt>
                <c:pt idx="88">
                  <c:v>4.1900000000000004</c:v>
                </c:pt>
                <c:pt idx="89">
                  <c:v>4.3</c:v>
                </c:pt>
                <c:pt idx="90">
                  <c:v>4.54</c:v>
                </c:pt>
                <c:pt idx="91">
                  <c:v>4.8600000000000003</c:v>
                </c:pt>
                <c:pt idx="92">
                  <c:v>5.2</c:v>
                </c:pt>
                <c:pt idx="93">
                  <c:v>5.6</c:v>
                </c:pt>
                <c:pt idx="94">
                  <c:v>6</c:v>
                </c:pt>
                <c:pt idx="95">
                  <c:v>6.4</c:v>
                </c:pt>
                <c:pt idx="96">
                  <c:v>6.69</c:v>
                </c:pt>
                <c:pt idx="97">
                  <c:v>6.91</c:v>
                </c:pt>
                <c:pt idx="98">
                  <c:v>7.14</c:v>
                </c:pt>
                <c:pt idx="99">
                  <c:v>7.27</c:v>
                </c:pt>
                <c:pt idx="100">
                  <c:v>7.27</c:v>
                </c:pt>
                <c:pt idx="101">
                  <c:v>7.27</c:v>
                </c:pt>
                <c:pt idx="102">
                  <c:v>6.99</c:v>
                </c:pt>
                <c:pt idx="103">
                  <c:v>6.57</c:v>
                </c:pt>
                <c:pt idx="104">
                  <c:v>6.23</c:v>
                </c:pt>
                <c:pt idx="105">
                  <c:v>5.9</c:v>
                </c:pt>
                <c:pt idx="106">
                  <c:v>5.89</c:v>
                </c:pt>
                <c:pt idx="107">
                  <c:v>5.78</c:v>
                </c:pt>
                <c:pt idx="108">
                  <c:v>5.85</c:v>
                </c:pt>
                <c:pt idx="109">
                  <c:v>6.04</c:v>
                </c:pt>
                <c:pt idx="110">
                  <c:v>6.2</c:v>
                </c:pt>
                <c:pt idx="111">
                  <c:v>6.31</c:v>
                </c:pt>
                <c:pt idx="112">
                  <c:v>6.48</c:v>
                </c:pt>
                <c:pt idx="113">
                  <c:v>6.61</c:v>
                </c:pt>
                <c:pt idx="114">
                  <c:v>6.82</c:v>
                </c:pt>
                <c:pt idx="115">
                  <c:v>6.92</c:v>
                </c:pt>
                <c:pt idx="116">
                  <c:v>7.07</c:v>
                </c:pt>
                <c:pt idx="117">
                  <c:v>7.06</c:v>
                </c:pt>
                <c:pt idx="118">
                  <c:v>6.98</c:v>
                </c:pt>
                <c:pt idx="119">
                  <c:v>6.86</c:v>
                </c:pt>
                <c:pt idx="120">
                  <c:v>6.71</c:v>
                </c:pt>
                <c:pt idx="121">
                  <c:v>6.41</c:v>
                </c:pt>
                <c:pt idx="122">
                  <c:v>5.98</c:v>
                </c:pt>
                <c:pt idx="123">
                  <c:v>5.51</c:v>
                </c:pt>
                <c:pt idx="124">
                  <c:v>4.9800000000000004</c:v>
                </c:pt>
                <c:pt idx="125">
                  <c:v>4.57</c:v>
                </c:pt>
                <c:pt idx="126">
                  <c:v>4.0999999999999996</c:v>
                </c:pt>
                <c:pt idx="127">
                  <c:v>3.8</c:v>
                </c:pt>
                <c:pt idx="128">
                  <c:v>3.69</c:v>
                </c:pt>
                <c:pt idx="129">
                  <c:v>3.45</c:v>
                </c:pt>
                <c:pt idx="130">
                  <c:v>3.31</c:v>
                </c:pt>
                <c:pt idx="131">
                  <c:v>3.21</c:v>
                </c:pt>
                <c:pt idx="132">
                  <c:v>3.06</c:v>
                </c:pt>
                <c:pt idx="133">
                  <c:v>2.9</c:v>
                </c:pt>
                <c:pt idx="134">
                  <c:v>2.81</c:v>
                </c:pt>
                <c:pt idx="135">
                  <c:v>2.7</c:v>
                </c:pt>
                <c:pt idx="136">
                  <c:v>2.64</c:v>
                </c:pt>
                <c:pt idx="137">
                  <c:v>2.57</c:v>
                </c:pt>
                <c:pt idx="138">
                  <c:v>2.5</c:v>
                </c:pt>
                <c:pt idx="139">
                  <c:v>2.38</c:v>
                </c:pt>
                <c:pt idx="140">
                  <c:v>2.2999999999999998</c:v>
                </c:pt>
                <c:pt idx="141">
                  <c:v>2.27</c:v>
                </c:pt>
                <c:pt idx="142">
                  <c:v>2.25</c:v>
                </c:pt>
                <c:pt idx="143">
                  <c:v>2.2400000000000002</c:v>
                </c:pt>
                <c:pt idx="144">
                  <c:v>2.2000000000000002</c:v>
                </c:pt>
                <c:pt idx="145">
                  <c:v>2.16</c:v>
                </c:pt>
                <c:pt idx="146">
                  <c:v>2.12</c:v>
                </c:pt>
                <c:pt idx="147">
                  <c:v>2.08</c:v>
                </c:pt>
                <c:pt idx="148">
                  <c:v>2.06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1.99</c:v>
                </c:pt>
                <c:pt idx="153">
                  <c:v>1.99</c:v>
                </c:pt>
                <c:pt idx="154">
                  <c:v>1.98</c:v>
                </c:pt>
                <c:pt idx="155">
                  <c:v>1.98</c:v>
                </c:pt>
                <c:pt idx="156">
                  <c:v>1.98</c:v>
                </c:pt>
                <c:pt idx="157">
                  <c:v>1.98</c:v>
                </c:pt>
                <c:pt idx="158">
                  <c:v>1.82</c:v>
                </c:pt>
                <c:pt idx="159">
                  <c:v>1.67</c:v>
                </c:pt>
                <c:pt idx="160">
                  <c:v>1.67</c:v>
                </c:pt>
                <c:pt idx="161">
                  <c:v>1.81</c:v>
                </c:pt>
                <c:pt idx="162">
                  <c:v>1.83</c:v>
                </c:pt>
                <c:pt idx="163">
                  <c:v>1.78</c:v>
                </c:pt>
                <c:pt idx="164">
                  <c:v>1.69</c:v>
                </c:pt>
                <c:pt idx="165">
                  <c:v>1.63</c:v>
                </c:pt>
                <c:pt idx="166">
                  <c:v>1.57</c:v>
                </c:pt>
                <c:pt idx="167">
                  <c:v>1.51</c:v>
                </c:pt>
                <c:pt idx="168">
                  <c:v>1.47</c:v>
                </c:pt>
                <c:pt idx="169">
                  <c:v>1.45</c:v>
                </c:pt>
                <c:pt idx="170">
                  <c:v>1.42</c:v>
                </c:pt>
                <c:pt idx="171">
                  <c:v>1.4</c:v>
                </c:pt>
                <c:pt idx="172">
                  <c:v>1.4</c:v>
                </c:pt>
                <c:pt idx="173">
                  <c:v>1.37</c:v>
                </c:pt>
                <c:pt idx="174">
                  <c:v>1.37</c:v>
                </c:pt>
                <c:pt idx="175">
                  <c:v>1.47</c:v>
                </c:pt>
                <c:pt idx="176">
                  <c:v>1.5</c:v>
                </c:pt>
                <c:pt idx="177">
                  <c:v>1.49</c:v>
                </c:pt>
                <c:pt idx="178">
                  <c:v>1.49</c:v>
                </c:pt>
                <c:pt idx="179">
                  <c:v>1.49</c:v>
                </c:pt>
                <c:pt idx="180">
                  <c:v>1.47</c:v>
                </c:pt>
                <c:pt idx="181">
                  <c:v>1.45</c:v>
                </c:pt>
                <c:pt idx="182">
                  <c:v>1.43</c:v>
                </c:pt>
                <c:pt idx="183">
                  <c:v>1.38</c:v>
                </c:pt>
                <c:pt idx="184">
                  <c:v>1.29</c:v>
                </c:pt>
                <c:pt idx="185">
                  <c:v>1.32</c:v>
                </c:pt>
                <c:pt idx="186">
                  <c:v>1.36</c:v>
                </c:pt>
                <c:pt idx="187">
                  <c:v>1.36</c:v>
                </c:pt>
                <c:pt idx="188">
                  <c:v>1.36</c:v>
                </c:pt>
                <c:pt idx="189">
                  <c:v>1.34</c:v>
                </c:pt>
                <c:pt idx="190">
                  <c:v>1.3</c:v>
                </c:pt>
                <c:pt idx="191">
                  <c:v>1.25</c:v>
                </c:pt>
                <c:pt idx="192">
                  <c:v>1.21</c:v>
                </c:pt>
                <c:pt idx="193">
                  <c:v>1.19</c:v>
                </c:pt>
                <c:pt idx="194">
                  <c:v>1.18</c:v>
                </c:pt>
                <c:pt idx="195">
                  <c:v>1.18</c:v>
                </c:pt>
                <c:pt idx="196">
                  <c:v>1.17</c:v>
                </c:pt>
                <c:pt idx="197">
                  <c:v>1.25</c:v>
                </c:pt>
                <c:pt idx="198">
                  <c:v>1.58</c:v>
                </c:pt>
                <c:pt idx="199">
                  <c:v>1.28</c:v>
                </c:pt>
                <c:pt idx="200">
                  <c:v>1.28</c:v>
                </c:pt>
                <c:pt idx="201">
                  <c:v>1.26</c:v>
                </c:pt>
                <c:pt idx="202">
                  <c:v>1.25</c:v>
                </c:pt>
                <c:pt idx="203">
                  <c:v>1.24</c:v>
                </c:pt>
                <c:pt idx="204">
                  <c:v>1.24</c:v>
                </c:pt>
                <c:pt idx="205">
                  <c:v>1.24</c:v>
                </c:pt>
                <c:pt idx="206">
                  <c:v>1.24</c:v>
                </c:pt>
                <c:pt idx="207">
                  <c:v>1.22</c:v>
                </c:pt>
                <c:pt idx="208">
                  <c:v>1.2</c:v>
                </c:pt>
                <c:pt idx="209" formatCode="General">
                  <c:v>1.2</c:v>
                </c:pt>
                <c:pt idx="210" formatCode="General">
                  <c:v>1.18</c:v>
                </c:pt>
                <c:pt idx="211" formatCode="General">
                  <c:v>1.1200000000000001</c:v>
                </c:pt>
                <c:pt idx="212" formatCode="General">
                  <c:v>1.0900000000000001</c:v>
                </c:pt>
                <c:pt idx="213" formatCode="General">
                  <c:v>1.08</c:v>
                </c:pt>
                <c:pt idx="214" formatCode="General">
                  <c:v>1.08</c:v>
                </c:pt>
                <c:pt idx="215" formatCode="General">
                  <c:v>1.08</c:v>
                </c:pt>
                <c:pt idx="216" formatCode="General">
                  <c:v>1.07</c:v>
                </c:pt>
                <c:pt idx="217" formatCode="General">
                  <c:v>1.07</c:v>
                </c:pt>
                <c:pt idx="218" formatCode="General">
                  <c:v>1.07</c:v>
                </c:pt>
                <c:pt idx="219" formatCode="General">
                  <c:v>1.08</c:v>
                </c:pt>
                <c:pt idx="220" formatCode="General">
                  <c:v>1.08</c:v>
                </c:pt>
                <c:pt idx="221" formatCode="General">
                  <c:v>1.1299999999999999</c:v>
                </c:pt>
                <c:pt idx="222" formatCode="General">
                  <c:v>1.1599999999999999</c:v>
                </c:pt>
                <c:pt idx="223" formatCode="General">
                  <c:v>1.18</c:v>
                </c:pt>
                <c:pt idx="224" formatCode="General">
                  <c:v>1.18</c:v>
                </c:pt>
                <c:pt idx="225" formatCode="General">
                  <c:v>1.1599999999999999</c:v>
                </c:pt>
                <c:pt idx="226" formatCode="General">
                  <c:v>1.1599999999999999</c:v>
                </c:pt>
                <c:pt idx="227" formatCode="General">
                  <c:v>1.1499999999999999</c:v>
                </c:pt>
                <c:pt idx="228" formatCode="General">
                  <c:v>1.1399999999999999</c:v>
                </c:pt>
                <c:pt idx="229" formatCode="General">
                  <c:v>1.1200000000000001</c:v>
                </c:pt>
                <c:pt idx="230" formatCode="General">
                  <c:v>1.1000000000000001</c:v>
                </c:pt>
                <c:pt idx="231" formatCode="General">
                  <c:v>1.05</c:v>
                </c:pt>
                <c:pt idx="232" formatCode="General">
                  <c:v>1</c:v>
                </c:pt>
                <c:pt idx="233" formatCode="General">
                  <c:v>1</c:v>
                </c:pt>
                <c:pt idx="234" formatCode="General">
                  <c:v>1</c:v>
                </c:pt>
                <c:pt idx="235" formatCode="General">
                  <c:v>1</c:v>
                </c:pt>
                <c:pt idx="236" formatCode="General">
                  <c:v>1</c:v>
                </c:pt>
                <c:pt idx="237" formatCode="General">
                  <c:v>1</c:v>
                </c:pt>
                <c:pt idx="238" formatCode="General">
                  <c:v>1</c:v>
                </c:pt>
                <c:pt idx="239" formatCode="General">
                  <c:v>1</c:v>
                </c:pt>
                <c:pt idx="240" formatCode="General">
                  <c:v>0.99</c:v>
                </c:pt>
                <c:pt idx="241" formatCode="General">
                  <c:v>0.99</c:v>
                </c:pt>
                <c:pt idx="242" formatCode="General">
                  <c:v>0.98</c:v>
                </c:pt>
                <c:pt idx="243" formatCode="General">
                  <c:v>1</c:v>
                </c:pt>
                <c:pt idx="244" formatCode="General">
                  <c:v>1</c:v>
                </c:pt>
                <c:pt idx="245" formatCode="General">
                  <c:v>1</c:v>
                </c:pt>
                <c:pt idx="246" formatCode="General">
                  <c:v>1</c:v>
                </c:pt>
                <c:pt idx="247" formatCode="General">
                  <c:v>1</c:v>
                </c:pt>
                <c:pt idx="248" formatCode="General">
                  <c:v>1</c:v>
                </c:pt>
                <c:pt idx="249" formatCode="General">
                  <c:v>1</c:v>
                </c:pt>
                <c:pt idx="250" formatCode="General">
                  <c:v>1</c:v>
                </c:pt>
                <c:pt idx="251" formatCode="General">
                  <c:v>1</c:v>
                </c:pt>
                <c:pt idx="252" formatCode="General">
                  <c:v>1</c:v>
                </c:pt>
                <c:pt idx="253" formatCode="General">
                  <c:v>1</c:v>
                </c:pt>
                <c:pt idx="254" formatCode="General">
                  <c:v>0.99</c:v>
                </c:pt>
                <c:pt idx="255" formatCode="General">
                  <c:v>0.99</c:v>
                </c:pt>
                <c:pt idx="256" formatCode="General">
                  <c:v>1</c:v>
                </c:pt>
                <c:pt idx="257" formatCode="General">
                  <c:v>1</c:v>
                </c:pt>
                <c:pt idx="258" formatCode="General">
                  <c:v>1</c:v>
                </c:pt>
                <c:pt idx="259" formatCode="General">
                  <c:v>1</c:v>
                </c:pt>
                <c:pt idx="260" formatCode="General">
                  <c:v>1</c:v>
                </c:pt>
                <c:pt idx="261" formatCode="General">
                  <c:v>1</c:v>
                </c:pt>
                <c:pt idx="262" formatCode="General">
                  <c:v>1</c:v>
                </c:pt>
                <c:pt idx="263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D0-49BC-9468-63E5739C5E27}"/>
            </c:ext>
          </c:extLst>
        </c:ser>
        <c:ser>
          <c:idx val="2"/>
          <c:order val="2"/>
          <c:tx>
            <c:strRef>
              <c:f>Holombuwa!$E$3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Holombuwa!$A$4:$A$267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Holombuwa!$E$4:$E$267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D0-49BC-9468-63E5739C5E27}"/>
            </c:ext>
          </c:extLst>
        </c:ser>
        <c:ser>
          <c:idx val="3"/>
          <c:order val="3"/>
          <c:tx>
            <c:strRef>
              <c:f>Holombuwa!$F$3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Holombuwa!$A$4:$A$267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Holombuwa!$F$4:$F$267</c:f>
              <c:numCache>
                <c:formatCode>0.00</c:formatCode>
                <c:ptCount val="264"/>
                <c:pt idx="0">
                  <c:v>3.4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3.4</c:v>
                </c:pt>
                <c:pt idx="5">
                  <c:v>3.4</c:v>
                </c:pt>
                <c:pt idx="6">
                  <c:v>3.4</c:v>
                </c:pt>
                <c:pt idx="7">
                  <c:v>3.4</c:v>
                </c:pt>
                <c:pt idx="8">
                  <c:v>3.4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  <c:pt idx="12">
                  <c:v>3.4</c:v>
                </c:pt>
                <c:pt idx="13">
                  <c:v>3.4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3.4</c:v>
                </c:pt>
                <c:pt idx="263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D0-49BC-9468-63E5739C5E27}"/>
            </c:ext>
          </c:extLst>
        </c:ser>
        <c:ser>
          <c:idx val="4"/>
          <c:order val="4"/>
          <c:tx>
            <c:strRef>
              <c:f>Holombuwa!$G$3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Holombuwa!$A$4:$A$267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Holombuwa!$G$4:$G$267</c:f>
              <c:numCache>
                <c:formatCode>0.00</c:formatCode>
                <c:ptCount val="26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D0-49BC-9468-63E5739C5E27}"/>
            </c:ext>
          </c:extLst>
        </c:ser>
        <c:ser>
          <c:idx val="5"/>
          <c:order val="5"/>
          <c:tx>
            <c:strRef>
              <c:f>Holombuwa!$J$2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D0-49BC-9468-63E5739C5E27}"/>
            </c:ext>
          </c:extLst>
        </c:ser>
        <c:ser>
          <c:idx val="6"/>
          <c:order val="6"/>
          <c:tx>
            <c:strRef>
              <c:f>Holombuwa!$K$2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D0-49BC-9468-63E5739C5E27}"/>
            </c:ext>
          </c:extLst>
        </c:ser>
        <c:ser>
          <c:idx val="7"/>
          <c:order val="7"/>
          <c:tx>
            <c:strRef>
              <c:f>Holombuwa!$L$2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D0-49BC-9468-63E5739C5E27}"/>
            </c:ext>
          </c:extLst>
        </c:ser>
        <c:ser>
          <c:idx val="8"/>
          <c:order val="8"/>
          <c:tx>
            <c:strRef>
              <c:f>Holombuwa!$M$2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D0-49BC-9468-63E5739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Deraniyagala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Deraniyagala!$D$3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Deraniyagala!$D$4:$D$267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8.1999999999999993</c:v>
                </c:pt>
                <c:pt idx="14">
                  <c:v>55.8</c:v>
                </c:pt>
                <c:pt idx="15">
                  <c:v>3.8</c:v>
                </c:pt>
                <c:pt idx="16">
                  <c:v>4.4000000000000004</c:v>
                </c:pt>
                <c:pt idx="17">
                  <c:v>3.7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1.1000000000000001</c:v>
                </c:pt>
                <c:pt idx="22">
                  <c:v>0.2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</c:v>
                </c:pt>
                <c:pt idx="41">
                  <c:v>2.7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1.6</c:v>
                </c:pt>
                <c:pt idx="48">
                  <c:v>3.9</c:v>
                </c:pt>
                <c:pt idx="49">
                  <c:v>2.2999999999999998</c:v>
                </c:pt>
                <c:pt idx="50">
                  <c:v>0.7</c:v>
                </c:pt>
                <c:pt idx="51">
                  <c:v>0</c:v>
                </c:pt>
                <c:pt idx="52">
                  <c:v>0.5</c:v>
                </c:pt>
                <c:pt idx="53">
                  <c:v>1.2</c:v>
                </c:pt>
                <c:pt idx="54">
                  <c:v>0.7</c:v>
                </c:pt>
                <c:pt idx="55">
                  <c:v>0</c:v>
                </c:pt>
                <c:pt idx="56">
                  <c:v>0.9</c:v>
                </c:pt>
                <c:pt idx="57">
                  <c:v>2</c:v>
                </c:pt>
                <c:pt idx="58">
                  <c:v>1.3</c:v>
                </c:pt>
                <c:pt idx="59">
                  <c:v>0.5</c:v>
                </c:pt>
                <c:pt idx="60">
                  <c:v>0</c:v>
                </c:pt>
                <c:pt idx="61">
                  <c:v>0</c:v>
                </c:pt>
                <c:pt idx="62">
                  <c:v>2.1</c:v>
                </c:pt>
                <c:pt idx="63">
                  <c:v>1.3</c:v>
                </c:pt>
                <c:pt idx="64">
                  <c:v>1.7</c:v>
                </c:pt>
                <c:pt idx="65">
                  <c:v>11.8</c:v>
                </c:pt>
                <c:pt idx="66">
                  <c:v>2</c:v>
                </c:pt>
                <c:pt idx="67">
                  <c:v>1.5</c:v>
                </c:pt>
                <c:pt idx="68">
                  <c:v>4.0999999999999996</c:v>
                </c:pt>
                <c:pt idx="69">
                  <c:v>4.9000000000000004</c:v>
                </c:pt>
                <c:pt idx="70">
                  <c:v>14.7</c:v>
                </c:pt>
                <c:pt idx="71">
                  <c:v>21.4</c:v>
                </c:pt>
                <c:pt idx="72">
                  <c:v>5.3</c:v>
                </c:pt>
                <c:pt idx="73">
                  <c:v>2.2999999999999998</c:v>
                </c:pt>
                <c:pt idx="74">
                  <c:v>8.5</c:v>
                </c:pt>
                <c:pt idx="75">
                  <c:v>7.2</c:v>
                </c:pt>
                <c:pt idx="76">
                  <c:v>6.3</c:v>
                </c:pt>
                <c:pt idx="77">
                  <c:v>1.6</c:v>
                </c:pt>
                <c:pt idx="78">
                  <c:v>7.9</c:v>
                </c:pt>
                <c:pt idx="79">
                  <c:v>16.100000000000001</c:v>
                </c:pt>
                <c:pt idx="80">
                  <c:v>9.6</c:v>
                </c:pt>
                <c:pt idx="81">
                  <c:v>7</c:v>
                </c:pt>
                <c:pt idx="82">
                  <c:v>6.1</c:v>
                </c:pt>
                <c:pt idx="83">
                  <c:v>7.1</c:v>
                </c:pt>
                <c:pt idx="84">
                  <c:v>2.9</c:v>
                </c:pt>
                <c:pt idx="85">
                  <c:v>1.4</c:v>
                </c:pt>
                <c:pt idx="86">
                  <c:v>4</c:v>
                </c:pt>
                <c:pt idx="87">
                  <c:v>8.1</c:v>
                </c:pt>
                <c:pt idx="88">
                  <c:v>9.6999999999999993</c:v>
                </c:pt>
                <c:pt idx="89">
                  <c:v>7.8</c:v>
                </c:pt>
                <c:pt idx="90">
                  <c:v>13.4</c:v>
                </c:pt>
                <c:pt idx="91">
                  <c:v>11.1</c:v>
                </c:pt>
                <c:pt idx="92">
                  <c:v>22.9</c:v>
                </c:pt>
                <c:pt idx="93">
                  <c:v>6.8</c:v>
                </c:pt>
                <c:pt idx="94">
                  <c:v>12.4</c:v>
                </c:pt>
                <c:pt idx="95">
                  <c:v>22.2</c:v>
                </c:pt>
                <c:pt idx="96">
                  <c:v>14.3</c:v>
                </c:pt>
                <c:pt idx="97">
                  <c:v>7.7</c:v>
                </c:pt>
                <c:pt idx="98">
                  <c:v>12.9</c:v>
                </c:pt>
                <c:pt idx="99">
                  <c:v>9.1</c:v>
                </c:pt>
                <c:pt idx="100">
                  <c:v>10</c:v>
                </c:pt>
                <c:pt idx="101">
                  <c:v>8.9</c:v>
                </c:pt>
                <c:pt idx="102">
                  <c:v>11.4</c:v>
                </c:pt>
                <c:pt idx="103">
                  <c:v>15.1</c:v>
                </c:pt>
                <c:pt idx="104">
                  <c:v>22.9</c:v>
                </c:pt>
                <c:pt idx="105">
                  <c:v>27</c:v>
                </c:pt>
                <c:pt idx="106">
                  <c:v>11.1</c:v>
                </c:pt>
                <c:pt idx="107">
                  <c:v>8.1999999999999993</c:v>
                </c:pt>
                <c:pt idx="108">
                  <c:v>10.5</c:v>
                </c:pt>
                <c:pt idx="109">
                  <c:v>6.4</c:v>
                </c:pt>
                <c:pt idx="110">
                  <c:v>1.4</c:v>
                </c:pt>
                <c:pt idx="111">
                  <c:v>2.5</c:v>
                </c:pt>
                <c:pt idx="112">
                  <c:v>4.9000000000000004</c:v>
                </c:pt>
                <c:pt idx="113">
                  <c:v>1</c:v>
                </c:pt>
                <c:pt idx="114">
                  <c:v>1.5</c:v>
                </c:pt>
                <c:pt idx="115">
                  <c:v>1</c:v>
                </c:pt>
                <c:pt idx="116">
                  <c:v>1</c:v>
                </c:pt>
                <c:pt idx="117">
                  <c:v>0.5</c:v>
                </c:pt>
                <c:pt idx="118">
                  <c:v>0</c:v>
                </c:pt>
                <c:pt idx="119">
                  <c:v>0.9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</c:v>
                </c:pt>
                <c:pt idx="126">
                  <c:v>0.5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0.5</c:v>
                </c:pt>
                <c:pt idx="131">
                  <c:v>0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10.199999999999999</c:v>
                </c:pt>
                <c:pt idx="257">
                  <c:v>6.6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4859-9898-66A9B30C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Deraniyagala!$B$3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Deraniyagala!$B$4:$B$267</c:f>
              <c:numCache>
                <c:formatCode>0.00</c:formatCode>
                <c:ptCount val="264"/>
                <c:pt idx="0">
                  <c:v>0.86</c:v>
                </c:pt>
                <c:pt idx="1">
                  <c:v>0.86</c:v>
                </c:pt>
                <c:pt idx="2">
                  <c:v>0.84</c:v>
                </c:pt>
                <c:pt idx="3">
                  <c:v>0.83</c:v>
                </c:pt>
                <c:pt idx="4">
                  <c:v>0.79</c:v>
                </c:pt>
                <c:pt idx="5">
                  <c:v>0.76</c:v>
                </c:pt>
                <c:pt idx="6">
                  <c:v>0.73</c:v>
                </c:pt>
                <c:pt idx="7">
                  <c:v>0.73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0.73</c:v>
                </c:pt>
                <c:pt idx="12">
                  <c:v>0.73</c:v>
                </c:pt>
                <c:pt idx="13">
                  <c:v>0.69</c:v>
                </c:pt>
                <c:pt idx="14">
                  <c:v>1.04</c:v>
                </c:pt>
                <c:pt idx="15">
                  <c:v>1.32</c:v>
                </c:pt>
                <c:pt idx="16">
                  <c:v>1.75</c:v>
                </c:pt>
                <c:pt idx="17">
                  <c:v>2.4300000000000002</c:v>
                </c:pt>
                <c:pt idx="18">
                  <c:v>2.17</c:v>
                </c:pt>
                <c:pt idx="19">
                  <c:v>1.91</c:v>
                </c:pt>
                <c:pt idx="20">
                  <c:v>1.69</c:v>
                </c:pt>
                <c:pt idx="21">
                  <c:v>1.51</c:v>
                </c:pt>
                <c:pt idx="22">
                  <c:v>1.36</c:v>
                </c:pt>
                <c:pt idx="23">
                  <c:v>1.26</c:v>
                </c:pt>
                <c:pt idx="24">
                  <c:v>1.18</c:v>
                </c:pt>
                <c:pt idx="25">
                  <c:v>1.1499999999999999</c:v>
                </c:pt>
                <c:pt idx="26">
                  <c:v>1.1200000000000001</c:v>
                </c:pt>
                <c:pt idx="27">
                  <c:v>1.0900000000000001</c:v>
                </c:pt>
                <c:pt idx="28">
                  <c:v>1.06</c:v>
                </c:pt>
                <c:pt idx="29">
                  <c:v>0.99</c:v>
                </c:pt>
                <c:pt idx="30">
                  <c:v>0.98</c:v>
                </c:pt>
                <c:pt idx="31">
                  <c:v>0.94</c:v>
                </c:pt>
                <c:pt idx="32">
                  <c:v>0.96</c:v>
                </c:pt>
                <c:pt idx="33">
                  <c:v>0.88</c:v>
                </c:pt>
                <c:pt idx="34">
                  <c:v>0.9</c:v>
                </c:pt>
                <c:pt idx="35">
                  <c:v>0.84</c:v>
                </c:pt>
                <c:pt idx="36">
                  <c:v>0.81</c:v>
                </c:pt>
                <c:pt idx="37">
                  <c:v>0.85</c:v>
                </c:pt>
                <c:pt idx="38">
                  <c:v>0.86</c:v>
                </c:pt>
                <c:pt idx="39">
                  <c:v>0.83</c:v>
                </c:pt>
                <c:pt idx="40">
                  <c:v>0.85</c:v>
                </c:pt>
                <c:pt idx="41">
                  <c:v>0.85</c:v>
                </c:pt>
                <c:pt idx="42">
                  <c:v>0.85</c:v>
                </c:pt>
                <c:pt idx="43">
                  <c:v>0.83</c:v>
                </c:pt>
                <c:pt idx="44">
                  <c:v>0.82</c:v>
                </c:pt>
                <c:pt idx="45">
                  <c:v>0.81</c:v>
                </c:pt>
                <c:pt idx="46">
                  <c:v>0.81</c:v>
                </c:pt>
                <c:pt idx="47">
                  <c:v>0.8</c:v>
                </c:pt>
                <c:pt idx="48">
                  <c:v>0.81</c:v>
                </c:pt>
                <c:pt idx="49">
                  <c:v>0.83</c:v>
                </c:pt>
                <c:pt idx="50">
                  <c:v>0.85</c:v>
                </c:pt>
                <c:pt idx="51">
                  <c:v>0.87</c:v>
                </c:pt>
                <c:pt idx="52">
                  <c:v>0.88</c:v>
                </c:pt>
                <c:pt idx="53">
                  <c:v>0.86</c:v>
                </c:pt>
                <c:pt idx="54">
                  <c:v>0.8</c:v>
                </c:pt>
                <c:pt idx="55">
                  <c:v>0.99</c:v>
                </c:pt>
                <c:pt idx="56">
                  <c:v>0.95</c:v>
                </c:pt>
                <c:pt idx="57">
                  <c:v>0.97</c:v>
                </c:pt>
                <c:pt idx="58">
                  <c:v>0.89</c:v>
                </c:pt>
                <c:pt idx="59">
                  <c:v>0.86</c:v>
                </c:pt>
                <c:pt idx="60">
                  <c:v>0.89</c:v>
                </c:pt>
                <c:pt idx="61">
                  <c:v>0.85</c:v>
                </c:pt>
                <c:pt idx="62">
                  <c:v>0.91</c:v>
                </c:pt>
                <c:pt idx="63">
                  <c:v>0.92</c:v>
                </c:pt>
                <c:pt idx="64">
                  <c:v>0.87</c:v>
                </c:pt>
                <c:pt idx="65">
                  <c:v>0.91</c:v>
                </c:pt>
                <c:pt idx="66">
                  <c:v>0.91</c:v>
                </c:pt>
                <c:pt idx="67">
                  <c:v>0.88</c:v>
                </c:pt>
                <c:pt idx="68">
                  <c:v>0.88</c:v>
                </c:pt>
                <c:pt idx="69">
                  <c:v>0.97</c:v>
                </c:pt>
                <c:pt idx="70">
                  <c:v>1.08</c:v>
                </c:pt>
                <c:pt idx="71">
                  <c:v>1.26</c:v>
                </c:pt>
                <c:pt idx="72">
                  <c:v>1.46</c:v>
                </c:pt>
                <c:pt idx="73">
                  <c:v>1.65</c:v>
                </c:pt>
                <c:pt idx="74">
                  <c:v>1.83</c:v>
                </c:pt>
                <c:pt idx="75">
                  <c:v>1.9</c:v>
                </c:pt>
                <c:pt idx="76">
                  <c:v>2.13</c:v>
                </c:pt>
                <c:pt idx="77">
                  <c:v>2.52</c:v>
                </c:pt>
                <c:pt idx="78">
                  <c:v>2.4500000000000002</c:v>
                </c:pt>
                <c:pt idx="79">
                  <c:v>2.33</c:v>
                </c:pt>
                <c:pt idx="80">
                  <c:v>2.2999999999999998</c:v>
                </c:pt>
                <c:pt idx="81">
                  <c:v>2.5</c:v>
                </c:pt>
                <c:pt idx="82">
                  <c:v>2.71</c:v>
                </c:pt>
                <c:pt idx="83">
                  <c:v>2.87</c:v>
                </c:pt>
                <c:pt idx="84">
                  <c:v>2.79</c:v>
                </c:pt>
                <c:pt idx="85">
                  <c:v>2.4500000000000002</c:v>
                </c:pt>
                <c:pt idx="86">
                  <c:v>2.2200000000000002</c:v>
                </c:pt>
                <c:pt idx="87">
                  <c:v>2.13</c:v>
                </c:pt>
                <c:pt idx="88">
                  <c:v>2.2200000000000002</c:v>
                </c:pt>
                <c:pt idx="89">
                  <c:v>3.63</c:v>
                </c:pt>
                <c:pt idx="90">
                  <c:v>4.33</c:v>
                </c:pt>
                <c:pt idx="91">
                  <c:v>4.54</c:v>
                </c:pt>
                <c:pt idx="92">
                  <c:v>4.66</c:v>
                </c:pt>
                <c:pt idx="93">
                  <c:v>5.08</c:v>
                </c:pt>
                <c:pt idx="94">
                  <c:v>5.98</c:v>
                </c:pt>
                <c:pt idx="95">
                  <c:v>6.66</c:v>
                </c:pt>
                <c:pt idx="96">
                  <c:v>7.03</c:v>
                </c:pt>
                <c:pt idx="97">
                  <c:v>7.4</c:v>
                </c:pt>
                <c:pt idx="98">
                  <c:v>7.56</c:v>
                </c:pt>
                <c:pt idx="99">
                  <c:v>7.54</c:v>
                </c:pt>
                <c:pt idx="100">
                  <c:v>7.46</c:v>
                </c:pt>
                <c:pt idx="101">
                  <c:v>7.25</c:v>
                </c:pt>
                <c:pt idx="102">
                  <c:v>7.04</c:v>
                </c:pt>
                <c:pt idx="103">
                  <c:v>6.99</c:v>
                </c:pt>
                <c:pt idx="104">
                  <c:v>7.09</c:v>
                </c:pt>
                <c:pt idx="105">
                  <c:v>7.45</c:v>
                </c:pt>
                <c:pt idx="106">
                  <c:v>8.08</c:v>
                </c:pt>
                <c:pt idx="107">
                  <c:v>8.5500000000000007</c:v>
                </c:pt>
                <c:pt idx="108">
                  <c:v>8.6300000000000008</c:v>
                </c:pt>
                <c:pt idx="109">
                  <c:v>8.44</c:v>
                </c:pt>
                <c:pt idx="110">
                  <c:v>7.93</c:v>
                </c:pt>
                <c:pt idx="111">
                  <c:v>7.31</c:v>
                </c:pt>
                <c:pt idx="112">
                  <c:v>6.63</c:v>
                </c:pt>
                <c:pt idx="113">
                  <c:v>5.89</c:v>
                </c:pt>
                <c:pt idx="114">
                  <c:v>5.35</c:v>
                </c:pt>
                <c:pt idx="115">
                  <c:v>4.8600000000000003</c:v>
                </c:pt>
                <c:pt idx="116">
                  <c:v>4.4000000000000004</c:v>
                </c:pt>
                <c:pt idx="117">
                  <c:v>4.04</c:v>
                </c:pt>
                <c:pt idx="118">
                  <c:v>3.75</c:v>
                </c:pt>
                <c:pt idx="119">
                  <c:v>3.54</c:v>
                </c:pt>
                <c:pt idx="120">
                  <c:v>3.38</c:v>
                </c:pt>
                <c:pt idx="121">
                  <c:v>3.29</c:v>
                </c:pt>
                <c:pt idx="122">
                  <c:v>3.11</c:v>
                </c:pt>
                <c:pt idx="123">
                  <c:v>3.06</c:v>
                </c:pt>
                <c:pt idx="124">
                  <c:v>2.97</c:v>
                </c:pt>
                <c:pt idx="125">
                  <c:v>2.85</c:v>
                </c:pt>
                <c:pt idx="126">
                  <c:v>2.8</c:v>
                </c:pt>
                <c:pt idx="127">
                  <c:v>2.78</c:v>
                </c:pt>
                <c:pt idx="128">
                  <c:v>2.74</c:v>
                </c:pt>
                <c:pt idx="129">
                  <c:v>2.65</c:v>
                </c:pt>
                <c:pt idx="130">
                  <c:v>2.57</c:v>
                </c:pt>
                <c:pt idx="131">
                  <c:v>2.5</c:v>
                </c:pt>
                <c:pt idx="132">
                  <c:v>2.41</c:v>
                </c:pt>
                <c:pt idx="133">
                  <c:v>2.42</c:v>
                </c:pt>
                <c:pt idx="134">
                  <c:v>2.38</c:v>
                </c:pt>
                <c:pt idx="135">
                  <c:v>2.33</c:v>
                </c:pt>
                <c:pt idx="136">
                  <c:v>2.33</c:v>
                </c:pt>
                <c:pt idx="137">
                  <c:v>2.27</c:v>
                </c:pt>
                <c:pt idx="138">
                  <c:v>2.2000000000000002</c:v>
                </c:pt>
                <c:pt idx="139">
                  <c:v>2.16</c:v>
                </c:pt>
                <c:pt idx="140">
                  <c:v>2.16</c:v>
                </c:pt>
                <c:pt idx="141">
                  <c:v>2.1</c:v>
                </c:pt>
                <c:pt idx="142">
                  <c:v>2.04</c:v>
                </c:pt>
                <c:pt idx="143">
                  <c:v>2.0099999999999998</c:v>
                </c:pt>
                <c:pt idx="144">
                  <c:v>1.98</c:v>
                </c:pt>
                <c:pt idx="145">
                  <c:v>1.96</c:v>
                </c:pt>
                <c:pt idx="146">
                  <c:v>1.92</c:v>
                </c:pt>
                <c:pt idx="147">
                  <c:v>1.9</c:v>
                </c:pt>
                <c:pt idx="148">
                  <c:v>1.86</c:v>
                </c:pt>
                <c:pt idx="149">
                  <c:v>1.83</c:v>
                </c:pt>
                <c:pt idx="150">
                  <c:v>1.8</c:v>
                </c:pt>
                <c:pt idx="151">
                  <c:v>1.79</c:v>
                </c:pt>
                <c:pt idx="152">
                  <c:v>1.78</c:v>
                </c:pt>
                <c:pt idx="153">
                  <c:v>1.6</c:v>
                </c:pt>
                <c:pt idx="154">
                  <c:v>1.66</c:v>
                </c:pt>
                <c:pt idx="155">
                  <c:v>1.66</c:v>
                </c:pt>
                <c:pt idx="156">
                  <c:v>1.65</c:v>
                </c:pt>
                <c:pt idx="157">
                  <c:v>1.64</c:v>
                </c:pt>
                <c:pt idx="158">
                  <c:v>1.62</c:v>
                </c:pt>
                <c:pt idx="159">
                  <c:v>1.59</c:v>
                </c:pt>
                <c:pt idx="160">
                  <c:v>1.5</c:v>
                </c:pt>
                <c:pt idx="161">
                  <c:v>1.54</c:v>
                </c:pt>
                <c:pt idx="162">
                  <c:v>1.58</c:v>
                </c:pt>
                <c:pt idx="163">
                  <c:v>1.68</c:v>
                </c:pt>
                <c:pt idx="164">
                  <c:v>1.57</c:v>
                </c:pt>
                <c:pt idx="165">
                  <c:v>1.52</c:v>
                </c:pt>
                <c:pt idx="166">
                  <c:v>1.49</c:v>
                </c:pt>
                <c:pt idx="167">
                  <c:v>1.48</c:v>
                </c:pt>
                <c:pt idx="168">
                  <c:v>1.45</c:v>
                </c:pt>
                <c:pt idx="169">
                  <c:v>1.45</c:v>
                </c:pt>
                <c:pt idx="170">
                  <c:v>1.43</c:v>
                </c:pt>
                <c:pt idx="171">
                  <c:v>1.42</c:v>
                </c:pt>
                <c:pt idx="172">
                  <c:v>1.41</c:v>
                </c:pt>
                <c:pt idx="173">
                  <c:v>1.39</c:v>
                </c:pt>
                <c:pt idx="174">
                  <c:v>1.37</c:v>
                </c:pt>
                <c:pt idx="175">
                  <c:v>1.34</c:v>
                </c:pt>
                <c:pt idx="176">
                  <c:v>1.33</c:v>
                </c:pt>
                <c:pt idx="177">
                  <c:v>1.37</c:v>
                </c:pt>
                <c:pt idx="178">
                  <c:v>1.32</c:v>
                </c:pt>
                <c:pt idx="179">
                  <c:v>1.28</c:v>
                </c:pt>
                <c:pt idx="180">
                  <c:v>1.31</c:v>
                </c:pt>
                <c:pt idx="181">
                  <c:v>1.26</c:v>
                </c:pt>
                <c:pt idx="182">
                  <c:v>1.3</c:v>
                </c:pt>
                <c:pt idx="183">
                  <c:v>1.29</c:v>
                </c:pt>
                <c:pt idx="184">
                  <c:v>1.26</c:v>
                </c:pt>
                <c:pt idx="185">
                  <c:v>1.25</c:v>
                </c:pt>
                <c:pt idx="186">
                  <c:v>1.22</c:v>
                </c:pt>
                <c:pt idx="187">
                  <c:v>1.23</c:v>
                </c:pt>
                <c:pt idx="188">
                  <c:v>1.22</c:v>
                </c:pt>
                <c:pt idx="189">
                  <c:v>1.2</c:v>
                </c:pt>
                <c:pt idx="190">
                  <c:v>1.19</c:v>
                </c:pt>
                <c:pt idx="191">
                  <c:v>1.17</c:v>
                </c:pt>
                <c:pt idx="192">
                  <c:v>1.18</c:v>
                </c:pt>
                <c:pt idx="193">
                  <c:v>1.17</c:v>
                </c:pt>
                <c:pt idx="194">
                  <c:v>1.1599999999999999</c:v>
                </c:pt>
                <c:pt idx="195">
                  <c:v>1.1599999999999999</c:v>
                </c:pt>
                <c:pt idx="196">
                  <c:v>1.1599999999999999</c:v>
                </c:pt>
                <c:pt idx="197">
                  <c:v>1.1499999999999999</c:v>
                </c:pt>
                <c:pt idx="198">
                  <c:v>1.1399999999999999</c:v>
                </c:pt>
                <c:pt idx="199">
                  <c:v>1.1299999999999999</c:v>
                </c:pt>
                <c:pt idx="200">
                  <c:v>1.1200000000000001</c:v>
                </c:pt>
                <c:pt idx="201">
                  <c:v>1.1200000000000001</c:v>
                </c:pt>
                <c:pt idx="202">
                  <c:v>1.1100000000000001</c:v>
                </c:pt>
                <c:pt idx="203">
                  <c:v>1.0900000000000001</c:v>
                </c:pt>
                <c:pt idx="204">
                  <c:v>1.0900000000000001</c:v>
                </c:pt>
                <c:pt idx="205">
                  <c:v>1.08</c:v>
                </c:pt>
                <c:pt idx="206">
                  <c:v>1.07</c:v>
                </c:pt>
                <c:pt idx="207">
                  <c:v>1.07</c:v>
                </c:pt>
                <c:pt idx="208">
                  <c:v>1.06</c:v>
                </c:pt>
                <c:pt idx="209">
                  <c:v>1.05</c:v>
                </c:pt>
                <c:pt idx="210">
                  <c:v>1.05</c:v>
                </c:pt>
                <c:pt idx="211">
                  <c:v>1.04</c:v>
                </c:pt>
                <c:pt idx="212">
                  <c:v>1.03</c:v>
                </c:pt>
                <c:pt idx="213">
                  <c:v>1.03</c:v>
                </c:pt>
                <c:pt idx="214">
                  <c:v>1.04</c:v>
                </c:pt>
                <c:pt idx="215">
                  <c:v>1.06</c:v>
                </c:pt>
                <c:pt idx="216">
                  <c:v>1.04</c:v>
                </c:pt>
                <c:pt idx="217">
                  <c:v>1.02</c:v>
                </c:pt>
                <c:pt idx="218">
                  <c:v>1</c:v>
                </c:pt>
                <c:pt idx="219">
                  <c:v>0.98</c:v>
                </c:pt>
                <c:pt idx="220">
                  <c:v>0.98</c:v>
                </c:pt>
                <c:pt idx="221">
                  <c:v>0.97</c:v>
                </c:pt>
                <c:pt idx="222">
                  <c:v>0.99</c:v>
                </c:pt>
                <c:pt idx="223">
                  <c:v>0.98</c:v>
                </c:pt>
                <c:pt idx="224">
                  <c:v>0.92</c:v>
                </c:pt>
                <c:pt idx="225">
                  <c:v>0.97</c:v>
                </c:pt>
                <c:pt idx="226">
                  <c:v>0.98</c:v>
                </c:pt>
                <c:pt idx="227">
                  <c:v>0.93</c:v>
                </c:pt>
                <c:pt idx="228">
                  <c:v>0.91</c:v>
                </c:pt>
                <c:pt idx="229">
                  <c:v>0.91</c:v>
                </c:pt>
                <c:pt idx="230">
                  <c:v>0.93</c:v>
                </c:pt>
                <c:pt idx="231">
                  <c:v>0.91</c:v>
                </c:pt>
                <c:pt idx="232">
                  <c:v>0.87</c:v>
                </c:pt>
                <c:pt idx="233">
                  <c:v>0.95</c:v>
                </c:pt>
                <c:pt idx="234">
                  <c:v>0.91</c:v>
                </c:pt>
                <c:pt idx="235">
                  <c:v>0.91</c:v>
                </c:pt>
                <c:pt idx="236">
                  <c:v>0.87</c:v>
                </c:pt>
                <c:pt idx="237">
                  <c:v>0.87</c:v>
                </c:pt>
                <c:pt idx="238">
                  <c:v>0.87</c:v>
                </c:pt>
                <c:pt idx="239">
                  <c:v>0.95</c:v>
                </c:pt>
                <c:pt idx="240">
                  <c:v>0.91</c:v>
                </c:pt>
                <c:pt idx="241">
                  <c:v>0.9</c:v>
                </c:pt>
                <c:pt idx="242">
                  <c:v>0.9</c:v>
                </c:pt>
                <c:pt idx="243">
                  <c:v>0.88</c:v>
                </c:pt>
                <c:pt idx="244">
                  <c:v>0.87</c:v>
                </c:pt>
                <c:pt idx="245">
                  <c:v>0.87</c:v>
                </c:pt>
                <c:pt idx="246">
                  <c:v>0.89</c:v>
                </c:pt>
                <c:pt idx="247">
                  <c:v>0.87</c:v>
                </c:pt>
                <c:pt idx="248">
                  <c:v>0.87</c:v>
                </c:pt>
                <c:pt idx="249">
                  <c:v>0.85</c:v>
                </c:pt>
                <c:pt idx="250">
                  <c:v>0.86</c:v>
                </c:pt>
                <c:pt idx="251">
                  <c:v>0.76</c:v>
                </c:pt>
                <c:pt idx="252">
                  <c:v>0.63</c:v>
                </c:pt>
                <c:pt idx="253">
                  <c:v>0.59</c:v>
                </c:pt>
                <c:pt idx="254">
                  <c:v>0.75</c:v>
                </c:pt>
                <c:pt idx="255">
                  <c:v>0.81</c:v>
                </c:pt>
                <c:pt idx="256">
                  <c:v>1</c:v>
                </c:pt>
                <c:pt idx="257">
                  <c:v>1.53</c:v>
                </c:pt>
                <c:pt idx="258">
                  <c:v>1.64</c:v>
                </c:pt>
                <c:pt idx="259">
                  <c:v>1.4</c:v>
                </c:pt>
                <c:pt idx="260">
                  <c:v>1.23</c:v>
                </c:pt>
                <c:pt idx="261">
                  <c:v>1.19</c:v>
                </c:pt>
                <c:pt idx="262">
                  <c:v>1.18</c:v>
                </c:pt>
                <c:pt idx="263">
                  <c:v>1.1299999999999999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3-4859-9898-66A9B30C9D69}"/>
            </c:ext>
          </c:extLst>
        </c:ser>
        <c:ser>
          <c:idx val="2"/>
          <c:order val="2"/>
          <c:tx>
            <c:strRef>
              <c:f>Deraniyagala!$E$3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Deraniyagala!$E$4:$E$267</c:f>
              <c:numCache>
                <c:formatCode>0.00</c:formatCode>
                <c:ptCount val="264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</c:v>
                </c:pt>
                <c:pt idx="38">
                  <c:v>4.8</c:v>
                </c:pt>
                <c:pt idx="39">
                  <c:v>4.8</c:v>
                </c:pt>
                <c:pt idx="40">
                  <c:v>4.8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4.8</c:v>
                </c:pt>
                <c:pt idx="55">
                  <c:v>4.8</c:v>
                </c:pt>
                <c:pt idx="56">
                  <c:v>4.8</c:v>
                </c:pt>
                <c:pt idx="57">
                  <c:v>4.8</c:v>
                </c:pt>
                <c:pt idx="58">
                  <c:v>4.8</c:v>
                </c:pt>
                <c:pt idx="59">
                  <c:v>4.8</c:v>
                </c:pt>
                <c:pt idx="60">
                  <c:v>4.8</c:v>
                </c:pt>
                <c:pt idx="61">
                  <c:v>4.8</c:v>
                </c:pt>
                <c:pt idx="62">
                  <c:v>4.8</c:v>
                </c:pt>
                <c:pt idx="63">
                  <c:v>4.8</c:v>
                </c:pt>
                <c:pt idx="64">
                  <c:v>4.8</c:v>
                </c:pt>
                <c:pt idx="65">
                  <c:v>4.8</c:v>
                </c:pt>
                <c:pt idx="66">
                  <c:v>4.8</c:v>
                </c:pt>
                <c:pt idx="67">
                  <c:v>4.8</c:v>
                </c:pt>
                <c:pt idx="68">
                  <c:v>4.8</c:v>
                </c:pt>
                <c:pt idx="69">
                  <c:v>4.8</c:v>
                </c:pt>
                <c:pt idx="70">
                  <c:v>4.8</c:v>
                </c:pt>
                <c:pt idx="71">
                  <c:v>4.8</c:v>
                </c:pt>
                <c:pt idx="72">
                  <c:v>4.8</c:v>
                </c:pt>
                <c:pt idx="73">
                  <c:v>4.8</c:v>
                </c:pt>
                <c:pt idx="74">
                  <c:v>4.8</c:v>
                </c:pt>
                <c:pt idx="75">
                  <c:v>4.8</c:v>
                </c:pt>
                <c:pt idx="76">
                  <c:v>4.8</c:v>
                </c:pt>
                <c:pt idx="77">
                  <c:v>4.8</c:v>
                </c:pt>
                <c:pt idx="78">
                  <c:v>4.8</c:v>
                </c:pt>
                <c:pt idx="79">
                  <c:v>4.8</c:v>
                </c:pt>
                <c:pt idx="80">
                  <c:v>4.8</c:v>
                </c:pt>
                <c:pt idx="81">
                  <c:v>4.8</c:v>
                </c:pt>
                <c:pt idx="82">
                  <c:v>4.8</c:v>
                </c:pt>
                <c:pt idx="83">
                  <c:v>4.8</c:v>
                </c:pt>
                <c:pt idx="84">
                  <c:v>4.8</c:v>
                </c:pt>
                <c:pt idx="85">
                  <c:v>4.8</c:v>
                </c:pt>
                <c:pt idx="86">
                  <c:v>4.8</c:v>
                </c:pt>
                <c:pt idx="87">
                  <c:v>4.8</c:v>
                </c:pt>
                <c:pt idx="88">
                  <c:v>4.8</c:v>
                </c:pt>
                <c:pt idx="89">
                  <c:v>4.8</c:v>
                </c:pt>
                <c:pt idx="90">
                  <c:v>4.8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4.8</c:v>
                </c:pt>
                <c:pt idx="95">
                  <c:v>4.8</c:v>
                </c:pt>
                <c:pt idx="96">
                  <c:v>4.8</c:v>
                </c:pt>
                <c:pt idx="97">
                  <c:v>4.8</c:v>
                </c:pt>
                <c:pt idx="98">
                  <c:v>4.8</c:v>
                </c:pt>
                <c:pt idx="99">
                  <c:v>4.8</c:v>
                </c:pt>
                <c:pt idx="100">
                  <c:v>4.8</c:v>
                </c:pt>
                <c:pt idx="101">
                  <c:v>4.8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4.8</c:v>
                </c:pt>
                <c:pt idx="108">
                  <c:v>4.8</c:v>
                </c:pt>
                <c:pt idx="109">
                  <c:v>4.8</c:v>
                </c:pt>
                <c:pt idx="110">
                  <c:v>4.8</c:v>
                </c:pt>
                <c:pt idx="111">
                  <c:v>4.8</c:v>
                </c:pt>
                <c:pt idx="112">
                  <c:v>4.8</c:v>
                </c:pt>
                <c:pt idx="113">
                  <c:v>4.8</c:v>
                </c:pt>
                <c:pt idx="114">
                  <c:v>4.8</c:v>
                </c:pt>
                <c:pt idx="115">
                  <c:v>4.8</c:v>
                </c:pt>
                <c:pt idx="116">
                  <c:v>4.8</c:v>
                </c:pt>
                <c:pt idx="117">
                  <c:v>4.8</c:v>
                </c:pt>
                <c:pt idx="118">
                  <c:v>4.8</c:v>
                </c:pt>
                <c:pt idx="119">
                  <c:v>4.8</c:v>
                </c:pt>
                <c:pt idx="120">
                  <c:v>4.8</c:v>
                </c:pt>
                <c:pt idx="121">
                  <c:v>4.8</c:v>
                </c:pt>
                <c:pt idx="122">
                  <c:v>4.8</c:v>
                </c:pt>
                <c:pt idx="123">
                  <c:v>4.8</c:v>
                </c:pt>
                <c:pt idx="124">
                  <c:v>4.8</c:v>
                </c:pt>
                <c:pt idx="125">
                  <c:v>4.8</c:v>
                </c:pt>
                <c:pt idx="126">
                  <c:v>4.8</c:v>
                </c:pt>
                <c:pt idx="127">
                  <c:v>4.8</c:v>
                </c:pt>
                <c:pt idx="128">
                  <c:v>4.8</c:v>
                </c:pt>
                <c:pt idx="129">
                  <c:v>4.8</c:v>
                </c:pt>
                <c:pt idx="130">
                  <c:v>4.8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4.8</c:v>
                </c:pt>
                <c:pt idx="148">
                  <c:v>4.8</c:v>
                </c:pt>
                <c:pt idx="149">
                  <c:v>4.8</c:v>
                </c:pt>
                <c:pt idx="150">
                  <c:v>4.8</c:v>
                </c:pt>
                <c:pt idx="151">
                  <c:v>4.8</c:v>
                </c:pt>
                <c:pt idx="152">
                  <c:v>4.8</c:v>
                </c:pt>
                <c:pt idx="153">
                  <c:v>4.8</c:v>
                </c:pt>
                <c:pt idx="154">
                  <c:v>4.8</c:v>
                </c:pt>
                <c:pt idx="155">
                  <c:v>4.8</c:v>
                </c:pt>
                <c:pt idx="156">
                  <c:v>4.8</c:v>
                </c:pt>
                <c:pt idx="157">
                  <c:v>4.8</c:v>
                </c:pt>
                <c:pt idx="158">
                  <c:v>4.8</c:v>
                </c:pt>
                <c:pt idx="159">
                  <c:v>4.8</c:v>
                </c:pt>
                <c:pt idx="160">
                  <c:v>4.8</c:v>
                </c:pt>
                <c:pt idx="161">
                  <c:v>4.8</c:v>
                </c:pt>
                <c:pt idx="162">
                  <c:v>4.8</c:v>
                </c:pt>
                <c:pt idx="163">
                  <c:v>4.8</c:v>
                </c:pt>
                <c:pt idx="164">
                  <c:v>4.8</c:v>
                </c:pt>
                <c:pt idx="165">
                  <c:v>4.8</c:v>
                </c:pt>
                <c:pt idx="166">
                  <c:v>4.8</c:v>
                </c:pt>
                <c:pt idx="167">
                  <c:v>4.8</c:v>
                </c:pt>
                <c:pt idx="168">
                  <c:v>4.8</c:v>
                </c:pt>
                <c:pt idx="169">
                  <c:v>4.8</c:v>
                </c:pt>
                <c:pt idx="170">
                  <c:v>4.8</c:v>
                </c:pt>
                <c:pt idx="171">
                  <c:v>4.8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</c:v>
                </c:pt>
                <c:pt idx="179">
                  <c:v>4.8</c:v>
                </c:pt>
                <c:pt idx="180">
                  <c:v>4.8</c:v>
                </c:pt>
                <c:pt idx="181">
                  <c:v>4.8</c:v>
                </c:pt>
                <c:pt idx="182">
                  <c:v>4.8</c:v>
                </c:pt>
                <c:pt idx="183">
                  <c:v>4.8</c:v>
                </c:pt>
                <c:pt idx="184">
                  <c:v>4.8</c:v>
                </c:pt>
                <c:pt idx="185">
                  <c:v>4.8</c:v>
                </c:pt>
                <c:pt idx="186">
                  <c:v>4.8</c:v>
                </c:pt>
                <c:pt idx="187">
                  <c:v>4.8</c:v>
                </c:pt>
                <c:pt idx="188">
                  <c:v>4.8</c:v>
                </c:pt>
                <c:pt idx="189">
                  <c:v>4.8</c:v>
                </c:pt>
                <c:pt idx="190">
                  <c:v>4.8</c:v>
                </c:pt>
                <c:pt idx="191">
                  <c:v>4.8</c:v>
                </c:pt>
                <c:pt idx="192">
                  <c:v>4.8</c:v>
                </c:pt>
                <c:pt idx="193">
                  <c:v>4.8</c:v>
                </c:pt>
                <c:pt idx="194">
                  <c:v>4.8</c:v>
                </c:pt>
                <c:pt idx="195">
                  <c:v>4.8</c:v>
                </c:pt>
                <c:pt idx="196">
                  <c:v>4.8</c:v>
                </c:pt>
                <c:pt idx="197">
                  <c:v>4.8</c:v>
                </c:pt>
                <c:pt idx="198">
                  <c:v>4.8</c:v>
                </c:pt>
                <c:pt idx="199">
                  <c:v>4.8</c:v>
                </c:pt>
                <c:pt idx="200">
                  <c:v>4.8</c:v>
                </c:pt>
                <c:pt idx="201">
                  <c:v>4.8</c:v>
                </c:pt>
                <c:pt idx="202">
                  <c:v>4.8</c:v>
                </c:pt>
                <c:pt idx="203">
                  <c:v>4.8</c:v>
                </c:pt>
                <c:pt idx="204">
                  <c:v>4.8</c:v>
                </c:pt>
                <c:pt idx="205">
                  <c:v>4.8</c:v>
                </c:pt>
                <c:pt idx="206">
                  <c:v>4.8</c:v>
                </c:pt>
                <c:pt idx="207">
                  <c:v>4.8</c:v>
                </c:pt>
                <c:pt idx="208">
                  <c:v>4.8</c:v>
                </c:pt>
                <c:pt idx="209">
                  <c:v>4.8</c:v>
                </c:pt>
                <c:pt idx="210">
                  <c:v>4.8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4.8</c:v>
                </c:pt>
                <c:pt idx="215">
                  <c:v>4.8</c:v>
                </c:pt>
                <c:pt idx="216">
                  <c:v>4.8</c:v>
                </c:pt>
                <c:pt idx="217">
                  <c:v>4.8</c:v>
                </c:pt>
                <c:pt idx="218">
                  <c:v>4.8</c:v>
                </c:pt>
                <c:pt idx="219">
                  <c:v>4.8</c:v>
                </c:pt>
                <c:pt idx="220">
                  <c:v>4.8</c:v>
                </c:pt>
                <c:pt idx="221">
                  <c:v>4.8</c:v>
                </c:pt>
                <c:pt idx="222">
                  <c:v>4.8</c:v>
                </c:pt>
                <c:pt idx="223">
                  <c:v>4.8</c:v>
                </c:pt>
                <c:pt idx="224">
                  <c:v>4.8</c:v>
                </c:pt>
                <c:pt idx="225">
                  <c:v>4.8</c:v>
                </c:pt>
                <c:pt idx="226">
                  <c:v>4.8</c:v>
                </c:pt>
                <c:pt idx="227">
                  <c:v>4.8</c:v>
                </c:pt>
                <c:pt idx="228">
                  <c:v>4.8</c:v>
                </c:pt>
                <c:pt idx="229">
                  <c:v>4.8</c:v>
                </c:pt>
                <c:pt idx="230">
                  <c:v>4.8</c:v>
                </c:pt>
                <c:pt idx="231">
                  <c:v>4.8</c:v>
                </c:pt>
                <c:pt idx="232">
                  <c:v>4.8</c:v>
                </c:pt>
                <c:pt idx="233">
                  <c:v>4.8</c:v>
                </c:pt>
                <c:pt idx="234">
                  <c:v>4.8</c:v>
                </c:pt>
                <c:pt idx="235">
                  <c:v>4.8</c:v>
                </c:pt>
                <c:pt idx="236">
                  <c:v>4.8</c:v>
                </c:pt>
                <c:pt idx="237">
                  <c:v>4.8</c:v>
                </c:pt>
                <c:pt idx="238">
                  <c:v>4.8</c:v>
                </c:pt>
                <c:pt idx="239">
                  <c:v>4.8</c:v>
                </c:pt>
                <c:pt idx="240">
                  <c:v>4.8</c:v>
                </c:pt>
                <c:pt idx="241">
                  <c:v>4.8</c:v>
                </c:pt>
                <c:pt idx="242">
                  <c:v>4.8</c:v>
                </c:pt>
                <c:pt idx="243">
                  <c:v>4.8</c:v>
                </c:pt>
                <c:pt idx="244">
                  <c:v>4.8</c:v>
                </c:pt>
                <c:pt idx="245">
                  <c:v>4.8</c:v>
                </c:pt>
                <c:pt idx="246">
                  <c:v>4.8</c:v>
                </c:pt>
                <c:pt idx="247">
                  <c:v>4.8</c:v>
                </c:pt>
                <c:pt idx="248">
                  <c:v>4.8</c:v>
                </c:pt>
                <c:pt idx="249">
                  <c:v>4.8</c:v>
                </c:pt>
                <c:pt idx="250">
                  <c:v>4.8</c:v>
                </c:pt>
                <c:pt idx="251">
                  <c:v>4.8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4.8</c:v>
                </c:pt>
                <c:pt idx="256">
                  <c:v>4.8</c:v>
                </c:pt>
                <c:pt idx="257">
                  <c:v>4.8</c:v>
                </c:pt>
                <c:pt idx="258">
                  <c:v>4.8</c:v>
                </c:pt>
                <c:pt idx="259">
                  <c:v>4.8</c:v>
                </c:pt>
                <c:pt idx="260">
                  <c:v>4.8</c:v>
                </c:pt>
                <c:pt idx="261">
                  <c:v>4.8</c:v>
                </c:pt>
                <c:pt idx="262">
                  <c:v>4.8</c:v>
                </c:pt>
                <c:pt idx="26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B3-4859-9898-66A9B30C9D69}"/>
            </c:ext>
          </c:extLst>
        </c:ser>
        <c:ser>
          <c:idx val="3"/>
          <c:order val="3"/>
          <c:tx>
            <c:strRef>
              <c:f>Deraniyagala!$F$3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Deraniyagala!$F$4:$F$267</c:f>
              <c:numCache>
                <c:formatCode>0.00</c:formatCode>
                <c:ptCount val="264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5.8</c:v>
                </c:pt>
                <c:pt idx="42">
                  <c:v>5.8</c:v>
                </c:pt>
                <c:pt idx="43">
                  <c:v>5.8</c:v>
                </c:pt>
                <c:pt idx="44">
                  <c:v>5.8</c:v>
                </c:pt>
                <c:pt idx="45">
                  <c:v>5.8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</c:v>
                </c:pt>
                <c:pt idx="73">
                  <c:v>5.8</c:v>
                </c:pt>
                <c:pt idx="74">
                  <c:v>5.8</c:v>
                </c:pt>
                <c:pt idx="75">
                  <c:v>5.8</c:v>
                </c:pt>
                <c:pt idx="76">
                  <c:v>5.8</c:v>
                </c:pt>
                <c:pt idx="77">
                  <c:v>5.8</c:v>
                </c:pt>
                <c:pt idx="78">
                  <c:v>5.8</c:v>
                </c:pt>
                <c:pt idx="79">
                  <c:v>5.8</c:v>
                </c:pt>
                <c:pt idx="80">
                  <c:v>5.8</c:v>
                </c:pt>
                <c:pt idx="81">
                  <c:v>5.8</c:v>
                </c:pt>
                <c:pt idx="82">
                  <c:v>5.8</c:v>
                </c:pt>
                <c:pt idx="83">
                  <c:v>5.8</c:v>
                </c:pt>
                <c:pt idx="84">
                  <c:v>5.8</c:v>
                </c:pt>
                <c:pt idx="85">
                  <c:v>5.8</c:v>
                </c:pt>
                <c:pt idx="86">
                  <c:v>5.8</c:v>
                </c:pt>
                <c:pt idx="87">
                  <c:v>5.8</c:v>
                </c:pt>
                <c:pt idx="88">
                  <c:v>5.8</c:v>
                </c:pt>
                <c:pt idx="89">
                  <c:v>5.8</c:v>
                </c:pt>
                <c:pt idx="90">
                  <c:v>5.8</c:v>
                </c:pt>
                <c:pt idx="91">
                  <c:v>5.8</c:v>
                </c:pt>
                <c:pt idx="92">
                  <c:v>5.8</c:v>
                </c:pt>
                <c:pt idx="93">
                  <c:v>5.8</c:v>
                </c:pt>
                <c:pt idx="94">
                  <c:v>5.8</c:v>
                </c:pt>
                <c:pt idx="95">
                  <c:v>5.8</c:v>
                </c:pt>
                <c:pt idx="96">
                  <c:v>5.8</c:v>
                </c:pt>
                <c:pt idx="97">
                  <c:v>5.8</c:v>
                </c:pt>
                <c:pt idx="98">
                  <c:v>5.8</c:v>
                </c:pt>
                <c:pt idx="99">
                  <c:v>5.8</c:v>
                </c:pt>
                <c:pt idx="100">
                  <c:v>5.8</c:v>
                </c:pt>
                <c:pt idx="101">
                  <c:v>5.8</c:v>
                </c:pt>
                <c:pt idx="102">
                  <c:v>5.8</c:v>
                </c:pt>
                <c:pt idx="103">
                  <c:v>5.8</c:v>
                </c:pt>
                <c:pt idx="104">
                  <c:v>5.8</c:v>
                </c:pt>
                <c:pt idx="105">
                  <c:v>5.8</c:v>
                </c:pt>
                <c:pt idx="106">
                  <c:v>5.8</c:v>
                </c:pt>
                <c:pt idx="107">
                  <c:v>5.8</c:v>
                </c:pt>
                <c:pt idx="108">
                  <c:v>5.8</c:v>
                </c:pt>
                <c:pt idx="109">
                  <c:v>5.8</c:v>
                </c:pt>
                <c:pt idx="110">
                  <c:v>5.8</c:v>
                </c:pt>
                <c:pt idx="111">
                  <c:v>5.8</c:v>
                </c:pt>
                <c:pt idx="112">
                  <c:v>5.8</c:v>
                </c:pt>
                <c:pt idx="113">
                  <c:v>5.8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5.8</c:v>
                </c:pt>
                <c:pt idx="119">
                  <c:v>5.8</c:v>
                </c:pt>
                <c:pt idx="120">
                  <c:v>5.8</c:v>
                </c:pt>
                <c:pt idx="121">
                  <c:v>5.8</c:v>
                </c:pt>
                <c:pt idx="122">
                  <c:v>5.8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5.8</c:v>
                </c:pt>
                <c:pt idx="133">
                  <c:v>5.8</c:v>
                </c:pt>
                <c:pt idx="134">
                  <c:v>5.8</c:v>
                </c:pt>
                <c:pt idx="135">
                  <c:v>5.8</c:v>
                </c:pt>
                <c:pt idx="136">
                  <c:v>5.8</c:v>
                </c:pt>
                <c:pt idx="137">
                  <c:v>5.8</c:v>
                </c:pt>
                <c:pt idx="138">
                  <c:v>5.8</c:v>
                </c:pt>
                <c:pt idx="139">
                  <c:v>5.8</c:v>
                </c:pt>
                <c:pt idx="140">
                  <c:v>5.8</c:v>
                </c:pt>
                <c:pt idx="141">
                  <c:v>5.8</c:v>
                </c:pt>
                <c:pt idx="142">
                  <c:v>5.8</c:v>
                </c:pt>
                <c:pt idx="143">
                  <c:v>5.8</c:v>
                </c:pt>
                <c:pt idx="144">
                  <c:v>5.8</c:v>
                </c:pt>
                <c:pt idx="145">
                  <c:v>5.8</c:v>
                </c:pt>
                <c:pt idx="146">
                  <c:v>5.8</c:v>
                </c:pt>
                <c:pt idx="147">
                  <c:v>5.8</c:v>
                </c:pt>
                <c:pt idx="148">
                  <c:v>5.8</c:v>
                </c:pt>
                <c:pt idx="149">
                  <c:v>5.8</c:v>
                </c:pt>
                <c:pt idx="150">
                  <c:v>5.8</c:v>
                </c:pt>
                <c:pt idx="151">
                  <c:v>5.8</c:v>
                </c:pt>
                <c:pt idx="152">
                  <c:v>5.8</c:v>
                </c:pt>
                <c:pt idx="153">
                  <c:v>5.8</c:v>
                </c:pt>
                <c:pt idx="154">
                  <c:v>5.8</c:v>
                </c:pt>
                <c:pt idx="155">
                  <c:v>5.8</c:v>
                </c:pt>
                <c:pt idx="156">
                  <c:v>5.8</c:v>
                </c:pt>
                <c:pt idx="157">
                  <c:v>5.8</c:v>
                </c:pt>
                <c:pt idx="158">
                  <c:v>5.8</c:v>
                </c:pt>
                <c:pt idx="159">
                  <c:v>5.8</c:v>
                </c:pt>
                <c:pt idx="160">
                  <c:v>5.8</c:v>
                </c:pt>
                <c:pt idx="161">
                  <c:v>5.8</c:v>
                </c:pt>
                <c:pt idx="162">
                  <c:v>5.8</c:v>
                </c:pt>
                <c:pt idx="163">
                  <c:v>5.8</c:v>
                </c:pt>
                <c:pt idx="164">
                  <c:v>5.8</c:v>
                </c:pt>
                <c:pt idx="165">
                  <c:v>5.8</c:v>
                </c:pt>
                <c:pt idx="166">
                  <c:v>5.8</c:v>
                </c:pt>
                <c:pt idx="167">
                  <c:v>5.8</c:v>
                </c:pt>
                <c:pt idx="168">
                  <c:v>5.8</c:v>
                </c:pt>
                <c:pt idx="169">
                  <c:v>5.8</c:v>
                </c:pt>
                <c:pt idx="170">
                  <c:v>5.8</c:v>
                </c:pt>
                <c:pt idx="171">
                  <c:v>5.8</c:v>
                </c:pt>
                <c:pt idx="172">
                  <c:v>5.8</c:v>
                </c:pt>
                <c:pt idx="173">
                  <c:v>5.8</c:v>
                </c:pt>
                <c:pt idx="174">
                  <c:v>5.8</c:v>
                </c:pt>
                <c:pt idx="175">
                  <c:v>5.8</c:v>
                </c:pt>
                <c:pt idx="176">
                  <c:v>5.8</c:v>
                </c:pt>
                <c:pt idx="177">
                  <c:v>5.8</c:v>
                </c:pt>
                <c:pt idx="178">
                  <c:v>5.8</c:v>
                </c:pt>
                <c:pt idx="179">
                  <c:v>5.8</c:v>
                </c:pt>
                <c:pt idx="180">
                  <c:v>5.8</c:v>
                </c:pt>
                <c:pt idx="181">
                  <c:v>5.8</c:v>
                </c:pt>
                <c:pt idx="182">
                  <c:v>5.8</c:v>
                </c:pt>
                <c:pt idx="183">
                  <c:v>5.8</c:v>
                </c:pt>
                <c:pt idx="184">
                  <c:v>5.8</c:v>
                </c:pt>
                <c:pt idx="185">
                  <c:v>5.8</c:v>
                </c:pt>
                <c:pt idx="186">
                  <c:v>5.8</c:v>
                </c:pt>
                <c:pt idx="187">
                  <c:v>5.8</c:v>
                </c:pt>
                <c:pt idx="188">
                  <c:v>5.8</c:v>
                </c:pt>
                <c:pt idx="189">
                  <c:v>5.8</c:v>
                </c:pt>
                <c:pt idx="190">
                  <c:v>5.8</c:v>
                </c:pt>
                <c:pt idx="191">
                  <c:v>5.8</c:v>
                </c:pt>
                <c:pt idx="192">
                  <c:v>5.8</c:v>
                </c:pt>
                <c:pt idx="193">
                  <c:v>5.8</c:v>
                </c:pt>
                <c:pt idx="194">
                  <c:v>5.8</c:v>
                </c:pt>
                <c:pt idx="195">
                  <c:v>5.8</c:v>
                </c:pt>
                <c:pt idx="196">
                  <c:v>5.8</c:v>
                </c:pt>
                <c:pt idx="197">
                  <c:v>5.8</c:v>
                </c:pt>
                <c:pt idx="198">
                  <c:v>5.8</c:v>
                </c:pt>
                <c:pt idx="199">
                  <c:v>5.8</c:v>
                </c:pt>
                <c:pt idx="200">
                  <c:v>5.8</c:v>
                </c:pt>
                <c:pt idx="201">
                  <c:v>5.8</c:v>
                </c:pt>
                <c:pt idx="202">
                  <c:v>5.8</c:v>
                </c:pt>
                <c:pt idx="203">
                  <c:v>5.8</c:v>
                </c:pt>
                <c:pt idx="204">
                  <c:v>5.8</c:v>
                </c:pt>
                <c:pt idx="205">
                  <c:v>5.8</c:v>
                </c:pt>
                <c:pt idx="206">
                  <c:v>5.8</c:v>
                </c:pt>
                <c:pt idx="207">
                  <c:v>5.8</c:v>
                </c:pt>
                <c:pt idx="208">
                  <c:v>5.8</c:v>
                </c:pt>
                <c:pt idx="209">
                  <c:v>5.8</c:v>
                </c:pt>
                <c:pt idx="210">
                  <c:v>5.8</c:v>
                </c:pt>
                <c:pt idx="211">
                  <c:v>5.8</c:v>
                </c:pt>
                <c:pt idx="212">
                  <c:v>5.8</c:v>
                </c:pt>
                <c:pt idx="213">
                  <c:v>5.8</c:v>
                </c:pt>
                <c:pt idx="214">
                  <c:v>5.8</c:v>
                </c:pt>
                <c:pt idx="215">
                  <c:v>5.8</c:v>
                </c:pt>
                <c:pt idx="216">
                  <c:v>5.8</c:v>
                </c:pt>
                <c:pt idx="217">
                  <c:v>5.8</c:v>
                </c:pt>
                <c:pt idx="218">
                  <c:v>5.8</c:v>
                </c:pt>
                <c:pt idx="219">
                  <c:v>5.8</c:v>
                </c:pt>
                <c:pt idx="220">
                  <c:v>5.8</c:v>
                </c:pt>
                <c:pt idx="221">
                  <c:v>5.8</c:v>
                </c:pt>
                <c:pt idx="222">
                  <c:v>5.8</c:v>
                </c:pt>
                <c:pt idx="223">
                  <c:v>5.8</c:v>
                </c:pt>
                <c:pt idx="224">
                  <c:v>5.8</c:v>
                </c:pt>
                <c:pt idx="225">
                  <c:v>5.8</c:v>
                </c:pt>
                <c:pt idx="226">
                  <c:v>5.8</c:v>
                </c:pt>
                <c:pt idx="227">
                  <c:v>5.8</c:v>
                </c:pt>
                <c:pt idx="228">
                  <c:v>5.8</c:v>
                </c:pt>
                <c:pt idx="229">
                  <c:v>5.8</c:v>
                </c:pt>
                <c:pt idx="230">
                  <c:v>5.8</c:v>
                </c:pt>
                <c:pt idx="231">
                  <c:v>5.8</c:v>
                </c:pt>
                <c:pt idx="232">
                  <c:v>5.8</c:v>
                </c:pt>
                <c:pt idx="233">
                  <c:v>5.8</c:v>
                </c:pt>
                <c:pt idx="234">
                  <c:v>5.8</c:v>
                </c:pt>
                <c:pt idx="235">
                  <c:v>5.8</c:v>
                </c:pt>
                <c:pt idx="236">
                  <c:v>5.8</c:v>
                </c:pt>
                <c:pt idx="237">
                  <c:v>5.8</c:v>
                </c:pt>
                <c:pt idx="238">
                  <c:v>5.8</c:v>
                </c:pt>
                <c:pt idx="239">
                  <c:v>5.8</c:v>
                </c:pt>
                <c:pt idx="240">
                  <c:v>5.8</c:v>
                </c:pt>
                <c:pt idx="241">
                  <c:v>5.8</c:v>
                </c:pt>
                <c:pt idx="242">
                  <c:v>5.8</c:v>
                </c:pt>
                <c:pt idx="243">
                  <c:v>5.8</c:v>
                </c:pt>
                <c:pt idx="244">
                  <c:v>5.8</c:v>
                </c:pt>
                <c:pt idx="245">
                  <c:v>5.8</c:v>
                </c:pt>
                <c:pt idx="246">
                  <c:v>5.8</c:v>
                </c:pt>
                <c:pt idx="247">
                  <c:v>5.8</c:v>
                </c:pt>
                <c:pt idx="248">
                  <c:v>5.8</c:v>
                </c:pt>
                <c:pt idx="249">
                  <c:v>5.8</c:v>
                </c:pt>
                <c:pt idx="250">
                  <c:v>5.8</c:v>
                </c:pt>
                <c:pt idx="251">
                  <c:v>5.8</c:v>
                </c:pt>
                <c:pt idx="252">
                  <c:v>5.8</c:v>
                </c:pt>
                <c:pt idx="253">
                  <c:v>5.8</c:v>
                </c:pt>
                <c:pt idx="254">
                  <c:v>5.8</c:v>
                </c:pt>
                <c:pt idx="255">
                  <c:v>5.8</c:v>
                </c:pt>
                <c:pt idx="256">
                  <c:v>5.8</c:v>
                </c:pt>
                <c:pt idx="257">
                  <c:v>5.8</c:v>
                </c:pt>
                <c:pt idx="258">
                  <c:v>5.8</c:v>
                </c:pt>
                <c:pt idx="259">
                  <c:v>5.8</c:v>
                </c:pt>
                <c:pt idx="260">
                  <c:v>5.8</c:v>
                </c:pt>
                <c:pt idx="261">
                  <c:v>5.8</c:v>
                </c:pt>
                <c:pt idx="262">
                  <c:v>5.8</c:v>
                </c:pt>
                <c:pt idx="26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B3-4859-9898-66A9B30C9D69}"/>
            </c:ext>
          </c:extLst>
        </c:ser>
        <c:ser>
          <c:idx val="4"/>
          <c:order val="4"/>
          <c:tx>
            <c:strRef>
              <c:f>Deraniyagala!$G$3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Deraniyagala!$G$4:$G$267</c:f>
              <c:numCache>
                <c:formatCode>0.00</c:formatCode>
                <c:ptCount val="264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6.4</c:v>
                </c:pt>
                <c:pt idx="231">
                  <c:v>6.4</c:v>
                </c:pt>
                <c:pt idx="232">
                  <c:v>6.4</c:v>
                </c:pt>
                <c:pt idx="233">
                  <c:v>6.4</c:v>
                </c:pt>
                <c:pt idx="234">
                  <c:v>6.4</c:v>
                </c:pt>
                <c:pt idx="235">
                  <c:v>6.4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</c:v>
                </c:pt>
                <c:pt idx="243">
                  <c:v>6.4</c:v>
                </c:pt>
                <c:pt idx="244">
                  <c:v>6.4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B3-4859-9898-66A9B30C9D69}"/>
            </c:ext>
          </c:extLst>
        </c:ser>
        <c:ser>
          <c:idx val="5"/>
          <c:order val="5"/>
          <c:tx>
            <c:strRef>
              <c:f>Deraniyagala!$J$2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B3-4859-9898-66A9B30C9D69}"/>
            </c:ext>
          </c:extLst>
        </c:ser>
        <c:ser>
          <c:idx val="6"/>
          <c:order val="6"/>
          <c:tx>
            <c:strRef>
              <c:f>Deraniyagala!$K$2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B3-4859-9898-66A9B30C9D69}"/>
            </c:ext>
          </c:extLst>
        </c:ser>
        <c:ser>
          <c:idx val="7"/>
          <c:order val="7"/>
          <c:tx>
            <c:strRef>
              <c:f>Deraniyagala!$L$2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B3-4859-9898-66A9B30C9D69}"/>
            </c:ext>
          </c:extLst>
        </c:ser>
        <c:ser>
          <c:idx val="8"/>
          <c:order val="8"/>
          <c:tx>
            <c:strRef>
              <c:f>Deraniyagala!$M$2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B3-4859-9898-66A9B30C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Norwood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Norwood!$D$3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Norwood!$D$4:$D$267</c:f>
              <c:numCache>
                <c:formatCode>0.0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5.9</c:v>
                </c:pt>
                <c:pt idx="15">
                  <c:v>0.6</c:v>
                </c:pt>
                <c:pt idx="16">
                  <c:v>0.8</c:v>
                </c:pt>
                <c:pt idx="17">
                  <c:v>2.5</c:v>
                </c:pt>
                <c:pt idx="18">
                  <c:v>2.2999999999999998</c:v>
                </c:pt>
                <c:pt idx="19">
                  <c:v>3.3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2.1</c:v>
                </c:pt>
                <c:pt idx="31">
                  <c:v>1.1000000000000001</c:v>
                </c:pt>
                <c:pt idx="32">
                  <c:v>0</c:v>
                </c:pt>
                <c:pt idx="33">
                  <c:v>0</c:v>
                </c:pt>
                <c:pt idx="34">
                  <c:v>1.7</c:v>
                </c:pt>
                <c:pt idx="35">
                  <c:v>0.9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0.6</c:v>
                </c:pt>
                <c:pt idx="46">
                  <c:v>2.1</c:v>
                </c:pt>
                <c:pt idx="47">
                  <c:v>3.1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3.5</c:v>
                </c:pt>
                <c:pt idx="56">
                  <c:v>4.0999999999999996</c:v>
                </c:pt>
                <c:pt idx="57">
                  <c:v>0.6</c:v>
                </c:pt>
                <c:pt idx="58">
                  <c:v>0.4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4.2</c:v>
                </c:pt>
                <c:pt idx="63">
                  <c:v>3.4</c:v>
                </c:pt>
                <c:pt idx="64">
                  <c:v>6.2</c:v>
                </c:pt>
                <c:pt idx="65">
                  <c:v>3.1</c:v>
                </c:pt>
                <c:pt idx="66">
                  <c:v>1.5</c:v>
                </c:pt>
                <c:pt idx="67">
                  <c:v>2.1</c:v>
                </c:pt>
                <c:pt idx="68">
                  <c:v>1.3</c:v>
                </c:pt>
                <c:pt idx="69">
                  <c:v>5.9</c:v>
                </c:pt>
                <c:pt idx="70">
                  <c:v>8.5</c:v>
                </c:pt>
                <c:pt idx="71">
                  <c:v>5.4</c:v>
                </c:pt>
                <c:pt idx="72">
                  <c:v>3.6</c:v>
                </c:pt>
                <c:pt idx="73">
                  <c:v>7.9</c:v>
                </c:pt>
                <c:pt idx="74">
                  <c:v>8.3000000000000007</c:v>
                </c:pt>
                <c:pt idx="75">
                  <c:v>4.0999999999999996</c:v>
                </c:pt>
                <c:pt idx="76">
                  <c:v>0</c:v>
                </c:pt>
                <c:pt idx="77">
                  <c:v>3.9</c:v>
                </c:pt>
                <c:pt idx="78">
                  <c:v>6.2</c:v>
                </c:pt>
                <c:pt idx="79">
                  <c:v>7.1</c:v>
                </c:pt>
                <c:pt idx="80">
                  <c:v>8.9</c:v>
                </c:pt>
                <c:pt idx="81">
                  <c:v>4.8</c:v>
                </c:pt>
                <c:pt idx="82">
                  <c:v>3.2</c:v>
                </c:pt>
                <c:pt idx="83">
                  <c:v>1.2</c:v>
                </c:pt>
                <c:pt idx="84">
                  <c:v>0.4</c:v>
                </c:pt>
                <c:pt idx="85">
                  <c:v>0</c:v>
                </c:pt>
                <c:pt idx="86">
                  <c:v>3.1</c:v>
                </c:pt>
                <c:pt idx="87">
                  <c:v>30.2</c:v>
                </c:pt>
                <c:pt idx="88">
                  <c:v>11</c:v>
                </c:pt>
                <c:pt idx="89">
                  <c:v>8.9</c:v>
                </c:pt>
                <c:pt idx="90">
                  <c:v>6.7</c:v>
                </c:pt>
                <c:pt idx="91">
                  <c:v>5.8</c:v>
                </c:pt>
                <c:pt idx="92">
                  <c:v>14.5</c:v>
                </c:pt>
                <c:pt idx="93">
                  <c:v>8.5</c:v>
                </c:pt>
                <c:pt idx="94">
                  <c:v>2.6</c:v>
                </c:pt>
                <c:pt idx="95">
                  <c:v>21.2</c:v>
                </c:pt>
                <c:pt idx="96">
                  <c:v>4.5</c:v>
                </c:pt>
                <c:pt idx="97">
                  <c:v>2.1</c:v>
                </c:pt>
                <c:pt idx="98">
                  <c:v>2</c:v>
                </c:pt>
                <c:pt idx="99">
                  <c:v>3.2</c:v>
                </c:pt>
                <c:pt idx="100">
                  <c:v>17.399999999999999</c:v>
                </c:pt>
                <c:pt idx="101">
                  <c:v>4.5</c:v>
                </c:pt>
                <c:pt idx="102">
                  <c:v>4.2</c:v>
                </c:pt>
                <c:pt idx="103">
                  <c:v>2.6</c:v>
                </c:pt>
                <c:pt idx="104">
                  <c:v>1</c:v>
                </c:pt>
                <c:pt idx="105">
                  <c:v>4.8</c:v>
                </c:pt>
                <c:pt idx="106">
                  <c:v>23.2</c:v>
                </c:pt>
                <c:pt idx="107">
                  <c:v>15.8</c:v>
                </c:pt>
                <c:pt idx="108">
                  <c:v>3.1</c:v>
                </c:pt>
                <c:pt idx="109">
                  <c:v>0</c:v>
                </c:pt>
                <c:pt idx="110">
                  <c:v>0</c:v>
                </c:pt>
                <c:pt idx="111">
                  <c:v>1.6</c:v>
                </c:pt>
                <c:pt idx="112">
                  <c:v>3.2</c:v>
                </c:pt>
                <c:pt idx="113">
                  <c:v>0.8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0.6</c:v>
                </c:pt>
                <c:pt idx="129">
                  <c:v>0</c:v>
                </c:pt>
                <c:pt idx="130">
                  <c:v>0.5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1.9</c:v>
                </c:pt>
                <c:pt idx="254">
                  <c:v>2.2999999999999998</c:v>
                </c:pt>
                <c:pt idx="255">
                  <c:v>1.3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4317-88BB-0DCEC4F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Norwood!$B$3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Norwood!$A$4:$A$267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Norwood!$B$4:$B$267</c:f>
              <c:numCache>
                <c:formatCode>0.00</c:formatCode>
                <c:ptCount val="264"/>
                <c:pt idx="0">
                  <c:v>1.7</c:v>
                </c:pt>
                <c:pt idx="1">
                  <c:v>1.62</c:v>
                </c:pt>
                <c:pt idx="2">
                  <c:v>1.6</c:v>
                </c:pt>
                <c:pt idx="3">
                  <c:v>1.55</c:v>
                </c:pt>
                <c:pt idx="4">
                  <c:v>1.51</c:v>
                </c:pt>
                <c:pt idx="5">
                  <c:v>1.48</c:v>
                </c:pt>
                <c:pt idx="6">
                  <c:v>1.45</c:v>
                </c:pt>
                <c:pt idx="7">
                  <c:v>1.32</c:v>
                </c:pt>
                <c:pt idx="8">
                  <c:v>1.25</c:v>
                </c:pt>
                <c:pt idx="9">
                  <c:v>1.22</c:v>
                </c:pt>
                <c:pt idx="10">
                  <c:v>1.18</c:v>
                </c:pt>
                <c:pt idx="11">
                  <c:v>1.1599999999999999</c:v>
                </c:pt>
                <c:pt idx="12">
                  <c:v>1.17</c:v>
                </c:pt>
                <c:pt idx="13">
                  <c:v>1.02</c:v>
                </c:pt>
                <c:pt idx="14">
                  <c:v>1.1100000000000001</c:v>
                </c:pt>
                <c:pt idx="15">
                  <c:v>1.1000000000000001</c:v>
                </c:pt>
                <c:pt idx="16">
                  <c:v>1.1299999999999999</c:v>
                </c:pt>
                <c:pt idx="17">
                  <c:v>1.19</c:v>
                </c:pt>
                <c:pt idx="18">
                  <c:v>1.26</c:v>
                </c:pt>
                <c:pt idx="19">
                  <c:v>1.3</c:v>
                </c:pt>
                <c:pt idx="20">
                  <c:v>1.37</c:v>
                </c:pt>
                <c:pt idx="21">
                  <c:v>1.38</c:v>
                </c:pt>
                <c:pt idx="22">
                  <c:v>1.36</c:v>
                </c:pt>
                <c:pt idx="23">
                  <c:v>1.38</c:v>
                </c:pt>
                <c:pt idx="24">
                  <c:v>1.37</c:v>
                </c:pt>
                <c:pt idx="25">
                  <c:v>1.4</c:v>
                </c:pt>
                <c:pt idx="26">
                  <c:v>1.45</c:v>
                </c:pt>
                <c:pt idx="27">
                  <c:v>1.46</c:v>
                </c:pt>
                <c:pt idx="28">
                  <c:v>1.41</c:v>
                </c:pt>
                <c:pt idx="29">
                  <c:v>1.37</c:v>
                </c:pt>
                <c:pt idx="30">
                  <c:v>1.35</c:v>
                </c:pt>
                <c:pt idx="31">
                  <c:v>1.32</c:v>
                </c:pt>
                <c:pt idx="32">
                  <c:v>1.31</c:v>
                </c:pt>
                <c:pt idx="33">
                  <c:v>1.3</c:v>
                </c:pt>
                <c:pt idx="34">
                  <c:v>1.28</c:v>
                </c:pt>
                <c:pt idx="35">
                  <c:v>1.23</c:v>
                </c:pt>
                <c:pt idx="36">
                  <c:v>1.21</c:v>
                </c:pt>
                <c:pt idx="37">
                  <c:v>1.2</c:v>
                </c:pt>
                <c:pt idx="38">
                  <c:v>1.18</c:v>
                </c:pt>
                <c:pt idx="39">
                  <c:v>1.1599999999999999</c:v>
                </c:pt>
                <c:pt idx="40">
                  <c:v>1.1399999999999999</c:v>
                </c:pt>
                <c:pt idx="41">
                  <c:v>1.1399999999999999</c:v>
                </c:pt>
                <c:pt idx="42">
                  <c:v>1.1299999999999999</c:v>
                </c:pt>
                <c:pt idx="43">
                  <c:v>1.1299999999999999</c:v>
                </c:pt>
                <c:pt idx="44">
                  <c:v>1.1100000000000001</c:v>
                </c:pt>
                <c:pt idx="45">
                  <c:v>1.1000000000000001</c:v>
                </c:pt>
                <c:pt idx="46">
                  <c:v>1.1100000000000001</c:v>
                </c:pt>
                <c:pt idx="47">
                  <c:v>1.1200000000000001</c:v>
                </c:pt>
                <c:pt idx="48">
                  <c:v>1.1399999999999999</c:v>
                </c:pt>
                <c:pt idx="49">
                  <c:v>1.1499999999999999</c:v>
                </c:pt>
                <c:pt idx="50">
                  <c:v>1.1299999999999999</c:v>
                </c:pt>
                <c:pt idx="51">
                  <c:v>1.1299999999999999</c:v>
                </c:pt>
                <c:pt idx="52">
                  <c:v>1.1200000000000001</c:v>
                </c:pt>
                <c:pt idx="53">
                  <c:v>1.1100000000000001</c:v>
                </c:pt>
                <c:pt idx="54">
                  <c:v>1.1000000000000001</c:v>
                </c:pt>
                <c:pt idx="55">
                  <c:v>1.0900000000000001</c:v>
                </c:pt>
                <c:pt idx="56">
                  <c:v>1.1000000000000001</c:v>
                </c:pt>
                <c:pt idx="57">
                  <c:v>1.1100000000000001</c:v>
                </c:pt>
                <c:pt idx="58">
                  <c:v>1.1200000000000001</c:v>
                </c:pt>
                <c:pt idx="59">
                  <c:v>1.1200000000000001</c:v>
                </c:pt>
                <c:pt idx="60">
                  <c:v>1.1100000000000001</c:v>
                </c:pt>
                <c:pt idx="61">
                  <c:v>1.1100000000000001</c:v>
                </c:pt>
                <c:pt idx="62">
                  <c:v>1.1100000000000001</c:v>
                </c:pt>
                <c:pt idx="63">
                  <c:v>1.1200000000000001</c:v>
                </c:pt>
                <c:pt idx="64">
                  <c:v>1.2</c:v>
                </c:pt>
                <c:pt idx="65">
                  <c:v>1.28</c:v>
                </c:pt>
                <c:pt idx="66">
                  <c:v>1.35</c:v>
                </c:pt>
                <c:pt idx="67">
                  <c:v>1.46</c:v>
                </c:pt>
                <c:pt idx="68">
                  <c:v>1.45</c:v>
                </c:pt>
                <c:pt idx="69">
                  <c:v>1.44</c:v>
                </c:pt>
                <c:pt idx="70">
                  <c:v>1.41</c:v>
                </c:pt>
                <c:pt idx="71">
                  <c:v>1.55</c:v>
                </c:pt>
                <c:pt idx="72">
                  <c:v>1.61</c:v>
                </c:pt>
                <c:pt idx="73">
                  <c:v>1.73</c:v>
                </c:pt>
                <c:pt idx="74">
                  <c:v>1.8</c:v>
                </c:pt>
                <c:pt idx="75">
                  <c:v>1.91</c:v>
                </c:pt>
                <c:pt idx="76">
                  <c:v>1.95</c:v>
                </c:pt>
                <c:pt idx="77">
                  <c:v>1.89</c:v>
                </c:pt>
                <c:pt idx="78">
                  <c:v>1.81</c:v>
                </c:pt>
                <c:pt idx="79">
                  <c:v>1.94</c:v>
                </c:pt>
                <c:pt idx="80">
                  <c:v>2.2000000000000002</c:v>
                </c:pt>
                <c:pt idx="81">
                  <c:v>2.52</c:v>
                </c:pt>
                <c:pt idx="82">
                  <c:v>2.4500000000000002</c:v>
                </c:pt>
                <c:pt idx="83">
                  <c:v>2.5299999999999998</c:v>
                </c:pt>
                <c:pt idx="84">
                  <c:v>2.6</c:v>
                </c:pt>
                <c:pt idx="85">
                  <c:v>2.57</c:v>
                </c:pt>
                <c:pt idx="86">
                  <c:v>2.5</c:v>
                </c:pt>
                <c:pt idx="87">
                  <c:v>2.4700000000000002</c:v>
                </c:pt>
                <c:pt idx="88">
                  <c:v>2.68</c:v>
                </c:pt>
                <c:pt idx="89">
                  <c:v>2.87</c:v>
                </c:pt>
                <c:pt idx="90">
                  <c:v>3.02</c:v>
                </c:pt>
                <c:pt idx="91">
                  <c:v>3.18</c:v>
                </c:pt>
                <c:pt idx="92">
                  <c:v>3.4</c:v>
                </c:pt>
                <c:pt idx="93">
                  <c:v>3.6</c:v>
                </c:pt>
                <c:pt idx="94">
                  <c:v>3.72</c:v>
                </c:pt>
                <c:pt idx="95">
                  <c:v>3.8</c:v>
                </c:pt>
                <c:pt idx="96">
                  <c:v>3.83</c:v>
                </c:pt>
                <c:pt idx="97">
                  <c:v>3.75</c:v>
                </c:pt>
                <c:pt idx="98">
                  <c:v>3.6</c:v>
                </c:pt>
                <c:pt idx="99">
                  <c:v>3.53</c:v>
                </c:pt>
                <c:pt idx="100">
                  <c:v>3.15</c:v>
                </c:pt>
                <c:pt idx="101">
                  <c:v>2.88</c:v>
                </c:pt>
                <c:pt idx="102">
                  <c:v>2.75</c:v>
                </c:pt>
                <c:pt idx="103">
                  <c:v>2.64</c:v>
                </c:pt>
                <c:pt idx="104">
                  <c:v>2.54</c:v>
                </c:pt>
                <c:pt idx="105">
                  <c:v>2.56</c:v>
                </c:pt>
                <c:pt idx="106">
                  <c:v>2.75</c:v>
                </c:pt>
                <c:pt idx="107">
                  <c:v>2.89</c:v>
                </c:pt>
                <c:pt idx="108">
                  <c:v>2.85</c:v>
                </c:pt>
                <c:pt idx="109">
                  <c:v>2.74</c:v>
                </c:pt>
                <c:pt idx="110">
                  <c:v>2.63</c:v>
                </c:pt>
                <c:pt idx="111">
                  <c:v>2.52</c:v>
                </c:pt>
                <c:pt idx="112">
                  <c:v>2.41</c:v>
                </c:pt>
                <c:pt idx="113">
                  <c:v>2.31</c:v>
                </c:pt>
                <c:pt idx="114">
                  <c:v>2.23</c:v>
                </c:pt>
                <c:pt idx="115">
                  <c:v>2.1800000000000002</c:v>
                </c:pt>
                <c:pt idx="116">
                  <c:v>2.12</c:v>
                </c:pt>
                <c:pt idx="117">
                  <c:v>2.1</c:v>
                </c:pt>
                <c:pt idx="118">
                  <c:v>2.0299999999999998</c:v>
                </c:pt>
                <c:pt idx="119">
                  <c:v>1.97</c:v>
                </c:pt>
                <c:pt idx="120">
                  <c:v>1.95</c:v>
                </c:pt>
                <c:pt idx="121">
                  <c:v>1.91</c:v>
                </c:pt>
                <c:pt idx="122">
                  <c:v>1.97</c:v>
                </c:pt>
                <c:pt idx="123">
                  <c:v>1.88</c:v>
                </c:pt>
                <c:pt idx="124">
                  <c:v>1.9</c:v>
                </c:pt>
                <c:pt idx="125">
                  <c:v>1.91</c:v>
                </c:pt>
                <c:pt idx="126">
                  <c:v>1.91</c:v>
                </c:pt>
                <c:pt idx="127">
                  <c:v>1.88</c:v>
                </c:pt>
                <c:pt idx="128">
                  <c:v>1.85</c:v>
                </c:pt>
                <c:pt idx="129">
                  <c:v>1.82</c:v>
                </c:pt>
                <c:pt idx="130">
                  <c:v>1.8</c:v>
                </c:pt>
                <c:pt idx="131">
                  <c:v>1.75</c:v>
                </c:pt>
                <c:pt idx="132">
                  <c:v>1.74</c:v>
                </c:pt>
                <c:pt idx="133">
                  <c:v>1.72</c:v>
                </c:pt>
                <c:pt idx="134">
                  <c:v>1.7</c:v>
                </c:pt>
                <c:pt idx="135">
                  <c:v>1.68</c:v>
                </c:pt>
                <c:pt idx="136">
                  <c:v>1.67</c:v>
                </c:pt>
                <c:pt idx="137">
                  <c:v>1.65</c:v>
                </c:pt>
                <c:pt idx="138">
                  <c:v>1.63</c:v>
                </c:pt>
                <c:pt idx="139">
                  <c:v>1.63</c:v>
                </c:pt>
                <c:pt idx="140">
                  <c:v>1.62</c:v>
                </c:pt>
                <c:pt idx="141">
                  <c:v>1.62</c:v>
                </c:pt>
                <c:pt idx="142">
                  <c:v>1.6</c:v>
                </c:pt>
                <c:pt idx="143">
                  <c:v>1.58</c:v>
                </c:pt>
                <c:pt idx="144">
                  <c:v>1.57</c:v>
                </c:pt>
                <c:pt idx="145">
                  <c:v>1.55</c:v>
                </c:pt>
                <c:pt idx="146">
                  <c:v>1.55</c:v>
                </c:pt>
                <c:pt idx="147">
                  <c:v>1.54</c:v>
                </c:pt>
                <c:pt idx="148">
                  <c:v>1.52</c:v>
                </c:pt>
                <c:pt idx="149">
                  <c:v>1.51</c:v>
                </c:pt>
                <c:pt idx="150">
                  <c:v>1.49</c:v>
                </c:pt>
                <c:pt idx="151">
                  <c:v>1.48</c:v>
                </c:pt>
                <c:pt idx="152">
                  <c:v>1.48</c:v>
                </c:pt>
                <c:pt idx="153">
                  <c:v>1.47</c:v>
                </c:pt>
                <c:pt idx="154">
                  <c:v>1.45</c:v>
                </c:pt>
                <c:pt idx="155">
                  <c:v>1.44</c:v>
                </c:pt>
                <c:pt idx="156">
                  <c:v>1.43</c:v>
                </c:pt>
                <c:pt idx="157">
                  <c:v>1.42</c:v>
                </c:pt>
                <c:pt idx="158">
                  <c:v>1.42</c:v>
                </c:pt>
                <c:pt idx="159">
                  <c:v>1.4</c:v>
                </c:pt>
                <c:pt idx="160">
                  <c:v>1.4</c:v>
                </c:pt>
                <c:pt idx="161">
                  <c:v>1.38</c:v>
                </c:pt>
                <c:pt idx="162">
                  <c:v>1.38</c:v>
                </c:pt>
                <c:pt idx="163">
                  <c:v>1.36</c:v>
                </c:pt>
                <c:pt idx="164">
                  <c:v>1.36</c:v>
                </c:pt>
                <c:pt idx="165">
                  <c:v>1.35</c:v>
                </c:pt>
                <c:pt idx="166">
                  <c:v>1.35</c:v>
                </c:pt>
                <c:pt idx="167">
                  <c:v>1.35</c:v>
                </c:pt>
                <c:pt idx="168">
                  <c:v>1.34</c:v>
                </c:pt>
                <c:pt idx="169">
                  <c:v>1.36</c:v>
                </c:pt>
                <c:pt idx="170">
                  <c:v>1.33</c:v>
                </c:pt>
                <c:pt idx="171">
                  <c:v>1.32</c:v>
                </c:pt>
                <c:pt idx="172">
                  <c:v>1.3</c:v>
                </c:pt>
                <c:pt idx="173">
                  <c:v>1.29</c:v>
                </c:pt>
                <c:pt idx="174">
                  <c:v>1.28</c:v>
                </c:pt>
                <c:pt idx="175">
                  <c:v>1.28</c:v>
                </c:pt>
                <c:pt idx="176">
                  <c:v>1.27</c:v>
                </c:pt>
                <c:pt idx="177">
                  <c:v>1.27</c:v>
                </c:pt>
                <c:pt idx="178">
                  <c:v>1.26</c:v>
                </c:pt>
                <c:pt idx="179">
                  <c:v>1.26</c:v>
                </c:pt>
                <c:pt idx="180">
                  <c:v>1.24</c:v>
                </c:pt>
                <c:pt idx="181">
                  <c:v>1.24</c:v>
                </c:pt>
                <c:pt idx="182">
                  <c:v>1.23</c:v>
                </c:pt>
                <c:pt idx="183">
                  <c:v>1.22</c:v>
                </c:pt>
                <c:pt idx="184">
                  <c:v>1.22</c:v>
                </c:pt>
                <c:pt idx="185">
                  <c:v>1.22</c:v>
                </c:pt>
                <c:pt idx="186">
                  <c:v>1.25</c:v>
                </c:pt>
                <c:pt idx="187">
                  <c:v>1.23</c:v>
                </c:pt>
                <c:pt idx="188">
                  <c:v>1.22</c:v>
                </c:pt>
                <c:pt idx="189">
                  <c:v>1.22</c:v>
                </c:pt>
                <c:pt idx="190">
                  <c:v>1.21</c:v>
                </c:pt>
                <c:pt idx="191">
                  <c:v>1.21</c:v>
                </c:pt>
                <c:pt idx="192">
                  <c:v>1.2</c:v>
                </c:pt>
                <c:pt idx="193">
                  <c:v>1.2</c:v>
                </c:pt>
                <c:pt idx="194">
                  <c:v>1.19</c:v>
                </c:pt>
                <c:pt idx="195">
                  <c:v>1.18</c:v>
                </c:pt>
                <c:pt idx="196">
                  <c:v>1.18</c:v>
                </c:pt>
                <c:pt idx="197">
                  <c:v>1.18</c:v>
                </c:pt>
                <c:pt idx="198">
                  <c:v>1.17</c:v>
                </c:pt>
                <c:pt idx="199">
                  <c:v>1.1599999999999999</c:v>
                </c:pt>
                <c:pt idx="200">
                  <c:v>1.1499999999999999</c:v>
                </c:pt>
                <c:pt idx="201">
                  <c:v>1.1499999999999999</c:v>
                </c:pt>
                <c:pt idx="202">
                  <c:v>1.1399999999999999</c:v>
                </c:pt>
                <c:pt idx="203">
                  <c:v>1.1299999999999999</c:v>
                </c:pt>
                <c:pt idx="204">
                  <c:v>1.1299999999999999</c:v>
                </c:pt>
                <c:pt idx="205">
                  <c:v>1.1200000000000001</c:v>
                </c:pt>
                <c:pt idx="206">
                  <c:v>1.1100000000000001</c:v>
                </c:pt>
                <c:pt idx="207">
                  <c:v>1.1000000000000001</c:v>
                </c:pt>
                <c:pt idx="208">
                  <c:v>1.0900000000000001</c:v>
                </c:pt>
                <c:pt idx="209" formatCode="General">
                  <c:v>1.07</c:v>
                </c:pt>
                <c:pt idx="210" formatCode="General">
                  <c:v>1.06</c:v>
                </c:pt>
                <c:pt idx="211" formatCode="General">
                  <c:v>1.1000000000000001</c:v>
                </c:pt>
                <c:pt idx="212" formatCode="General">
                  <c:v>1.1000000000000001</c:v>
                </c:pt>
                <c:pt idx="213" formatCode="General">
                  <c:v>1.0900000000000001</c:v>
                </c:pt>
                <c:pt idx="214" formatCode="General">
                  <c:v>1.0900000000000001</c:v>
                </c:pt>
                <c:pt idx="215" formatCode="General">
                  <c:v>1.08</c:v>
                </c:pt>
                <c:pt idx="216" formatCode="General">
                  <c:v>1.0900000000000001</c:v>
                </c:pt>
                <c:pt idx="217" formatCode="General">
                  <c:v>1.07</c:v>
                </c:pt>
                <c:pt idx="218" formatCode="General">
                  <c:v>1.08</c:v>
                </c:pt>
                <c:pt idx="219" formatCode="General">
                  <c:v>1.0900000000000001</c:v>
                </c:pt>
                <c:pt idx="220" formatCode="General">
                  <c:v>1.07</c:v>
                </c:pt>
                <c:pt idx="221" formatCode="General">
                  <c:v>1.07</c:v>
                </c:pt>
                <c:pt idx="222" formatCode="General">
                  <c:v>1.06</c:v>
                </c:pt>
                <c:pt idx="223" formatCode="General">
                  <c:v>1.06</c:v>
                </c:pt>
                <c:pt idx="224" formatCode="General">
                  <c:v>1.06</c:v>
                </c:pt>
                <c:pt idx="225" formatCode="General">
                  <c:v>1.06</c:v>
                </c:pt>
                <c:pt idx="226" formatCode="General">
                  <c:v>1.05</c:v>
                </c:pt>
                <c:pt idx="227" formatCode="General">
                  <c:v>1.04</c:v>
                </c:pt>
                <c:pt idx="228" formatCode="General">
                  <c:v>1.04</c:v>
                </c:pt>
                <c:pt idx="229" formatCode="General">
                  <c:v>1.04</c:v>
                </c:pt>
                <c:pt idx="230" formatCode="General">
                  <c:v>1.03</c:v>
                </c:pt>
                <c:pt idx="231" formatCode="General">
                  <c:v>1.03</c:v>
                </c:pt>
                <c:pt idx="232" formatCode="General">
                  <c:v>1.03</c:v>
                </c:pt>
                <c:pt idx="233" formatCode="General">
                  <c:v>1.02</c:v>
                </c:pt>
                <c:pt idx="234" formatCode="General">
                  <c:v>1.02</c:v>
                </c:pt>
                <c:pt idx="235" formatCode="General">
                  <c:v>1.03</c:v>
                </c:pt>
                <c:pt idx="236" formatCode="General">
                  <c:v>1.03</c:v>
                </c:pt>
                <c:pt idx="237" formatCode="General">
                  <c:v>1.03</c:v>
                </c:pt>
                <c:pt idx="238" formatCode="General">
                  <c:v>1.03</c:v>
                </c:pt>
                <c:pt idx="239" formatCode="General">
                  <c:v>1.02</c:v>
                </c:pt>
                <c:pt idx="240" formatCode="General">
                  <c:v>1.03</c:v>
                </c:pt>
                <c:pt idx="241" formatCode="General">
                  <c:v>1.02</c:v>
                </c:pt>
                <c:pt idx="242" formatCode="General">
                  <c:v>1.02</c:v>
                </c:pt>
                <c:pt idx="243" formatCode="General">
                  <c:v>1.02</c:v>
                </c:pt>
                <c:pt idx="244" formatCode="General">
                  <c:v>1.01</c:v>
                </c:pt>
                <c:pt idx="245" formatCode="General">
                  <c:v>1.01</c:v>
                </c:pt>
                <c:pt idx="246" formatCode="General">
                  <c:v>1.01</c:v>
                </c:pt>
                <c:pt idx="247" formatCode="General">
                  <c:v>1.01</c:v>
                </c:pt>
                <c:pt idx="248" formatCode="General">
                  <c:v>0.99</c:v>
                </c:pt>
                <c:pt idx="249" formatCode="General">
                  <c:v>0.99</c:v>
                </c:pt>
                <c:pt idx="250" formatCode="General">
                  <c:v>0.99</c:v>
                </c:pt>
                <c:pt idx="251" formatCode="General">
                  <c:v>1</c:v>
                </c:pt>
                <c:pt idx="252" formatCode="General">
                  <c:v>0.99</c:v>
                </c:pt>
                <c:pt idx="253" formatCode="General">
                  <c:v>0.99</c:v>
                </c:pt>
                <c:pt idx="254" formatCode="General">
                  <c:v>1.03</c:v>
                </c:pt>
                <c:pt idx="255" formatCode="General">
                  <c:v>1.07</c:v>
                </c:pt>
                <c:pt idx="256" formatCode="General">
                  <c:v>1.2</c:v>
                </c:pt>
                <c:pt idx="257" formatCode="General">
                  <c:v>1.1100000000000001</c:v>
                </c:pt>
                <c:pt idx="258" formatCode="General">
                  <c:v>1.06</c:v>
                </c:pt>
                <c:pt idx="259" formatCode="General">
                  <c:v>1.04</c:v>
                </c:pt>
                <c:pt idx="260" formatCode="General">
                  <c:v>1.02</c:v>
                </c:pt>
                <c:pt idx="261" formatCode="General">
                  <c:v>1.01</c:v>
                </c:pt>
                <c:pt idx="262" formatCode="General">
                  <c:v>1</c:v>
                </c:pt>
                <c:pt idx="263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1B-4317-88BB-0DCEC4F2E545}"/>
            </c:ext>
          </c:extLst>
        </c:ser>
        <c:ser>
          <c:idx val="2"/>
          <c:order val="2"/>
          <c:tx>
            <c:strRef>
              <c:f>Norwood!$E$3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Norwood!$A$4:$A$267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Norwood!$E$4:$E$267</c:f>
              <c:numCache>
                <c:formatCode>0.00</c:formatCode>
                <c:ptCount val="264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1.5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1.5</c:v>
                </c:pt>
                <c:pt idx="250">
                  <c:v>1.5</c:v>
                </c:pt>
                <c:pt idx="251">
                  <c:v>1.5</c:v>
                </c:pt>
                <c:pt idx="252">
                  <c:v>1.5</c:v>
                </c:pt>
                <c:pt idx="253">
                  <c:v>1.5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1.5</c:v>
                </c:pt>
                <c:pt idx="260">
                  <c:v>1.5</c:v>
                </c:pt>
                <c:pt idx="261">
                  <c:v>1.5</c:v>
                </c:pt>
                <c:pt idx="262">
                  <c:v>1.5</c:v>
                </c:pt>
                <c:pt idx="26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1B-4317-88BB-0DCEC4F2E545}"/>
            </c:ext>
          </c:extLst>
        </c:ser>
        <c:ser>
          <c:idx val="3"/>
          <c:order val="3"/>
          <c:tx>
            <c:strRef>
              <c:f>Norwood!$F$3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Norwood!$A$4:$A$267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Norwood!$F$4:$F$267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1B-4317-88BB-0DCEC4F2E545}"/>
            </c:ext>
          </c:extLst>
        </c:ser>
        <c:ser>
          <c:idx val="4"/>
          <c:order val="4"/>
          <c:tx>
            <c:strRef>
              <c:f>Norwood!$G$3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Norwood!$A$4:$A$267</c:f>
              <c:numCache>
                <c:formatCode>m/d/yyyy\ h:mm</c:formatCode>
                <c:ptCount val="264"/>
                <c:pt idx="0">
                  <c:v>45985.041666666664</c:v>
                </c:pt>
                <c:pt idx="1">
                  <c:v>45985.083333333336</c:v>
                </c:pt>
                <c:pt idx="2">
                  <c:v>45985.125000057873</c:v>
                </c:pt>
                <c:pt idx="3">
                  <c:v>45985.16666678241</c:v>
                </c:pt>
                <c:pt idx="4">
                  <c:v>45985.208333506947</c:v>
                </c:pt>
                <c:pt idx="5">
                  <c:v>45985.250000231485</c:v>
                </c:pt>
                <c:pt idx="6">
                  <c:v>45985.291666956022</c:v>
                </c:pt>
                <c:pt idx="7">
                  <c:v>45985.333333680559</c:v>
                </c:pt>
                <c:pt idx="8">
                  <c:v>45985.375000405096</c:v>
                </c:pt>
                <c:pt idx="9">
                  <c:v>45985.416667129626</c:v>
                </c:pt>
                <c:pt idx="10">
                  <c:v>45985.458333854163</c:v>
                </c:pt>
                <c:pt idx="11">
                  <c:v>45985.500000578701</c:v>
                </c:pt>
                <c:pt idx="12">
                  <c:v>45985.541667303238</c:v>
                </c:pt>
                <c:pt idx="13">
                  <c:v>45985.583334027775</c:v>
                </c:pt>
                <c:pt idx="14">
                  <c:v>45985.625000752312</c:v>
                </c:pt>
                <c:pt idx="15">
                  <c:v>45985.666667476849</c:v>
                </c:pt>
                <c:pt idx="16">
                  <c:v>45985.708334201387</c:v>
                </c:pt>
                <c:pt idx="17">
                  <c:v>45985.750000925924</c:v>
                </c:pt>
                <c:pt idx="18">
                  <c:v>45985.791667650461</c:v>
                </c:pt>
                <c:pt idx="19">
                  <c:v>45985.833334374998</c:v>
                </c:pt>
                <c:pt idx="20">
                  <c:v>45985.875001099535</c:v>
                </c:pt>
                <c:pt idx="21">
                  <c:v>45985.916667824073</c:v>
                </c:pt>
                <c:pt idx="22">
                  <c:v>45985.95833454861</c:v>
                </c:pt>
                <c:pt idx="23">
                  <c:v>45986.000001273147</c:v>
                </c:pt>
                <c:pt idx="24">
                  <c:v>45986.041667997684</c:v>
                </c:pt>
                <c:pt idx="25">
                  <c:v>45986.083334722221</c:v>
                </c:pt>
                <c:pt idx="26">
                  <c:v>45986.125001446759</c:v>
                </c:pt>
                <c:pt idx="27">
                  <c:v>45986.166668171296</c:v>
                </c:pt>
                <c:pt idx="28">
                  <c:v>45986.208334895833</c:v>
                </c:pt>
                <c:pt idx="29">
                  <c:v>45986.25000162037</c:v>
                </c:pt>
                <c:pt idx="30">
                  <c:v>45986.291668344908</c:v>
                </c:pt>
                <c:pt idx="31">
                  <c:v>45986.333335069445</c:v>
                </c:pt>
                <c:pt idx="32">
                  <c:v>45986.375001793982</c:v>
                </c:pt>
                <c:pt idx="33">
                  <c:v>45986.416668518519</c:v>
                </c:pt>
                <c:pt idx="34">
                  <c:v>45986.458335243056</c:v>
                </c:pt>
                <c:pt idx="35">
                  <c:v>45986.500001967594</c:v>
                </c:pt>
                <c:pt idx="36">
                  <c:v>45986.541668692131</c:v>
                </c:pt>
                <c:pt idx="37">
                  <c:v>45986.583335416668</c:v>
                </c:pt>
                <c:pt idx="38">
                  <c:v>45986.625002141205</c:v>
                </c:pt>
                <c:pt idx="39">
                  <c:v>45986.666668865742</c:v>
                </c:pt>
                <c:pt idx="40">
                  <c:v>45986.70833559028</c:v>
                </c:pt>
                <c:pt idx="41">
                  <c:v>45986.750002314817</c:v>
                </c:pt>
                <c:pt idx="42">
                  <c:v>45986.791669039354</c:v>
                </c:pt>
                <c:pt idx="43">
                  <c:v>45986.833335763891</c:v>
                </c:pt>
                <c:pt idx="44">
                  <c:v>45986.875002488428</c:v>
                </c:pt>
                <c:pt idx="45">
                  <c:v>45986.916669212966</c:v>
                </c:pt>
                <c:pt idx="46">
                  <c:v>45986.958335937503</c:v>
                </c:pt>
                <c:pt idx="47">
                  <c:v>45987.00000266204</c:v>
                </c:pt>
                <c:pt idx="48">
                  <c:v>45987.041669386577</c:v>
                </c:pt>
                <c:pt idx="49">
                  <c:v>45987.083336111114</c:v>
                </c:pt>
                <c:pt idx="50">
                  <c:v>45987.125002835652</c:v>
                </c:pt>
                <c:pt idx="51">
                  <c:v>45987.166669560182</c:v>
                </c:pt>
                <c:pt idx="52">
                  <c:v>45987.208336284719</c:v>
                </c:pt>
                <c:pt idx="53">
                  <c:v>45987.250003009256</c:v>
                </c:pt>
                <c:pt idx="54">
                  <c:v>45987.291669733793</c:v>
                </c:pt>
                <c:pt idx="55">
                  <c:v>45987.33333645833</c:v>
                </c:pt>
                <c:pt idx="56">
                  <c:v>45987.375003182868</c:v>
                </c:pt>
                <c:pt idx="57">
                  <c:v>45987.416669907405</c:v>
                </c:pt>
                <c:pt idx="58">
                  <c:v>45987.458336631942</c:v>
                </c:pt>
                <c:pt idx="59">
                  <c:v>45987.500003356479</c:v>
                </c:pt>
                <c:pt idx="60">
                  <c:v>45987.541670081016</c:v>
                </c:pt>
                <c:pt idx="61">
                  <c:v>45987.583336805554</c:v>
                </c:pt>
                <c:pt idx="62">
                  <c:v>45987.625003530091</c:v>
                </c:pt>
                <c:pt idx="63">
                  <c:v>45987.666670254628</c:v>
                </c:pt>
                <c:pt idx="64">
                  <c:v>45987.708336979165</c:v>
                </c:pt>
                <c:pt idx="65">
                  <c:v>45987.750003703703</c:v>
                </c:pt>
                <c:pt idx="66">
                  <c:v>45987.79167042824</c:v>
                </c:pt>
                <c:pt idx="67">
                  <c:v>45987.833337152777</c:v>
                </c:pt>
                <c:pt idx="68">
                  <c:v>45987.875003877314</c:v>
                </c:pt>
                <c:pt idx="69">
                  <c:v>45987.916670601851</c:v>
                </c:pt>
                <c:pt idx="70">
                  <c:v>45987.958337326389</c:v>
                </c:pt>
                <c:pt idx="71">
                  <c:v>45988.000004050926</c:v>
                </c:pt>
                <c:pt idx="72">
                  <c:v>45988.041670775463</c:v>
                </c:pt>
                <c:pt idx="73">
                  <c:v>45988.0833375</c:v>
                </c:pt>
                <c:pt idx="74">
                  <c:v>45988.125004224537</c:v>
                </c:pt>
                <c:pt idx="75">
                  <c:v>45988.166670949075</c:v>
                </c:pt>
                <c:pt idx="76">
                  <c:v>45988.208337673612</c:v>
                </c:pt>
                <c:pt idx="77">
                  <c:v>45988.250004398149</c:v>
                </c:pt>
                <c:pt idx="78">
                  <c:v>45988.291671122686</c:v>
                </c:pt>
                <c:pt idx="79">
                  <c:v>45988.333337847223</c:v>
                </c:pt>
                <c:pt idx="80">
                  <c:v>45988.375004571761</c:v>
                </c:pt>
                <c:pt idx="81">
                  <c:v>45988.416671296298</c:v>
                </c:pt>
                <c:pt idx="82">
                  <c:v>45988.458338020835</c:v>
                </c:pt>
                <c:pt idx="83">
                  <c:v>45988.500004745372</c:v>
                </c:pt>
                <c:pt idx="84">
                  <c:v>45988.541671469909</c:v>
                </c:pt>
                <c:pt idx="85">
                  <c:v>45988.583338194447</c:v>
                </c:pt>
                <c:pt idx="86">
                  <c:v>45988.625004918984</c:v>
                </c:pt>
                <c:pt idx="87">
                  <c:v>45988.666671643521</c:v>
                </c:pt>
                <c:pt idx="88">
                  <c:v>45988.708338368058</c:v>
                </c:pt>
                <c:pt idx="89">
                  <c:v>45988.750005092596</c:v>
                </c:pt>
                <c:pt idx="90">
                  <c:v>45988.791671817133</c:v>
                </c:pt>
                <c:pt idx="91">
                  <c:v>45988.83333854167</c:v>
                </c:pt>
                <c:pt idx="92">
                  <c:v>45988.875005266207</c:v>
                </c:pt>
                <c:pt idx="93">
                  <c:v>45988.916671990744</c:v>
                </c:pt>
                <c:pt idx="94">
                  <c:v>45988.958338715274</c:v>
                </c:pt>
                <c:pt idx="95">
                  <c:v>45989.000005439812</c:v>
                </c:pt>
                <c:pt idx="96">
                  <c:v>45989.041672164349</c:v>
                </c:pt>
                <c:pt idx="97">
                  <c:v>45989.083338888886</c:v>
                </c:pt>
                <c:pt idx="98">
                  <c:v>45989.125005613423</c:v>
                </c:pt>
                <c:pt idx="99">
                  <c:v>45989.16667233796</c:v>
                </c:pt>
                <c:pt idx="100">
                  <c:v>45989.208339062498</c:v>
                </c:pt>
                <c:pt idx="101">
                  <c:v>45989.250005787035</c:v>
                </c:pt>
                <c:pt idx="102">
                  <c:v>45989.291672511572</c:v>
                </c:pt>
                <c:pt idx="103">
                  <c:v>45989.333339236109</c:v>
                </c:pt>
                <c:pt idx="104">
                  <c:v>45989.375005960646</c:v>
                </c:pt>
                <c:pt idx="105">
                  <c:v>45989.416672685184</c:v>
                </c:pt>
                <c:pt idx="106">
                  <c:v>45989.458339409721</c:v>
                </c:pt>
                <c:pt idx="107">
                  <c:v>45989.500006134258</c:v>
                </c:pt>
                <c:pt idx="108">
                  <c:v>45989.541672858795</c:v>
                </c:pt>
                <c:pt idx="109">
                  <c:v>45989.583339583332</c:v>
                </c:pt>
                <c:pt idx="110">
                  <c:v>45989.62500630787</c:v>
                </c:pt>
                <c:pt idx="111">
                  <c:v>45989.666673032407</c:v>
                </c:pt>
                <c:pt idx="112">
                  <c:v>45989.708339756944</c:v>
                </c:pt>
                <c:pt idx="113">
                  <c:v>45989.750006481481</c:v>
                </c:pt>
                <c:pt idx="114">
                  <c:v>45989.791673206018</c:v>
                </c:pt>
                <c:pt idx="115">
                  <c:v>45989.833339930556</c:v>
                </c:pt>
                <c:pt idx="116">
                  <c:v>45989.875006655093</c:v>
                </c:pt>
                <c:pt idx="117">
                  <c:v>45989.91667337963</c:v>
                </c:pt>
                <c:pt idx="118">
                  <c:v>45989.958340104167</c:v>
                </c:pt>
                <c:pt idx="119">
                  <c:v>45990.000006828704</c:v>
                </c:pt>
                <c:pt idx="120">
                  <c:v>45990.041673553242</c:v>
                </c:pt>
                <c:pt idx="121">
                  <c:v>45990.083340277779</c:v>
                </c:pt>
                <c:pt idx="122">
                  <c:v>45990.125007002316</c:v>
                </c:pt>
                <c:pt idx="123">
                  <c:v>45990.166673726853</c:v>
                </c:pt>
                <c:pt idx="124">
                  <c:v>45990.208340451391</c:v>
                </c:pt>
                <c:pt idx="125">
                  <c:v>45990.250007175928</c:v>
                </c:pt>
                <c:pt idx="126">
                  <c:v>45990.291673900465</c:v>
                </c:pt>
                <c:pt idx="127">
                  <c:v>45990.333340625002</c:v>
                </c:pt>
                <c:pt idx="128">
                  <c:v>45990.375007349539</c:v>
                </c:pt>
                <c:pt idx="129">
                  <c:v>45990.416674074077</c:v>
                </c:pt>
                <c:pt idx="130">
                  <c:v>45990.458340798614</c:v>
                </c:pt>
                <c:pt idx="131">
                  <c:v>45990.500007523151</c:v>
                </c:pt>
                <c:pt idx="132">
                  <c:v>45990.541674247688</c:v>
                </c:pt>
                <c:pt idx="133">
                  <c:v>45990.583340972225</c:v>
                </c:pt>
                <c:pt idx="134">
                  <c:v>45990.625007696763</c:v>
                </c:pt>
                <c:pt idx="135">
                  <c:v>45990.6666744213</c:v>
                </c:pt>
                <c:pt idx="136">
                  <c:v>45990.70834114583</c:v>
                </c:pt>
                <c:pt idx="137">
                  <c:v>45990.750007870367</c:v>
                </c:pt>
                <c:pt idx="138">
                  <c:v>45990.791674594904</c:v>
                </c:pt>
                <c:pt idx="139">
                  <c:v>45990.833341319441</c:v>
                </c:pt>
                <c:pt idx="140">
                  <c:v>45990.875008043979</c:v>
                </c:pt>
                <c:pt idx="141">
                  <c:v>45990.916674768516</c:v>
                </c:pt>
                <c:pt idx="142">
                  <c:v>45990.958341493053</c:v>
                </c:pt>
                <c:pt idx="143">
                  <c:v>45991.00000821759</c:v>
                </c:pt>
                <c:pt idx="144">
                  <c:v>45991.041674942127</c:v>
                </c:pt>
                <c:pt idx="145">
                  <c:v>45991.083341666665</c:v>
                </c:pt>
                <c:pt idx="146">
                  <c:v>45991.125008391202</c:v>
                </c:pt>
                <c:pt idx="147">
                  <c:v>45991.166675115739</c:v>
                </c:pt>
                <c:pt idx="148">
                  <c:v>45991.208341840276</c:v>
                </c:pt>
                <c:pt idx="149">
                  <c:v>45991.250008564813</c:v>
                </c:pt>
                <c:pt idx="150">
                  <c:v>45991.291675289351</c:v>
                </c:pt>
                <c:pt idx="151">
                  <c:v>45991.333342013888</c:v>
                </c:pt>
                <c:pt idx="152">
                  <c:v>45991.375008738425</c:v>
                </c:pt>
                <c:pt idx="153">
                  <c:v>45991.416675462962</c:v>
                </c:pt>
                <c:pt idx="154">
                  <c:v>45991.4583421875</c:v>
                </c:pt>
                <c:pt idx="155">
                  <c:v>45991.500008912037</c:v>
                </c:pt>
                <c:pt idx="156">
                  <c:v>45991.541675636574</c:v>
                </c:pt>
                <c:pt idx="157">
                  <c:v>45991.583342361111</c:v>
                </c:pt>
                <c:pt idx="158">
                  <c:v>45991.625009085648</c:v>
                </c:pt>
                <c:pt idx="159">
                  <c:v>45991.666675810186</c:v>
                </c:pt>
                <c:pt idx="160">
                  <c:v>45991.708342534723</c:v>
                </c:pt>
                <c:pt idx="161">
                  <c:v>45991.75000925926</c:v>
                </c:pt>
                <c:pt idx="162">
                  <c:v>45991.791675983797</c:v>
                </c:pt>
                <c:pt idx="163">
                  <c:v>45991.833342708334</c:v>
                </c:pt>
                <c:pt idx="164">
                  <c:v>45991.875009432872</c:v>
                </c:pt>
                <c:pt idx="165">
                  <c:v>45991.916676157409</c:v>
                </c:pt>
                <c:pt idx="166">
                  <c:v>45991.958342881946</c:v>
                </c:pt>
                <c:pt idx="167">
                  <c:v>45992.000009606483</c:v>
                </c:pt>
                <c:pt idx="168">
                  <c:v>45992.04167633102</c:v>
                </c:pt>
                <c:pt idx="169">
                  <c:v>45992.083343055558</c:v>
                </c:pt>
                <c:pt idx="170">
                  <c:v>45992.125009780095</c:v>
                </c:pt>
                <c:pt idx="171">
                  <c:v>45992.166676504632</c:v>
                </c:pt>
                <c:pt idx="172">
                  <c:v>45992.208343229169</c:v>
                </c:pt>
                <c:pt idx="173">
                  <c:v>45992.250009953706</c:v>
                </c:pt>
                <c:pt idx="174">
                  <c:v>45992.291676678244</c:v>
                </c:pt>
                <c:pt idx="175">
                  <c:v>45992.333343402781</c:v>
                </c:pt>
                <c:pt idx="176">
                  <c:v>45992.375010127318</c:v>
                </c:pt>
                <c:pt idx="177">
                  <c:v>45992.416676851855</c:v>
                </c:pt>
                <c:pt idx="178">
                  <c:v>45992.458343576393</c:v>
                </c:pt>
                <c:pt idx="179">
                  <c:v>45992.500010300922</c:v>
                </c:pt>
                <c:pt idx="180">
                  <c:v>45992.54167702546</c:v>
                </c:pt>
                <c:pt idx="181">
                  <c:v>45992.583343749997</c:v>
                </c:pt>
                <c:pt idx="182">
                  <c:v>45992.625010474534</c:v>
                </c:pt>
                <c:pt idx="183">
                  <c:v>45992.666677199071</c:v>
                </c:pt>
                <c:pt idx="184">
                  <c:v>45992.708343923608</c:v>
                </c:pt>
                <c:pt idx="185">
                  <c:v>45992.750010648146</c:v>
                </c:pt>
                <c:pt idx="186">
                  <c:v>45992.791677372683</c:v>
                </c:pt>
                <c:pt idx="187">
                  <c:v>45992.83334409722</c:v>
                </c:pt>
                <c:pt idx="188">
                  <c:v>45992.875010821757</c:v>
                </c:pt>
                <c:pt idx="189">
                  <c:v>45992.916677546295</c:v>
                </c:pt>
                <c:pt idx="190">
                  <c:v>45992.958344270832</c:v>
                </c:pt>
                <c:pt idx="191">
                  <c:v>45993.000010995369</c:v>
                </c:pt>
                <c:pt idx="192">
                  <c:v>45993.041677719906</c:v>
                </c:pt>
                <c:pt idx="193">
                  <c:v>45993.083344444443</c:v>
                </c:pt>
                <c:pt idx="194">
                  <c:v>45993.125011168981</c:v>
                </c:pt>
                <c:pt idx="195">
                  <c:v>45993.166677893518</c:v>
                </c:pt>
                <c:pt idx="196">
                  <c:v>45993.208344618055</c:v>
                </c:pt>
                <c:pt idx="197">
                  <c:v>45993.250011342592</c:v>
                </c:pt>
                <c:pt idx="198">
                  <c:v>45993.291678067129</c:v>
                </c:pt>
                <c:pt idx="199">
                  <c:v>45993.333344733794</c:v>
                </c:pt>
                <c:pt idx="200">
                  <c:v>45993.375011458331</c:v>
                </c:pt>
                <c:pt idx="201">
                  <c:v>45993.416678182868</c:v>
                </c:pt>
                <c:pt idx="202">
                  <c:v>45993.458344907405</c:v>
                </c:pt>
                <c:pt idx="203">
                  <c:v>45993.500011631942</c:v>
                </c:pt>
                <c:pt idx="204">
                  <c:v>45993.54167835648</c:v>
                </c:pt>
                <c:pt idx="205">
                  <c:v>45993.583345081017</c:v>
                </c:pt>
                <c:pt idx="206">
                  <c:v>45993.625011805554</c:v>
                </c:pt>
                <c:pt idx="207">
                  <c:v>45993.666678530091</c:v>
                </c:pt>
                <c:pt idx="208">
                  <c:v>45993.708345254629</c:v>
                </c:pt>
                <c:pt idx="209">
                  <c:v>45993.750011979166</c:v>
                </c:pt>
                <c:pt idx="210">
                  <c:v>45993.791678703703</c:v>
                </c:pt>
                <c:pt idx="211">
                  <c:v>45993.83334542824</c:v>
                </c:pt>
                <c:pt idx="212">
                  <c:v>45993.875012152777</c:v>
                </c:pt>
                <c:pt idx="213">
                  <c:v>45993.916678877315</c:v>
                </c:pt>
                <c:pt idx="214">
                  <c:v>45993.958345601852</c:v>
                </c:pt>
                <c:pt idx="215">
                  <c:v>45994.000012326389</c:v>
                </c:pt>
                <c:pt idx="216">
                  <c:v>45994.041679108799</c:v>
                </c:pt>
                <c:pt idx="217">
                  <c:v>45994.083345891202</c:v>
                </c:pt>
                <c:pt idx="218">
                  <c:v>45994.125012673612</c:v>
                </c:pt>
                <c:pt idx="219">
                  <c:v>45994.166679456015</c:v>
                </c:pt>
                <c:pt idx="220">
                  <c:v>45994.208346238425</c:v>
                </c:pt>
                <c:pt idx="221">
                  <c:v>45994.250013020835</c:v>
                </c:pt>
                <c:pt idx="222">
                  <c:v>45994.291679803238</c:v>
                </c:pt>
                <c:pt idx="223">
                  <c:v>45994.333346585649</c:v>
                </c:pt>
                <c:pt idx="224">
                  <c:v>45994.375013368059</c:v>
                </c:pt>
                <c:pt idx="225">
                  <c:v>45994.416680150462</c:v>
                </c:pt>
                <c:pt idx="226">
                  <c:v>45994.458346932872</c:v>
                </c:pt>
                <c:pt idx="227">
                  <c:v>45994.500013715275</c:v>
                </c:pt>
                <c:pt idx="228">
                  <c:v>45994.541680497685</c:v>
                </c:pt>
                <c:pt idx="229">
                  <c:v>45994.583347280095</c:v>
                </c:pt>
                <c:pt idx="230">
                  <c:v>45994.625014062498</c:v>
                </c:pt>
                <c:pt idx="231">
                  <c:v>45994.666680844908</c:v>
                </c:pt>
                <c:pt idx="232">
                  <c:v>45994.708347627318</c:v>
                </c:pt>
                <c:pt idx="233">
                  <c:v>45994.750014409721</c:v>
                </c:pt>
                <c:pt idx="234">
                  <c:v>45994.791681192131</c:v>
                </c:pt>
                <c:pt idx="235">
                  <c:v>45994.833347974534</c:v>
                </c:pt>
                <c:pt idx="236">
                  <c:v>45994.875014756944</c:v>
                </c:pt>
                <c:pt idx="237">
                  <c:v>45994.916681539355</c:v>
                </c:pt>
                <c:pt idx="238">
                  <c:v>45994.958348321758</c:v>
                </c:pt>
                <c:pt idx="239">
                  <c:v>45995.000015104168</c:v>
                </c:pt>
                <c:pt idx="240">
                  <c:v>45995.041681886571</c:v>
                </c:pt>
                <c:pt idx="241">
                  <c:v>45995.083348668981</c:v>
                </c:pt>
                <c:pt idx="242">
                  <c:v>45995.125015451391</c:v>
                </c:pt>
                <c:pt idx="243">
                  <c:v>45995.166682233794</c:v>
                </c:pt>
                <c:pt idx="244">
                  <c:v>45995.208349016204</c:v>
                </c:pt>
                <c:pt idx="245">
                  <c:v>45995.250015798614</c:v>
                </c:pt>
                <c:pt idx="246">
                  <c:v>45995.291682581017</c:v>
                </c:pt>
                <c:pt idx="247">
                  <c:v>45995.333349363427</c:v>
                </c:pt>
                <c:pt idx="248">
                  <c:v>45995.37501614583</c:v>
                </c:pt>
                <c:pt idx="249">
                  <c:v>45995.41668292824</c:v>
                </c:pt>
                <c:pt idx="250">
                  <c:v>45995.458349710651</c:v>
                </c:pt>
                <c:pt idx="251">
                  <c:v>45995.500016493053</c:v>
                </c:pt>
                <c:pt idx="252">
                  <c:v>45995.541683275464</c:v>
                </c:pt>
                <c:pt idx="253">
                  <c:v>45995.583350057874</c:v>
                </c:pt>
                <c:pt idx="254">
                  <c:v>45995.625016840277</c:v>
                </c:pt>
                <c:pt idx="255">
                  <c:v>45995.666683622687</c:v>
                </c:pt>
                <c:pt idx="256">
                  <c:v>45995.70835040509</c:v>
                </c:pt>
                <c:pt idx="257">
                  <c:v>45995.7500171875</c:v>
                </c:pt>
                <c:pt idx="258">
                  <c:v>45995.79168396991</c:v>
                </c:pt>
                <c:pt idx="259">
                  <c:v>45995.833350752313</c:v>
                </c:pt>
                <c:pt idx="260">
                  <c:v>45995.875017534723</c:v>
                </c:pt>
                <c:pt idx="261">
                  <c:v>45995.916684317126</c:v>
                </c:pt>
                <c:pt idx="262">
                  <c:v>45995.958351099536</c:v>
                </c:pt>
                <c:pt idx="263">
                  <c:v>45996.000017881946</c:v>
                </c:pt>
              </c:numCache>
            </c:numRef>
          </c:xVal>
          <c:yVal>
            <c:numRef>
              <c:f>Norwood!$G$4:$G$267</c:f>
              <c:numCache>
                <c:formatCode>0.00</c:formatCode>
                <c:ptCount val="264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4.5</c:v>
                </c:pt>
                <c:pt idx="131">
                  <c:v>4.5</c:v>
                </c:pt>
                <c:pt idx="132">
                  <c:v>4.5</c:v>
                </c:pt>
                <c:pt idx="133">
                  <c:v>4.5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4.5</c:v>
                </c:pt>
                <c:pt idx="139">
                  <c:v>4.5</c:v>
                </c:pt>
                <c:pt idx="140">
                  <c:v>4.5</c:v>
                </c:pt>
                <c:pt idx="141">
                  <c:v>4.5</c:v>
                </c:pt>
                <c:pt idx="142">
                  <c:v>4.5</c:v>
                </c:pt>
                <c:pt idx="143">
                  <c:v>4.5</c:v>
                </c:pt>
                <c:pt idx="144">
                  <c:v>4.5</c:v>
                </c:pt>
                <c:pt idx="145">
                  <c:v>4.5</c:v>
                </c:pt>
                <c:pt idx="146">
                  <c:v>4.5</c:v>
                </c:pt>
                <c:pt idx="147">
                  <c:v>4.5</c:v>
                </c:pt>
                <c:pt idx="148">
                  <c:v>4.5</c:v>
                </c:pt>
                <c:pt idx="149">
                  <c:v>4.5</c:v>
                </c:pt>
                <c:pt idx="150">
                  <c:v>4.5</c:v>
                </c:pt>
                <c:pt idx="151">
                  <c:v>4.5</c:v>
                </c:pt>
                <c:pt idx="152">
                  <c:v>4.5</c:v>
                </c:pt>
                <c:pt idx="153">
                  <c:v>4.5</c:v>
                </c:pt>
                <c:pt idx="154">
                  <c:v>4.5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4.5</c:v>
                </c:pt>
                <c:pt idx="160">
                  <c:v>4.5</c:v>
                </c:pt>
                <c:pt idx="161">
                  <c:v>4.5</c:v>
                </c:pt>
                <c:pt idx="162">
                  <c:v>4.5</c:v>
                </c:pt>
                <c:pt idx="163">
                  <c:v>4.5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4.5</c:v>
                </c:pt>
                <c:pt idx="185">
                  <c:v>4.5</c:v>
                </c:pt>
                <c:pt idx="186">
                  <c:v>4.5</c:v>
                </c:pt>
                <c:pt idx="187">
                  <c:v>4.5</c:v>
                </c:pt>
                <c:pt idx="188">
                  <c:v>4.5</c:v>
                </c:pt>
                <c:pt idx="189">
                  <c:v>4.5</c:v>
                </c:pt>
                <c:pt idx="190">
                  <c:v>4.5</c:v>
                </c:pt>
                <c:pt idx="191">
                  <c:v>4.5</c:v>
                </c:pt>
                <c:pt idx="192">
                  <c:v>4.5</c:v>
                </c:pt>
                <c:pt idx="193">
                  <c:v>4.5</c:v>
                </c:pt>
                <c:pt idx="194">
                  <c:v>4.5</c:v>
                </c:pt>
                <c:pt idx="195">
                  <c:v>4.5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</c:v>
                </c:pt>
                <c:pt idx="203">
                  <c:v>4.5</c:v>
                </c:pt>
                <c:pt idx="204">
                  <c:v>4.5</c:v>
                </c:pt>
                <c:pt idx="205">
                  <c:v>4.5</c:v>
                </c:pt>
                <c:pt idx="206">
                  <c:v>4.5</c:v>
                </c:pt>
                <c:pt idx="207">
                  <c:v>4.5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4.5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4.5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4.5</c:v>
                </c:pt>
                <c:pt idx="232">
                  <c:v>4.5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4.5</c:v>
                </c:pt>
                <c:pt idx="238">
                  <c:v>4.5</c:v>
                </c:pt>
                <c:pt idx="239">
                  <c:v>4.5</c:v>
                </c:pt>
                <c:pt idx="240">
                  <c:v>4.5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4.5</c:v>
                </c:pt>
                <c:pt idx="245">
                  <c:v>4.5</c:v>
                </c:pt>
                <c:pt idx="246">
                  <c:v>4.5</c:v>
                </c:pt>
                <c:pt idx="247">
                  <c:v>4.5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4.5</c:v>
                </c:pt>
                <c:pt idx="252">
                  <c:v>4.5</c:v>
                </c:pt>
                <c:pt idx="253">
                  <c:v>4.5</c:v>
                </c:pt>
                <c:pt idx="254">
                  <c:v>4.5</c:v>
                </c:pt>
                <c:pt idx="255">
                  <c:v>4.5</c:v>
                </c:pt>
                <c:pt idx="256">
                  <c:v>4.5</c:v>
                </c:pt>
                <c:pt idx="257">
                  <c:v>4.5</c:v>
                </c:pt>
                <c:pt idx="258">
                  <c:v>4.5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1B-4317-88BB-0DCEC4F2E545}"/>
            </c:ext>
          </c:extLst>
        </c:ser>
        <c:ser>
          <c:idx val="5"/>
          <c:order val="5"/>
          <c:tx>
            <c:strRef>
              <c:f>Norwood!$J$2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Norwood!$J$3:$J$4</c:f>
              <c:numCache>
                <c:formatCode>m/d/yyyy\ h:mm</c:formatCode>
                <c:ptCount val="2"/>
                <c:pt idx="0">
                  <c:v>45988.125</c:v>
                </c:pt>
                <c:pt idx="1">
                  <c:v>45988.125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1B-4317-88BB-0DCEC4F2E545}"/>
            </c:ext>
          </c:extLst>
        </c:ser>
        <c:ser>
          <c:idx val="6"/>
          <c:order val="6"/>
          <c:tx>
            <c:strRef>
              <c:f>Norwood!$K$2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Norwood!$K$3:$K$4</c:f>
              <c:numCache>
                <c:formatCode>m/d/yyyy\ h:mm</c:formatCode>
                <c:ptCount val="2"/>
                <c:pt idx="0">
                  <c:v>45988.895833333336</c:v>
                </c:pt>
                <c:pt idx="1">
                  <c:v>45988.895833333336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B-4317-88BB-0DCEC4F2E545}"/>
            </c:ext>
          </c:extLst>
        </c:ser>
        <c:ser>
          <c:idx val="7"/>
          <c:order val="7"/>
          <c:tx>
            <c:strRef>
              <c:f>Norwood!$L$2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Norwood!$L$3:$L$4</c:f>
              <c:numCache>
                <c:formatCode>m/d/yyyy\ h:mm</c:formatCode>
                <c:ptCount val="2"/>
                <c:pt idx="0">
                  <c:v>45989.541666666664</c:v>
                </c:pt>
                <c:pt idx="1">
                  <c:v>45989.541666666664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1B-4317-88BB-0DCEC4F2E545}"/>
            </c:ext>
          </c:extLst>
        </c:ser>
        <c:ser>
          <c:idx val="8"/>
          <c:order val="8"/>
          <c:tx>
            <c:strRef>
              <c:f>Norwood!$M$2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Norwood!$M$3:$M$4</c:f>
              <c:numCache>
                <c:formatCode>m/d/yyyy\ h:mm</c:formatCode>
                <c:ptCount val="2"/>
                <c:pt idx="0">
                  <c:v>45991.75</c:v>
                </c:pt>
                <c:pt idx="1">
                  <c:v>45991.75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1B-4317-88BB-0DCEC4F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5996.000017881903"/>
          <c:min val="45985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54CC6-7837-B085-87BB-FC32C41CA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8FC41C-4C11-D51B-FCA9-439095493BAC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88BBA3-EDDB-40D0-A353-AAB9665D194B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EDC6FF-742E-457A-A502-E543F5E2641D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78CD7B-AACA-493A-BFDB-8FBFA8E7E87E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B92CB-5874-4E3C-9A14-BB67BE22A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9505EE-9D71-4C53-8DDA-C70ADC9AAABA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161764-941D-4B1B-B7A5-3060978D2BA1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21BFCF-C885-4E86-B672-80CF39BDEB15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853EDD-3EC6-4C9B-A9CA-CDE2B5E6C56E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F4147-3497-40E0-8A69-874BDD80A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C706-9591-4AF8-AAC1-9900AECD0CB7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1F4730-EC0B-4C5B-ADA3-822B84B8B0B0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4E456B-EC40-46C4-A83D-1D6F5FCA000F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FAE4DA-8CB9-4CC5-B780-C283D5DB4D07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FEE73-AAB5-4958-9408-F9B8CAF41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57612-4CBE-4021-BFF6-A9848A4A60B2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354C98-98CF-4C92-B799-745CC9A2633C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97CBD0-26F4-4890-B965-944EE8AE4B12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FB3639-0C96-40BD-84B3-AE0F17D667B9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366E1-B1E0-4200-B414-B695A195F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1D8770-D8C4-496B-BA44-AB49FBE1FC7B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A020E4-3AD4-4154-9749-C54D9754DA73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ABEC7D-9AFA-492B-96E0-452C25DC98DC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3054EA-AEA0-49A5-BF8F-0061109B6753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839BB-7743-4A54-88C1-4E4469E7F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3E04F2-8718-4C34-AC56-AE08617D52F0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EBF913-1EA5-4756-9593-0A1912C9AF98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B1116E-BF7C-4132-8F4D-85D3ADA89A42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8F2EB7-1E44-4E52-B50F-234A864A2249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9DB7-BC47-41A4-8972-DA6D81674FB2}">
  <dimension ref="A1:T268"/>
  <sheetViews>
    <sheetView tabSelected="1" topLeftCell="A99" workbookViewId="0">
      <selection activeCell="A101" sqref="A101"/>
    </sheetView>
  </sheetViews>
  <sheetFormatPr defaultRowHeight="14.4" x14ac:dyDescent="0.3"/>
  <cols>
    <col min="1" max="1" width="17.88671875" customWidth="1"/>
    <col min="2" max="2" width="10.77734375" style="4" customWidth="1"/>
    <col min="3" max="14" width="7.6640625" style="4" customWidth="1"/>
    <col min="15" max="15" width="7.6640625" style="5" customWidth="1"/>
    <col min="16" max="18" width="7.6640625" style="4" customWidth="1"/>
    <col min="19" max="19" width="8.88671875" style="4"/>
  </cols>
  <sheetData>
    <row r="1" spans="1:20" ht="21" x14ac:dyDescent="0.4">
      <c r="A1" s="2" t="s">
        <v>10</v>
      </c>
    </row>
    <row r="2" spans="1:20" ht="18" x14ac:dyDescent="0.35">
      <c r="A2" s="27" t="s">
        <v>28</v>
      </c>
    </row>
    <row r="3" spans="1:20" x14ac:dyDescent="0.3">
      <c r="A3" s="26"/>
      <c r="B3" s="3" t="s">
        <v>0</v>
      </c>
      <c r="C3" s="28" t="s">
        <v>1</v>
      </c>
      <c r="D3" s="28"/>
      <c r="E3" s="28"/>
      <c r="F3" s="28" t="s">
        <v>2</v>
      </c>
      <c r="G3" s="28"/>
      <c r="H3" s="28"/>
      <c r="I3" s="28" t="s">
        <v>3</v>
      </c>
      <c r="J3" s="28"/>
      <c r="K3" s="28"/>
      <c r="L3" s="28" t="s">
        <v>4</v>
      </c>
      <c r="M3" s="28"/>
      <c r="N3" s="28"/>
      <c r="O3" s="28" t="s">
        <v>5</v>
      </c>
      <c r="P3" s="28"/>
      <c r="Q3" s="28"/>
      <c r="R3" s="28" t="s">
        <v>6</v>
      </c>
      <c r="S3" s="28"/>
      <c r="T3" s="28"/>
    </row>
    <row r="4" spans="1:20" ht="16.2" x14ac:dyDescent="0.3">
      <c r="B4" s="4" t="s">
        <v>7</v>
      </c>
      <c r="C4" s="4" t="s">
        <v>8</v>
      </c>
      <c r="D4" s="4" t="s">
        <v>9</v>
      </c>
      <c r="E4" s="4" t="s">
        <v>31</v>
      </c>
      <c r="F4" s="4" t="s">
        <v>8</v>
      </c>
      <c r="G4" s="4" t="s">
        <v>9</v>
      </c>
      <c r="H4" s="4" t="s">
        <v>31</v>
      </c>
      <c r="I4" s="4" t="s">
        <v>8</v>
      </c>
      <c r="J4" s="4" t="s">
        <v>9</v>
      </c>
      <c r="K4" s="4" t="s">
        <v>31</v>
      </c>
      <c r="L4" s="4" t="s">
        <v>8</v>
      </c>
      <c r="M4" s="4" t="s">
        <v>9</v>
      </c>
      <c r="N4" s="4" t="s">
        <v>31</v>
      </c>
      <c r="O4" s="5" t="s">
        <v>8</v>
      </c>
      <c r="P4" s="4" t="s">
        <v>9</v>
      </c>
      <c r="Q4" s="4" t="s">
        <v>31</v>
      </c>
      <c r="R4" s="4" t="s">
        <v>8</v>
      </c>
      <c r="S4" s="4" t="s">
        <v>9</v>
      </c>
      <c r="T4" s="4" t="s">
        <v>31</v>
      </c>
    </row>
    <row r="5" spans="1:20" x14ac:dyDescent="0.3">
      <c r="A5" s="1">
        <v>45985.041666666664</v>
      </c>
      <c r="B5" s="5">
        <v>2.2000000000000002</v>
      </c>
      <c r="C5" s="5">
        <v>2.2999999999999998</v>
      </c>
      <c r="D5" s="6">
        <f>IF(C5="","",IF((C5+0.56)&gt;4,13.194*(C5+0.56)^2+13.311*(C5+0.56)-0.8227,27.012*(C5+0.56)^1.6477))</f>
        <v>152.58472307802754</v>
      </c>
      <c r="E5" s="6">
        <v>0</v>
      </c>
      <c r="F5" s="5">
        <v>10.62</v>
      </c>
      <c r="G5" s="7">
        <f>IF(F5="","",IF((F5-0.118)&gt;14,9.8381*((F5-0.118)-7.5)^2+42.44*((F5-0.118)-7.5)-16.777,35.535*((F5-0.118)-7.5)^1.5414))</f>
        <v>193.43593369876038</v>
      </c>
      <c r="H5" s="7">
        <v>0</v>
      </c>
      <c r="I5" s="5">
        <v>1.8</v>
      </c>
      <c r="J5" s="7">
        <f>IF(I5="","",IF(I5&lt;=2.23,13.015*(I5-0.345)^3.274,114.59*(I5-0.345)^2-419*(I5-0.345)+487.77))</f>
        <v>44.428086891605425</v>
      </c>
      <c r="K5" s="9">
        <v>0</v>
      </c>
      <c r="L5" s="5">
        <v>2.72</v>
      </c>
      <c r="M5" s="7">
        <f>IF(L5="","",IF((L5)&gt;2,8.9271*((L5)^2)+9.2434*(L5)-1.6791,14.51*(((L5)-0.1)^1.846)))</f>
        <v>89.509204640000007</v>
      </c>
      <c r="N5" s="9">
        <v>0</v>
      </c>
      <c r="O5" s="5">
        <v>0.86</v>
      </c>
      <c r="P5" s="7">
        <f>IF(O5="","",28.62*(O5)^1.3838)</f>
        <v>23.228896892293509</v>
      </c>
      <c r="Q5" s="9">
        <v>0</v>
      </c>
      <c r="R5" s="5">
        <v>1.7</v>
      </c>
      <c r="S5" s="7">
        <f>IF(R5="","",IF(R5&gt;2.5,19.135*(R5+0.5)^2-29.477*(R5+0.5)+32.54,3.0494*((R5+0.5)^2.8875)))</f>
        <v>29.713915695331163</v>
      </c>
      <c r="T5" s="9">
        <v>0</v>
      </c>
    </row>
    <row r="6" spans="1:20" x14ac:dyDescent="0.3">
      <c r="A6" s="1">
        <v>45985.083333333336</v>
      </c>
      <c r="B6" s="5">
        <v>2.5</v>
      </c>
      <c r="C6" s="5">
        <v>2.3199999999999998</v>
      </c>
      <c r="D6" s="6">
        <f t="shared" ref="D6:D69" si="0">IF(C6="","",IF((C6+0.56)&gt;4,13.194*(C6+0.56)^2+13.311*(C6+0.56)-0.8227,27.012*(C6+0.56)^1.6477))</f>
        <v>154.34684024579826</v>
      </c>
      <c r="E6" s="6">
        <v>0</v>
      </c>
      <c r="F6" s="5">
        <v>10.97</v>
      </c>
      <c r="G6" s="7">
        <f t="shared" ref="G6:G69" si="1">IF(F6="","",IF((F6-0.118)&gt;14,9.8381*((F6-0.118)-7.5)^2+42.44*((F6-0.118)-7.5)-16.777,35.535*((F6-0.118)-7.5)^1.5414))</f>
        <v>229.27669919176697</v>
      </c>
      <c r="H6" s="7">
        <v>0</v>
      </c>
      <c r="I6" s="5">
        <v>1.7</v>
      </c>
      <c r="J6" s="7">
        <f t="shared" ref="J6:J69" si="2">IF(I6="","",IF(I6&lt;=2.23,13.015*(I6-0.345)^3.274,114.59*(I6-0.345)^2-419*(I6-0.345)+487.77))</f>
        <v>35.189526648238292</v>
      </c>
      <c r="K6" s="9">
        <v>0</v>
      </c>
      <c r="L6" s="5">
        <v>2.5099999999999998</v>
      </c>
      <c r="M6" s="7">
        <f t="shared" ref="M6:M69" si="3">IF(L6="","",IF((L6)&gt;2,8.9271*((L6)^2)+9.2434*(L6)-1.6791,14.51*(((L6)-0.1)^1.846)))</f>
        <v>77.763456709999986</v>
      </c>
      <c r="N6" s="9">
        <v>0</v>
      </c>
      <c r="O6" s="5">
        <v>0.86</v>
      </c>
      <c r="P6" s="7">
        <f t="shared" ref="P6:P69" si="4">IF(O6="","",28.62*(O6)^1.3838)</f>
        <v>23.228896892293509</v>
      </c>
      <c r="Q6" s="9">
        <v>0</v>
      </c>
      <c r="R6" s="5">
        <v>1.62</v>
      </c>
      <c r="S6" s="7">
        <f t="shared" ref="S6:S69" si="5">IF(R6="","",IF(R6&gt;2.5,19.135*(R6+0.5)^2-29.477*(R6+0.5)+32.54,3.0494*((R6+0.5)^2.8875)))</f>
        <v>26.699872924970897</v>
      </c>
      <c r="T6" s="9">
        <v>0</v>
      </c>
    </row>
    <row r="7" spans="1:20" x14ac:dyDescent="0.3">
      <c r="A7" s="1">
        <v>45985.125000057873</v>
      </c>
      <c r="B7" s="5">
        <v>2.8</v>
      </c>
      <c r="C7" s="5">
        <v>2.38</v>
      </c>
      <c r="D7" s="6">
        <f t="shared" si="0"/>
        <v>159.68077705919112</v>
      </c>
      <c r="E7" s="6">
        <v>0</v>
      </c>
      <c r="F7" s="5">
        <v>11.25</v>
      </c>
      <c r="G7" s="7">
        <f t="shared" si="1"/>
        <v>259.45683577983561</v>
      </c>
      <c r="H7" s="7">
        <v>0</v>
      </c>
      <c r="I7" s="5">
        <v>1.7</v>
      </c>
      <c r="J7" s="7">
        <f t="shared" si="2"/>
        <v>35.189526648238292</v>
      </c>
      <c r="K7" s="9">
        <v>0</v>
      </c>
      <c r="L7" s="5">
        <v>2.12</v>
      </c>
      <c r="M7" s="7">
        <f t="shared" si="3"/>
        <v>58.038866240000011</v>
      </c>
      <c r="N7" s="9">
        <v>0</v>
      </c>
      <c r="O7" s="5">
        <v>0.84</v>
      </c>
      <c r="P7" s="7">
        <f t="shared" si="4"/>
        <v>22.484710772239122</v>
      </c>
      <c r="Q7" s="9">
        <v>0</v>
      </c>
      <c r="R7" s="5">
        <v>1.6</v>
      </c>
      <c r="S7" s="7">
        <f t="shared" si="5"/>
        <v>25.979010742504016</v>
      </c>
      <c r="T7" s="9">
        <v>0</v>
      </c>
    </row>
    <row r="8" spans="1:20" x14ac:dyDescent="0.3">
      <c r="A8" s="1">
        <v>45985.16666678241</v>
      </c>
      <c r="B8" s="5">
        <v>3.1</v>
      </c>
      <c r="C8" s="5">
        <v>2.6</v>
      </c>
      <c r="D8" s="6">
        <f t="shared" si="0"/>
        <v>179.84200970198029</v>
      </c>
      <c r="E8" s="6">
        <v>0</v>
      </c>
      <c r="F8" s="5">
        <v>11.32</v>
      </c>
      <c r="G8" s="7">
        <f t="shared" si="1"/>
        <v>267.20477140873692</v>
      </c>
      <c r="H8" s="7">
        <v>0</v>
      </c>
      <c r="I8" s="5">
        <v>1.7</v>
      </c>
      <c r="J8" s="7">
        <f t="shared" si="2"/>
        <v>35.189526648238292</v>
      </c>
      <c r="K8" s="9">
        <v>0</v>
      </c>
      <c r="L8" s="5">
        <v>1.91</v>
      </c>
      <c r="M8" s="7">
        <f t="shared" si="3"/>
        <v>43.385245734782423</v>
      </c>
      <c r="N8" s="9">
        <v>0</v>
      </c>
      <c r="O8" s="5">
        <v>0.83</v>
      </c>
      <c r="P8" s="7">
        <f t="shared" si="4"/>
        <v>22.115150216794209</v>
      </c>
      <c r="Q8" s="9">
        <v>0</v>
      </c>
      <c r="R8" s="5">
        <v>1.55</v>
      </c>
      <c r="S8" s="7">
        <f t="shared" si="5"/>
        <v>24.23280400570944</v>
      </c>
      <c r="T8" s="9">
        <v>0</v>
      </c>
    </row>
    <row r="9" spans="1:20" x14ac:dyDescent="0.3">
      <c r="A9" s="1">
        <v>45985.208333506947</v>
      </c>
      <c r="B9" s="5">
        <v>3.1</v>
      </c>
      <c r="C9" s="5">
        <v>2.84</v>
      </c>
      <c r="D9" s="6">
        <f t="shared" si="0"/>
        <v>202.89649869946464</v>
      </c>
      <c r="E9" s="6">
        <v>0</v>
      </c>
      <c r="F9" s="5">
        <v>11.36</v>
      </c>
      <c r="G9" s="7">
        <f t="shared" si="1"/>
        <v>271.66800351907978</v>
      </c>
      <c r="H9" s="7">
        <v>0</v>
      </c>
      <c r="I9" s="5">
        <v>1.7</v>
      </c>
      <c r="J9" s="7">
        <f t="shared" si="2"/>
        <v>35.189526648238292</v>
      </c>
      <c r="K9" s="9">
        <v>0</v>
      </c>
      <c r="L9" s="5">
        <v>1.86</v>
      </c>
      <c r="M9" s="7">
        <f t="shared" si="3"/>
        <v>41.198727024003801</v>
      </c>
      <c r="N9" s="9">
        <v>0</v>
      </c>
      <c r="O9" s="5">
        <v>0.79</v>
      </c>
      <c r="P9" s="7">
        <f t="shared" si="4"/>
        <v>20.654086824489443</v>
      </c>
      <c r="Q9" s="9">
        <v>0</v>
      </c>
      <c r="R9" s="5">
        <v>1.51</v>
      </c>
      <c r="S9" s="7">
        <f t="shared" si="5"/>
        <v>22.892488872779989</v>
      </c>
      <c r="T9" s="9">
        <v>0</v>
      </c>
    </row>
    <row r="10" spans="1:20" x14ac:dyDescent="0.3">
      <c r="A10" s="1">
        <v>45985.250000231485</v>
      </c>
      <c r="B10" s="5">
        <v>2.8</v>
      </c>
      <c r="C10" s="5">
        <v>2.96</v>
      </c>
      <c r="D10" s="6">
        <f t="shared" si="0"/>
        <v>214.83007875799075</v>
      </c>
      <c r="E10" s="6">
        <v>0</v>
      </c>
      <c r="F10" s="5">
        <v>11.33</v>
      </c>
      <c r="G10" s="7">
        <f t="shared" si="1"/>
        <v>268.31814385659999</v>
      </c>
      <c r="H10" s="7">
        <v>0</v>
      </c>
      <c r="I10" s="5">
        <v>1.65</v>
      </c>
      <c r="J10" s="7">
        <f t="shared" si="2"/>
        <v>31.113795123628769</v>
      </c>
      <c r="K10" s="9">
        <v>0</v>
      </c>
      <c r="L10" s="5">
        <v>1.78</v>
      </c>
      <c r="M10" s="7">
        <f t="shared" si="3"/>
        <v>37.808404135499359</v>
      </c>
      <c r="N10" s="9">
        <v>0</v>
      </c>
      <c r="O10" s="5">
        <v>0.76</v>
      </c>
      <c r="P10" s="7">
        <f t="shared" si="4"/>
        <v>19.576699676476153</v>
      </c>
      <c r="Q10" s="9">
        <v>0</v>
      </c>
      <c r="R10" s="5">
        <v>1.48</v>
      </c>
      <c r="S10" s="7">
        <f t="shared" si="5"/>
        <v>21.919726592793509</v>
      </c>
      <c r="T10" s="9">
        <v>0</v>
      </c>
    </row>
    <row r="11" spans="1:20" x14ac:dyDescent="0.3">
      <c r="A11" s="1">
        <v>45985.291666956022</v>
      </c>
      <c r="B11" s="5">
        <v>2.5</v>
      </c>
      <c r="C11" s="5">
        <v>3.09</v>
      </c>
      <c r="D11" s="6">
        <f t="shared" si="0"/>
        <v>228.05872595290862</v>
      </c>
      <c r="E11" s="6">
        <v>0.2</v>
      </c>
      <c r="F11" s="5">
        <v>11.23</v>
      </c>
      <c r="G11" s="7">
        <f t="shared" si="1"/>
        <v>257.25788138833599</v>
      </c>
      <c r="H11" s="7">
        <v>0</v>
      </c>
      <c r="I11" s="5">
        <v>1.69</v>
      </c>
      <c r="J11" s="7">
        <f t="shared" si="2"/>
        <v>34.346376902123808</v>
      </c>
      <c r="K11" s="9">
        <v>0</v>
      </c>
      <c r="L11" s="5">
        <v>1.74</v>
      </c>
      <c r="M11" s="7">
        <f t="shared" si="3"/>
        <v>36.163391742924667</v>
      </c>
      <c r="N11" s="9">
        <v>0</v>
      </c>
      <c r="O11" s="5">
        <v>0.73</v>
      </c>
      <c r="P11" s="7">
        <f t="shared" si="4"/>
        <v>18.515515299127134</v>
      </c>
      <c r="Q11" s="9">
        <v>0</v>
      </c>
      <c r="R11" s="5">
        <v>1.45</v>
      </c>
      <c r="S11" s="7">
        <f t="shared" si="5"/>
        <v>20.974389865308012</v>
      </c>
      <c r="T11" s="9">
        <v>0</v>
      </c>
    </row>
    <row r="12" spans="1:20" x14ac:dyDescent="0.3">
      <c r="A12" s="1">
        <v>45985.333333680559</v>
      </c>
      <c r="B12" s="5">
        <v>2.1</v>
      </c>
      <c r="C12" s="5">
        <v>3.14</v>
      </c>
      <c r="D12" s="6">
        <f t="shared" si="0"/>
        <v>233.22909215584443</v>
      </c>
      <c r="E12" s="6">
        <v>0</v>
      </c>
      <c r="F12" s="5">
        <v>11.11</v>
      </c>
      <c r="G12" s="7">
        <f t="shared" si="1"/>
        <v>244.20297231805915</v>
      </c>
      <c r="H12" s="7">
        <v>0</v>
      </c>
      <c r="I12" s="5">
        <v>1.58</v>
      </c>
      <c r="J12" s="7">
        <f t="shared" si="2"/>
        <v>25.975372938816697</v>
      </c>
      <c r="K12" s="9">
        <v>0</v>
      </c>
      <c r="L12" s="5">
        <v>1.67</v>
      </c>
      <c r="M12" s="7">
        <f t="shared" si="3"/>
        <v>33.365540980474748</v>
      </c>
      <c r="N12" s="9">
        <v>0</v>
      </c>
      <c r="O12" s="5">
        <v>0.73</v>
      </c>
      <c r="P12" s="7">
        <f t="shared" si="4"/>
        <v>18.515515299127134</v>
      </c>
      <c r="Q12" s="9">
        <v>0</v>
      </c>
      <c r="R12" s="5">
        <v>1.32</v>
      </c>
      <c r="S12" s="7">
        <f t="shared" si="5"/>
        <v>17.185830683644909</v>
      </c>
      <c r="T12" s="9">
        <v>0</v>
      </c>
    </row>
    <row r="13" spans="1:20" x14ac:dyDescent="0.3">
      <c r="A13" s="1">
        <v>45985.375000405096</v>
      </c>
      <c r="B13" s="5">
        <v>1.8</v>
      </c>
      <c r="C13" s="5">
        <v>3.15</v>
      </c>
      <c r="D13" s="6">
        <f t="shared" si="0"/>
        <v>234.26862682470207</v>
      </c>
      <c r="E13" s="6">
        <v>0</v>
      </c>
      <c r="F13" s="5">
        <v>10.97</v>
      </c>
      <c r="G13" s="7">
        <f t="shared" si="1"/>
        <v>229.27669919176697</v>
      </c>
      <c r="H13" s="7">
        <v>0</v>
      </c>
      <c r="I13" s="5">
        <v>1.57</v>
      </c>
      <c r="J13" s="7">
        <f t="shared" si="2"/>
        <v>25.293080535140668</v>
      </c>
      <c r="K13" s="9">
        <v>0</v>
      </c>
      <c r="L13" s="5">
        <v>1.59</v>
      </c>
      <c r="M13" s="7">
        <f t="shared" si="3"/>
        <v>30.294881908515947</v>
      </c>
      <c r="N13" s="9">
        <v>0</v>
      </c>
      <c r="O13" s="5">
        <v>0.75</v>
      </c>
      <c r="P13" s="7">
        <f t="shared" si="4"/>
        <v>19.221151672443352</v>
      </c>
      <c r="Q13" s="9">
        <v>0</v>
      </c>
      <c r="R13" s="5">
        <v>1.25</v>
      </c>
      <c r="S13" s="7">
        <f t="shared" si="5"/>
        <v>15.345702042865385</v>
      </c>
      <c r="T13" s="9">
        <v>0</v>
      </c>
    </row>
    <row r="14" spans="1:20" x14ac:dyDescent="0.3">
      <c r="A14" s="1">
        <v>45985.416667129626</v>
      </c>
      <c r="B14" s="5">
        <v>1.7</v>
      </c>
      <c r="C14" s="5">
        <v>3.12</v>
      </c>
      <c r="D14" s="6">
        <f t="shared" si="0"/>
        <v>231.15547902418629</v>
      </c>
      <c r="E14" s="6">
        <v>0</v>
      </c>
      <c r="F14" s="5">
        <v>10.83</v>
      </c>
      <c r="G14" s="7">
        <f t="shared" si="1"/>
        <v>214.68422413995987</v>
      </c>
      <c r="H14" s="7">
        <v>0</v>
      </c>
      <c r="I14" s="5">
        <v>1.66</v>
      </c>
      <c r="J14" s="7">
        <f t="shared" si="2"/>
        <v>31.901204947242384</v>
      </c>
      <c r="K14" s="9">
        <v>0</v>
      </c>
      <c r="L14" s="5">
        <v>1.5</v>
      </c>
      <c r="M14" s="7">
        <f t="shared" si="3"/>
        <v>27.003481866240183</v>
      </c>
      <c r="N14" s="9">
        <v>0</v>
      </c>
      <c r="O14" s="5">
        <v>0.75</v>
      </c>
      <c r="P14" s="7">
        <f t="shared" si="4"/>
        <v>19.221151672443352</v>
      </c>
      <c r="Q14" s="9">
        <v>0</v>
      </c>
      <c r="R14" s="5">
        <v>1.22</v>
      </c>
      <c r="S14" s="7">
        <f t="shared" si="5"/>
        <v>14.598316877618933</v>
      </c>
      <c r="T14" s="9">
        <v>0</v>
      </c>
    </row>
    <row r="15" spans="1:20" x14ac:dyDescent="0.3">
      <c r="A15" s="1">
        <v>45985.458333854163</v>
      </c>
      <c r="B15" s="5">
        <v>1.7</v>
      </c>
      <c r="C15" s="5">
        <v>3.08</v>
      </c>
      <c r="D15" s="6">
        <f t="shared" si="0"/>
        <v>227.03012637073181</v>
      </c>
      <c r="E15" s="6">
        <v>0</v>
      </c>
      <c r="F15" s="5">
        <v>10.7</v>
      </c>
      <c r="G15" s="7">
        <f t="shared" si="1"/>
        <v>201.43871502584832</v>
      </c>
      <c r="H15" s="7">
        <v>0</v>
      </c>
      <c r="I15" s="5">
        <v>1.47</v>
      </c>
      <c r="J15" s="7">
        <f t="shared" si="2"/>
        <v>19.138924575829883</v>
      </c>
      <c r="K15" s="9">
        <v>0</v>
      </c>
      <c r="L15" s="5">
        <v>1.44</v>
      </c>
      <c r="M15" s="7">
        <f t="shared" si="3"/>
        <v>24.905936140413083</v>
      </c>
      <c r="N15" s="9">
        <v>0</v>
      </c>
      <c r="O15" s="5">
        <v>0.75</v>
      </c>
      <c r="P15" s="7">
        <f t="shared" si="4"/>
        <v>19.221151672443352</v>
      </c>
      <c r="Q15" s="9">
        <v>0</v>
      </c>
      <c r="R15" s="5">
        <v>1.18</v>
      </c>
      <c r="S15" s="7">
        <f t="shared" si="5"/>
        <v>13.639389978644896</v>
      </c>
      <c r="T15" s="9">
        <v>0</v>
      </c>
    </row>
    <row r="16" spans="1:20" x14ac:dyDescent="0.3">
      <c r="A16" s="1">
        <v>45985.500000578701</v>
      </c>
      <c r="B16" s="5">
        <v>1.9</v>
      </c>
      <c r="C16" s="5">
        <v>2.97</v>
      </c>
      <c r="D16" s="6">
        <f t="shared" si="0"/>
        <v>215.83661591640163</v>
      </c>
      <c r="E16" s="6">
        <v>0</v>
      </c>
      <c r="F16" s="5">
        <v>10.61</v>
      </c>
      <c r="G16" s="7">
        <f t="shared" si="1"/>
        <v>192.44361808009225</v>
      </c>
      <c r="H16" s="7">
        <v>0</v>
      </c>
      <c r="I16" s="5">
        <v>1.47</v>
      </c>
      <c r="J16" s="7">
        <f t="shared" si="2"/>
        <v>19.138924575829883</v>
      </c>
      <c r="K16" s="9">
        <v>0</v>
      </c>
      <c r="L16" s="5">
        <v>1.37</v>
      </c>
      <c r="M16" s="7">
        <f t="shared" si="3"/>
        <v>22.55740210693612</v>
      </c>
      <c r="N16" s="9">
        <v>0</v>
      </c>
      <c r="O16" s="5">
        <v>0.73</v>
      </c>
      <c r="P16" s="7">
        <f t="shared" si="4"/>
        <v>18.515515299127134</v>
      </c>
      <c r="Q16" s="9">
        <v>0</v>
      </c>
      <c r="R16" s="5">
        <v>1.1599999999999999</v>
      </c>
      <c r="S16" s="7">
        <f t="shared" si="5"/>
        <v>13.175785021073656</v>
      </c>
      <c r="T16" s="9">
        <v>0</v>
      </c>
    </row>
    <row r="17" spans="1:20" x14ac:dyDescent="0.3">
      <c r="A17" s="1">
        <v>45985.541667303238</v>
      </c>
      <c r="B17" s="5">
        <v>2.1</v>
      </c>
      <c r="C17" s="5">
        <v>2.89</v>
      </c>
      <c r="D17" s="6">
        <f t="shared" si="0"/>
        <v>207.83623382374043</v>
      </c>
      <c r="E17" s="6">
        <v>0</v>
      </c>
      <c r="F17" s="5">
        <v>10.51</v>
      </c>
      <c r="G17" s="7">
        <f t="shared" si="1"/>
        <v>182.61958934895213</v>
      </c>
      <c r="H17" s="7">
        <v>0</v>
      </c>
      <c r="I17" s="5">
        <v>1.74</v>
      </c>
      <c r="J17" s="7">
        <f t="shared" si="2"/>
        <v>38.706163621184182</v>
      </c>
      <c r="K17" s="9">
        <v>0</v>
      </c>
      <c r="L17" s="5">
        <v>1.31</v>
      </c>
      <c r="M17" s="7">
        <f t="shared" si="3"/>
        <v>20.629523940402766</v>
      </c>
      <c r="N17" s="9">
        <v>0</v>
      </c>
      <c r="O17" s="5">
        <v>0.73</v>
      </c>
      <c r="P17" s="7">
        <f t="shared" si="4"/>
        <v>18.515515299127134</v>
      </c>
      <c r="Q17" s="9">
        <v>0</v>
      </c>
      <c r="R17" s="5">
        <v>1.17</v>
      </c>
      <c r="S17" s="7">
        <f t="shared" si="5"/>
        <v>13.406277551750891</v>
      </c>
      <c r="T17" s="9">
        <v>0</v>
      </c>
    </row>
    <row r="18" spans="1:20" x14ac:dyDescent="0.3">
      <c r="A18" s="1">
        <v>45985.583334027775</v>
      </c>
      <c r="B18" s="5">
        <v>2.6</v>
      </c>
      <c r="C18" s="5">
        <v>2.81</v>
      </c>
      <c r="D18" s="6">
        <f t="shared" si="0"/>
        <v>199.9551198470372</v>
      </c>
      <c r="E18" s="6">
        <v>0</v>
      </c>
      <c r="F18" s="5">
        <v>10.43</v>
      </c>
      <c r="G18" s="7">
        <f t="shared" si="1"/>
        <v>174.89142984734596</v>
      </c>
      <c r="H18" s="7">
        <v>0</v>
      </c>
      <c r="I18" s="5">
        <v>1.8</v>
      </c>
      <c r="J18" s="7">
        <f t="shared" si="2"/>
        <v>44.428086891605425</v>
      </c>
      <c r="K18" s="9">
        <v>0</v>
      </c>
      <c r="L18" s="5">
        <v>1.28</v>
      </c>
      <c r="M18" s="7">
        <f t="shared" si="3"/>
        <v>19.695254537910998</v>
      </c>
      <c r="N18" s="9">
        <v>0</v>
      </c>
      <c r="O18" s="5">
        <v>0.69</v>
      </c>
      <c r="P18" s="7">
        <f t="shared" si="4"/>
        <v>17.126515075889056</v>
      </c>
      <c r="Q18" s="9">
        <v>8.1999999999999993</v>
      </c>
      <c r="R18" s="5">
        <v>1.02</v>
      </c>
      <c r="S18" s="7">
        <f t="shared" si="5"/>
        <v>10.216161650359053</v>
      </c>
      <c r="T18" s="9">
        <v>0</v>
      </c>
    </row>
    <row r="19" spans="1:20" x14ac:dyDescent="0.3">
      <c r="A19" s="1">
        <v>45985.625000752312</v>
      </c>
      <c r="B19" s="5">
        <v>2.75</v>
      </c>
      <c r="C19" s="5">
        <v>2.74</v>
      </c>
      <c r="D19" s="6">
        <f t="shared" si="0"/>
        <v>193.15775974510467</v>
      </c>
      <c r="E19" s="6">
        <v>0</v>
      </c>
      <c r="F19" s="5">
        <v>10.35</v>
      </c>
      <c r="G19" s="7">
        <f t="shared" si="1"/>
        <v>167.28140330242118</v>
      </c>
      <c r="H19" s="7">
        <v>2</v>
      </c>
      <c r="I19" s="5">
        <v>1.99</v>
      </c>
      <c r="J19" s="7">
        <f t="shared" si="2"/>
        <v>66.400497994676087</v>
      </c>
      <c r="K19" s="9">
        <v>0</v>
      </c>
      <c r="L19" s="5">
        <v>1.24</v>
      </c>
      <c r="M19" s="7">
        <f t="shared" si="3"/>
        <v>18.480502165429399</v>
      </c>
      <c r="N19" s="9">
        <v>0</v>
      </c>
      <c r="O19" s="5">
        <v>1.04</v>
      </c>
      <c r="P19" s="7">
        <f t="shared" si="4"/>
        <v>30.216236035612905</v>
      </c>
      <c r="Q19" s="9">
        <v>55.8</v>
      </c>
      <c r="R19" s="5">
        <v>1.1100000000000001</v>
      </c>
      <c r="S19" s="7">
        <f t="shared" si="5"/>
        <v>12.062133005740378</v>
      </c>
      <c r="T19" s="9">
        <v>5.9</v>
      </c>
    </row>
    <row r="20" spans="1:20" x14ac:dyDescent="0.3">
      <c r="A20" s="1">
        <v>45985.666667476849</v>
      </c>
      <c r="B20" s="5">
        <v>2.9</v>
      </c>
      <c r="C20" s="5">
        <v>2.67</v>
      </c>
      <c r="D20" s="6">
        <f t="shared" si="0"/>
        <v>186.453155247175</v>
      </c>
      <c r="E20" s="6">
        <v>22.8</v>
      </c>
      <c r="F20" s="5">
        <v>10.34</v>
      </c>
      <c r="G20" s="7">
        <f t="shared" si="1"/>
        <v>166.33853388858216</v>
      </c>
      <c r="H20" s="7">
        <v>1.4</v>
      </c>
      <c r="I20" s="5">
        <v>1.93</v>
      </c>
      <c r="J20" s="7">
        <f t="shared" si="2"/>
        <v>58.794945365776705</v>
      </c>
      <c r="K20" s="9">
        <v>0</v>
      </c>
      <c r="L20" s="5">
        <v>1.19</v>
      </c>
      <c r="M20" s="7">
        <f t="shared" si="3"/>
        <v>17.012053022500577</v>
      </c>
      <c r="N20" s="9">
        <v>1.1000000000000001</v>
      </c>
      <c r="O20" s="5">
        <v>1.32</v>
      </c>
      <c r="P20" s="7">
        <f t="shared" si="4"/>
        <v>42.026172175055144</v>
      </c>
      <c r="Q20" s="9">
        <v>3.8</v>
      </c>
      <c r="R20" s="5">
        <v>1.1000000000000001</v>
      </c>
      <c r="S20" s="7">
        <f t="shared" si="5"/>
        <v>11.847067035611163</v>
      </c>
      <c r="T20" s="9">
        <v>0.6</v>
      </c>
    </row>
    <row r="21" spans="1:20" x14ac:dyDescent="0.3">
      <c r="A21" s="1">
        <v>45985.708334201387</v>
      </c>
      <c r="B21" s="5">
        <v>2.9</v>
      </c>
      <c r="C21" s="5">
        <v>2.6</v>
      </c>
      <c r="D21" s="6">
        <f t="shared" si="0"/>
        <v>179.84200970198029</v>
      </c>
      <c r="E21" s="6">
        <v>1.3</v>
      </c>
      <c r="F21" s="5">
        <v>10.36</v>
      </c>
      <c r="G21" s="7">
        <f t="shared" si="1"/>
        <v>168.22614305471623</v>
      </c>
      <c r="H21" s="7">
        <v>3.5</v>
      </c>
      <c r="I21" s="5">
        <v>2.14</v>
      </c>
      <c r="J21" s="7">
        <f t="shared" si="2"/>
        <v>88.359081213371596</v>
      </c>
      <c r="K21" s="9">
        <v>0</v>
      </c>
      <c r="L21" s="5">
        <v>1.1599999999999999</v>
      </c>
      <c r="M21" s="7">
        <f t="shared" si="3"/>
        <v>16.157792988834309</v>
      </c>
      <c r="N21" s="9">
        <v>0</v>
      </c>
      <c r="O21" s="5">
        <v>1.75</v>
      </c>
      <c r="P21" s="7">
        <f t="shared" si="4"/>
        <v>62.084856435093684</v>
      </c>
      <c r="Q21" s="9">
        <v>4.4000000000000004</v>
      </c>
      <c r="R21" s="5">
        <v>1.1299999999999999</v>
      </c>
      <c r="S21" s="7">
        <f t="shared" si="5"/>
        <v>12.499887480960505</v>
      </c>
      <c r="T21" s="9">
        <v>0.8</v>
      </c>
    </row>
    <row r="22" spans="1:20" x14ac:dyDescent="0.3">
      <c r="A22" s="1">
        <v>45985.750000925924</v>
      </c>
      <c r="B22" s="5">
        <v>2.6</v>
      </c>
      <c r="C22" s="5">
        <v>2.56</v>
      </c>
      <c r="D22" s="6">
        <f t="shared" si="0"/>
        <v>176.10645124432691</v>
      </c>
      <c r="E22" s="6">
        <v>2.5</v>
      </c>
      <c r="F22" s="5">
        <v>10.43</v>
      </c>
      <c r="G22" s="7">
        <f t="shared" si="1"/>
        <v>174.89142984734596</v>
      </c>
      <c r="H22" s="7">
        <v>2</v>
      </c>
      <c r="I22" s="5">
        <v>1.98</v>
      </c>
      <c r="J22" s="7">
        <f t="shared" si="2"/>
        <v>65.088057242302639</v>
      </c>
      <c r="K22" s="9">
        <v>0</v>
      </c>
      <c r="L22" s="5">
        <v>1.1599999999999999</v>
      </c>
      <c r="M22" s="7">
        <f t="shared" si="3"/>
        <v>16.157792988834309</v>
      </c>
      <c r="N22" s="9">
        <v>0.8</v>
      </c>
      <c r="O22" s="5">
        <v>2.4300000000000002</v>
      </c>
      <c r="P22" s="7">
        <f t="shared" si="4"/>
        <v>97.784853812318758</v>
      </c>
      <c r="Q22" s="9">
        <v>3.7</v>
      </c>
      <c r="R22" s="5">
        <v>1.19</v>
      </c>
      <c r="S22" s="7">
        <f t="shared" si="5"/>
        <v>13.875136220186866</v>
      </c>
      <c r="T22" s="9">
        <v>2.5</v>
      </c>
    </row>
    <row r="23" spans="1:20" x14ac:dyDescent="0.3">
      <c r="A23" s="1">
        <v>45985.791667650461</v>
      </c>
      <c r="B23" s="5">
        <v>2.2999999999999998</v>
      </c>
      <c r="C23" s="5">
        <v>2.54</v>
      </c>
      <c r="D23" s="6">
        <f t="shared" si="0"/>
        <v>174.25024764006761</v>
      </c>
      <c r="E23" s="6">
        <v>1</v>
      </c>
      <c r="F23" s="5">
        <v>10.52</v>
      </c>
      <c r="G23" s="7">
        <f t="shared" si="1"/>
        <v>183.59383962203529</v>
      </c>
      <c r="H23" s="7">
        <v>0.7</v>
      </c>
      <c r="I23" s="5">
        <v>1.95</v>
      </c>
      <c r="J23" s="7">
        <f t="shared" si="2"/>
        <v>61.258935071009347</v>
      </c>
      <c r="K23" s="9">
        <v>0</v>
      </c>
      <c r="L23" s="5">
        <v>1.18</v>
      </c>
      <c r="M23" s="7">
        <f t="shared" si="3"/>
        <v>16.72505925375436</v>
      </c>
      <c r="N23" s="9">
        <v>4.5</v>
      </c>
      <c r="O23" s="5">
        <v>2.17</v>
      </c>
      <c r="P23" s="7">
        <f t="shared" si="4"/>
        <v>83.610844333602998</v>
      </c>
      <c r="Q23" s="9">
        <v>0</v>
      </c>
      <c r="R23" s="5">
        <v>1.26</v>
      </c>
      <c r="S23" s="7">
        <f t="shared" si="5"/>
        <v>15.600273927987743</v>
      </c>
      <c r="T23" s="9">
        <v>2.2999999999999998</v>
      </c>
    </row>
    <row r="24" spans="1:20" x14ac:dyDescent="0.3">
      <c r="A24" s="1">
        <v>45985.833334374998</v>
      </c>
      <c r="B24" s="5">
        <v>2</v>
      </c>
      <c r="C24" s="5">
        <v>2.54</v>
      </c>
      <c r="D24" s="6">
        <f t="shared" si="0"/>
        <v>174.25024764006761</v>
      </c>
      <c r="E24" s="6">
        <v>0</v>
      </c>
      <c r="F24" s="5">
        <v>10.72</v>
      </c>
      <c r="G24" s="7">
        <f t="shared" si="1"/>
        <v>203.45716104590667</v>
      </c>
      <c r="H24" s="7">
        <v>0</v>
      </c>
      <c r="I24" s="5">
        <v>1.96</v>
      </c>
      <c r="J24" s="7">
        <f t="shared" si="2"/>
        <v>62.517416792361395</v>
      </c>
      <c r="K24" s="9">
        <v>0</v>
      </c>
      <c r="L24" s="5">
        <v>1.18</v>
      </c>
      <c r="M24" s="7">
        <f t="shared" si="3"/>
        <v>16.72505925375436</v>
      </c>
      <c r="N24" s="9">
        <v>0.8</v>
      </c>
      <c r="O24" s="5">
        <v>1.91</v>
      </c>
      <c r="P24" s="7">
        <f t="shared" si="4"/>
        <v>70.075080126467739</v>
      </c>
      <c r="Q24" s="9">
        <v>0</v>
      </c>
      <c r="R24" s="5">
        <v>1.3</v>
      </c>
      <c r="S24" s="7">
        <f t="shared" si="5"/>
        <v>16.64614810905373</v>
      </c>
      <c r="T24" s="9">
        <v>3.3</v>
      </c>
    </row>
    <row r="25" spans="1:20" x14ac:dyDescent="0.3">
      <c r="A25" s="1">
        <v>45985.875001099535</v>
      </c>
      <c r="B25" s="5">
        <v>1.7</v>
      </c>
      <c r="C25" s="5">
        <v>2.56</v>
      </c>
      <c r="D25" s="6">
        <f t="shared" si="0"/>
        <v>176.10645124432691</v>
      </c>
      <c r="E25" s="6">
        <v>0</v>
      </c>
      <c r="F25" s="5">
        <v>11.07</v>
      </c>
      <c r="G25" s="7">
        <f t="shared" si="1"/>
        <v>239.90463070876561</v>
      </c>
      <c r="H25" s="7">
        <v>0</v>
      </c>
      <c r="I25" s="5">
        <v>1.9</v>
      </c>
      <c r="J25" s="7">
        <f t="shared" si="2"/>
        <v>55.229292559593233</v>
      </c>
      <c r="K25" s="9">
        <v>0</v>
      </c>
      <c r="L25" s="5">
        <v>1.21</v>
      </c>
      <c r="M25" s="7">
        <f t="shared" si="3"/>
        <v>17.592745950605821</v>
      </c>
      <c r="N25" s="9">
        <v>0</v>
      </c>
      <c r="O25" s="5">
        <v>1.69</v>
      </c>
      <c r="P25" s="7">
        <f t="shared" si="4"/>
        <v>59.15878573133196</v>
      </c>
      <c r="Q25" s="9">
        <v>0</v>
      </c>
      <c r="R25" s="5">
        <v>1.37</v>
      </c>
      <c r="S25" s="7">
        <f t="shared" si="5"/>
        <v>18.58476332772932</v>
      </c>
      <c r="T25" s="9">
        <v>0</v>
      </c>
    </row>
    <row r="26" spans="1:20" x14ac:dyDescent="0.3">
      <c r="A26" s="1">
        <v>45985.916667824073</v>
      </c>
      <c r="B26" s="5">
        <v>1.7</v>
      </c>
      <c r="C26" s="5">
        <v>2.63</v>
      </c>
      <c r="D26" s="6">
        <f t="shared" si="0"/>
        <v>182.66386787651069</v>
      </c>
      <c r="E26" s="6">
        <v>0</v>
      </c>
      <c r="F26" s="5">
        <v>11.31</v>
      </c>
      <c r="G26" s="7">
        <f t="shared" si="1"/>
        <v>266.09302602684727</v>
      </c>
      <c r="H26" s="7">
        <v>0</v>
      </c>
      <c r="I26" s="5">
        <v>1.9</v>
      </c>
      <c r="J26" s="7">
        <f t="shared" si="2"/>
        <v>55.229292559593233</v>
      </c>
      <c r="K26" s="9">
        <v>0</v>
      </c>
      <c r="L26" s="5">
        <v>1.25</v>
      </c>
      <c r="M26" s="7">
        <f t="shared" si="3"/>
        <v>18.780866505536594</v>
      </c>
      <c r="N26" s="9">
        <v>0</v>
      </c>
      <c r="O26" s="5">
        <v>1.51</v>
      </c>
      <c r="P26" s="7">
        <f t="shared" si="4"/>
        <v>50.621840264096839</v>
      </c>
      <c r="Q26" s="9">
        <v>1.1000000000000001</v>
      </c>
      <c r="R26" s="5">
        <v>1.38</v>
      </c>
      <c r="S26" s="7">
        <f t="shared" si="5"/>
        <v>18.87318450958804</v>
      </c>
      <c r="T26" s="9">
        <v>0</v>
      </c>
    </row>
    <row r="27" spans="1:20" x14ac:dyDescent="0.3">
      <c r="A27" s="1">
        <v>45985.95833454861</v>
      </c>
      <c r="B27" s="5">
        <v>1.9</v>
      </c>
      <c r="C27" s="5">
        <v>2.71</v>
      </c>
      <c r="D27" s="6">
        <f t="shared" si="0"/>
        <v>190.27295944361128</v>
      </c>
      <c r="E27" s="6">
        <v>0</v>
      </c>
      <c r="F27" s="5">
        <v>11.43</v>
      </c>
      <c r="G27" s="7">
        <f t="shared" si="1"/>
        <v>279.5409182685533</v>
      </c>
      <c r="H27" s="7">
        <v>0</v>
      </c>
      <c r="I27" s="5">
        <v>1.88</v>
      </c>
      <c r="J27" s="7">
        <f t="shared" si="2"/>
        <v>52.937448838920183</v>
      </c>
      <c r="K27" s="9">
        <v>0</v>
      </c>
      <c r="L27" s="5">
        <v>1.29</v>
      </c>
      <c r="M27" s="7">
        <f t="shared" si="3"/>
        <v>20.004472465838667</v>
      </c>
      <c r="N27" s="9">
        <v>1.1000000000000001</v>
      </c>
      <c r="O27" s="5">
        <v>1.36</v>
      </c>
      <c r="P27" s="7">
        <f t="shared" si="4"/>
        <v>43.798654671123899</v>
      </c>
      <c r="Q27" s="9">
        <v>0.2</v>
      </c>
      <c r="R27" s="5">
        <v>1.36</v>
      </c>
      <c r="S27" s="7">
        <f t="shared" si="5"/>
        <v>18.299238706821864</v>
      </c>
      <c r="T27" s="9">
        <v>0</v>
      </c>
    </row>
    <row r="28" spans="1:20" x14ac:dyDescent="0.3">
      <c r="A28" s="1">
        <v>45986.000001273147</v>
      </c>
      <c r="B28" s="5">
        <v>1.9</v>
      </c>
      <c r="C28" s="5">
        <v>2.8</v>
      </c>
      <c r="D28" s="6">
        <f t="shared" si="0"/>
        <v>198.97841560222543</v>
      </c>
      <c r="E28" s="6">
        <v>0</v>
      </c>
      <c r="F28" s="5">
        <v>11.45</v>
      </c>
      <c r="G28" s="7">
        <f t="shared" si="1"/>
        <v>281.80479993624766</v>
      </c>
      <c r="H28" s="7">
        <v>0</v>
      </c>
      <c r="I28" s="5">
        <v>1.8</v>
      </c>
      <c r="J28" s="7">
        <f t="shared" si="2"/>
        <v>44.428086891605425</v>
      </c>
      <c r="K28" s="9">
        <v>0</v>
      </c>
      <c r="L28" s="5">
        <v>1.34</v>
      </c>
      <c r="M28" s="7">
        <f t="shared" si="3"/>
        <v>21.583597984553961</v>
      </c>
      <c r="N28" s="9">
        <v>0</v>
      </c>
      <c r="O28" s="5">
        <v>1.26</v>
      </c>
      <c r="P28" s="7">
        <f t="shared" si="4"/>
        <v>39.406003334680214</v>
      </c>
      <c r="Q28" s="9">
        <v>0</v>
      </c>
      <c r="R28" s="5">
        <v>1.38</v>
      </c>
      <c r="S28" s="7">
        <f t="shared" si="5"/>
        <v>18.87318450958804</v>
      </c>
      <c r="T28" s="9">
        <v>0</v>
      </c>
    </row>
    <row r="29" spans="1:20" x14ac:dyDescent="0.3">
      <c r="A29" s="1">
        <v>45986.041667997684</v>
      </c>
      <c r="B29" s="5">
        <v>2</v>
      </c>
      <c r="C29" s="5">
        <v>2.93</v>
      </c>
      <c r="D29" s="6">
        <f t="shared" si="0"/>
        <v>211.82157701793605</v>
      </c>
      <c r="E29" s="6">
        <v>0</v>
      </c>
      <c r="F29" s="5">
        <v>11.4</v>
      </c>
      <c r="G29" s="7">
        <f t="shared" si="1"/>
        <v>276.15714084912304</v>
      </c>
      <c r="H29" s="7">
        <v>0</v>
      </c>
      <c r="I29" s="5">
        <v>1.8</v>
      </c>
      <c r="J29" s="7">
        <f t="shared" si="2"/>
        <v>44.428086891605425</v>
      </c>
      <c r="K29" s="9">
        <v>0</v>
      </c>
      <c r="L29" s="5">
        <v>1.39</v>
      </c>
      <c r="M29" s="7">
        <f t="shared" si="3"/>
        <v>23.217530121143326</v>
      </c>
      <c r="N29" s="9">
        <v>0</v>
      </c>
      <c r="O29" s="5">
        <v>1.18</v>
      </c>
      <c r="P29" s="7">
        <f t="shared" si="4"/>
        <v>35.986528284232129</v>
      </c>
      <c r="Q29" s="9">
        <v>0</v>
      </c>
      <c r="R29" s="5">
        <v>1.37</v>
      </c>
      <c r="S29" s="7">
        <f t="shared" si="5"/>
        <v>18.58476332772932</v>
      </c>
      <c r="T29" s="9">
        <v>0</v>
      </c>
    </row>
    <row r="30" spans="1:20" x14ac:dyDescent="0.3">
      <c r="A30" s="1">
        <v>45986.083334722221</v>
      </c>
      <c r="B30" s="5">
        <v>2.1</v>
      </c>
      <c r="C30" s="5">
        <v>3.05</v>
      </c>
      <c r="D30" s="6">
        <f t="shared" si="0"/>
        <v>223.9553066816969</v>
      </c>
      <c r="E30" s="6">
        <v>0</v>
      </c>
      <c r="F30" s="5">
        <v>11.31</v>
      </c>
      <c r="G30" s="7">
        <f t="shared" si="1"/>
        <v>266.09302602684727</v>
      </c>
      <c r="H30" s="7">
        <v>0</v>
      </c>
      <c r="I30" s="5">
        <v>1.8</v>
      </c>
      <c r="J30" s="7">
        <f t="shared" si="2"/>
        <v>44.428086891605425</v>
      </c>
      <c r="K30" s="9">
        <v>0</v>
      </c>
      <c r="L30" s="5">
        <v>1.36</v>
      </c>
      <c r="M30" s="7">
        <f t="shared" si="3"/>
        <v>22.230613018895308</v>
      </c>
      <c r="N30" s="9">
        <v>0</v>
      </c>
      <c r="O30" s="5">
        <v>1.1499999999999999</v>
      </c>
      <c r="P30" s="7">
        <f t="shared" si="4"/>
        <v>34.726682861038668</v>
      </c>
      <c r="Q30" s="9">
        <v>0</v>
      </c>
      <c r="R30" s="5">
        <v>1.4</v>
      </c>
      <c r="S30" s="7">
        <f t="shared" si="5"/>
        <v>19.458771519648565</v>
      </c>
      <c r="T30" s="9">
        <v>0</v>
      </c>
    </row>
    <row r="31" spans="1:20" x14ac:dyDescent="0.3">
      <c r="A31" s="1">
        <v>45986.125001446759</v>
      </c>
      <c r="B31" s="5">
        <v>2.5</v>
      </c>
      <c r="C31" s="5">
        <v>3.12</v>
      </c>
      <c r="D31" s="6">
        <f t="shared" si="0"/>
        <v>231.15547902418629</v>
      </c>
      <c r="E31" s="6">
        <v>0</v>
      </c>
      <c r="F31" s="5">
        <v>11.22</v>
      </c>
      <c r="G31" s="7">
        <f t="shared" si="1"/>
        <v>256.16087145183548</v>
      </c>
      <c r="H31" s="7">
        <v>0</v>
      </c>
      <c r="I31" s="5">
        <v>1.7</v>
      </c>
      <c r="J31" s="7">
        <f t="shared" si="2"/>
        <v>35.189526648238292</v>
      </c>
      <c r="K31" s="9">
        <v>0</v>
      </c>
      <c r="L31" s="5">
        <v>1.32</v>
      </c>
      <c r="M31" s="7">
        <f t="shared" si="3"/>
        <v>20.945351831633381</v>
      </c>
      <c r="N31" s="9">
        <v>0</v>
      </c>
      <c r="O31" s="5">
        <v>1.1200000000000001</v>
      </c>
      <c r="P31" s="7">
        <f t="shared" si="4"/>
        <v>33.479389438670509</v>
      </c>
      <c r="Q31" s="9">
        <v>0</v>
      </c>
      <c r="R31" s="5">
        <v>1.45</v>
      </c>
      <c r="S31" s="7">
        <f t="shared" si="5"/>
        <v>20.974389865308012</v>
      </c>
      <c r="T31" s="9">
        <v>0</v>
      </c>
    </row>
    <row r="32" spans="1:20" x14ac:dyDescent="0.3">
      <c r="A32" s="1">
        <v>45986.166668171296</v>
      </c>
      <c r="B32" s="5">
        <v>2.7</v>
      </c>
      <c r="C32" s="5">
        <v>3.14</v>
      </c>
      <c r="D32" s="6">
        <f t="shared" si="0"/>
        <v>233.22909215584443</v>
      </c>
      <c r="E32" s="6">
        <v>0</v>
      </c>
      <c r="F32" s="5">
        <v>11.13</v>
      </c>
      <c r="G32" s="7">
        <f t="shared" si="1"/>
        <v>246.36217933392831</v>
      </c>
      <c r="H32" s="7">
        <v>0</v>
      </c>
      <c r="I32" s="5">
        <v>1.89</v>
      </c>
      <c r="J32" s="7">
        <f t="shared" si="2"/>
        <v>54.074937764704792</v>
      </c>
      <c r="K32" s="9">
        <v>0</v>
      </c>
      <c r="L32" s="5">
        <v>1.28</v>
      </c>
      <c r="M32" s="7">
        <f t="shared" si="3"/>
        <v>19.695254537910998</v>
      </c>
      <c r="N32" s="9">
        <v>0</v>
      </c>
      <c r="O32" s="5">
        <v>1.0900000000000001</v>
      </c>
      <c r="P32" s="7">
        <f t="shared" si="4"/>
        <v>32.244854179550821</v>
      </c>
      <c r="Q32" s="9">
        <v>0</v>
      </c>
      <c r="R32" s="5">
        <v>1.46</v>
      </c>
      <c r="S32" s="7">
        <f t="shared" si="5"/>
        <v>21.286477595600353</v>
      </c>
      <c r="T32" s="9">
        <v>0</v>
      </c>
    </row>
    <row r="33" spans="1:20" x14ac:dyDescent="0.3">
      <c r="A33" s="1">
        <v>45986.208334895833</v>
      </c>
      <c r="B33" s="5">
        <v>2.9</v>
      </c>
      <c r="C33" s="5">
        <v>3.14</v>
      </c>
      <c r="D33" s="6">
        <f t="shared" si="0"/>
        <v>233.22909215584443</v>
      </c>
      <c r="E33" s="6">
        <v>0</v>
      </c>
      <c r="F33" s="5">
        <v>11.01</v>
      </c>
      <c r="G33" s="7">
        <f t="shared" si="1"/>
        <v>233.50756607986841</v>
      </c>
      <c r="H33" s="7">
        <v>0</v>
      </c>
      <c r="I33" s="5">
        <v>1.83</v>
      </c>
      <c r="J33" s="7">
        <f t="shared" si="2"/>
        <v>47.498137645475794</v>
      </c>
      <c r="K33" s="9">
        <v>0</v>
      </c>
      <c r="L33" s="5">
        <v>1.25</v>
      </c>
      <c r="M33" s="7">
        <f t="shared" si="3"/>
        <v>18.780866505536594</v>
      </c>
      <c r="N33" s="9">
        <v>0</v>
      </c>
      <c r="O33" s="5">
        <v>1.06</v>
      </c>
      <c r="P33" s="7">
        <f t="shared" si="4"/>
        <v>31.023292372035812</v>
      </c>
      <c r="Q33" s="9">
        <v>0</v>
      </c>
      <c r="R33" s="5">
        <v>1.41</v>
      </c>
      <c r="S33" s="7">
        <f t="shared" si="5"/>
        <v>19.755964809089757</v>
      </c>
      <c r="T33" s="9">
        <v>0</v>
      </c>
    </row>
    <row r="34" spans="1:20" x14ac:dyDescent="0.3">
      <c r="A34" s="1">
        <v>45986.25000162037</v>
      </c>
      <c r="B34" s="5">
        <v>2.8</v>
      </c>
      <c r="C34" s="5">
        <v>3.11</v>
      </c>
      <c r="D34" s="6">
        <f t="shared" si="0"/>
        <v>230.12140403646097</v>
      </c>
      <c r="E34" s="6">
        <v>0</v>
      </c>
      <c r="F34" s="5">
        <v>10.92</v>
      </c>
      <c r="G34" s="7">
        <f t="shared" si="1"/>
        <v>224.02644838435063</v>
      </c>
      <c r="H34" s="7">
        <v>0</v>
      </c>
      <c r="I34" s="5">
        <v>1.83</v>
      </c>
      <c r="J34" s="7">
        <f t="shared" si="2"/>
        <v>47.498137645475794</v>
      </c>
      <c r="K34" s="9">
        <v>0</v>
      </c>
      <c r="L34" s="5">
        <v>1.2</v>
      </c>
      <c r="M34" s="7">
        <f t="shared" si="3"/>
        <v>17.30128296905302</v>
      </c>
      <c r="N34" s="9">
        <v>0</v>
      </c>
      <c r="O34" s="5">
        <v>0.99</v>
      </c>
      <c r="P34" s="7">
        <f t="shared" si="4"/>
        <v>28.224718014987882</v>
      </c>
      <c r="Q34" s="9">
        <v>0</v>
      </c>
      <c r="R34" s="5">
        <v>1.37</v>
      </c>
      <c r="S34" s="7">
        <f t="shared" si="5"/>
        <v>18.58476332772932</v>
      </c>
      <c r="T34" s="9">
        <v>0</v>
      </c>
    </row>
    <row r="35" spans="1:20" x14ac:dyDescent="0.3">
      <c r="A35" s="1">
        <v>45986.291668344908</v>
      </c>
      <c r="B35" s="5">
        <v>2.6</v>
      </c>
      <c r="C35" s="5">
        <v>3.04</v>
      </c>
      <c r="D35" s="6">
        <f t="shared" si="0"/>
        <v>222.93403240388417</v>
      </c>
      <c r="E35" s="6">
        <v>0</v>
      </c>
      <c r="F35" s="5">
        <v>10.84</v>
      </c>
      <c r="G35" s="7">
        <f t="shared" si="1"/>
        <v>215.71533565138336</v>
      </c>
      <c r="H35" s="7">
        <v>0</v>
      </c>
      <c r="I35" s="5">
        <v>1.8</v>
      </c>
      <c r="J35" s="7">
        <f t="shared" si="2"/>
        <v>44.428086891605425</v>
      </c>
      <c r="K35" s="9">
        <v>0</v>
      </c>
      <c r="L35" s="5">
        <v>1.1000000000000001</v>
      </c>
      <c r="M35" s="7">
        <f t="shared" si="3"/>
        <v>14.51</v>
      </c>
      <c r="N35" s="9">
        <v>0</v>
      </c>
      <c r="O35" s="5">
        <v>0.98</v>
      </c>
      <c r="P35" s="7">
        <f t="shared" si="4"/>
        <v>27.830965500799426</v>
      </c>
      <c r="Q35" s="9">
        <v>0</v>
      </c>
      <c r="R35" s="5">
        <v>1.35</v>
      </c>
      <c r="S35" s="7">
        <f t="shared" si="5"/>
        <v>18.016596895667625</v>
      </c>
      <c r="T35" s="9">
        <v>2.1</v>
      </c>
    </row>
    <row r="36" spans="1:20" x14ac:dyDescent="0.3">
      <c r="A36" s="1">
        <v>45986.333335069445</v>
      </c>
      <c r="B36" s="5">
        <v>2.1</v>
      </c>
      <c r="C36" s="5">
        <v>2.95</v>
      </c>
      <c r="D36" s="6">
        <f t="shared" si="0"/>
        <v>213.8253919838958</v>
      </c>
      <c r="E36" s="6">
        <v>0</v>
      </c>
      <c r="F36" s="5">
        <v>10.75</v>
      </c>
      <c r="G36" s="7">
        <f t="shared" si="1"/>
        <v>206.49805739861631</v>
      </c>
      <c r="H36" s="7">
        <v>0</v>
      </c>
      <c r="I36" s="5">
        <v>1.8</v>
      </c>
      <c r="J36" s="7">
        <f t="shared" si="2"/>
        <v>44.428086891605425</v>
      </c>
      <c r="K36" s="9">
        <v>0</v>
      </c>
      <c r="L36" s="5">
        <v>1.06</v>
      </c>
      <c r="M36" s="7">
        <f t="shared" si="3"/>
        <v>13.456747660097134</v>
      </c>
      <c r="N36" s="9">
        <v>0</v>
      </c>
      <c r="O36" s="5">
        <v>0.94</v>
      </c>
      <c r="P36" s="7">
        <f t="shared" si="4"/>
        <v>26.271444542051679</v>
      </c>
      <c r="Q36" s="9">
        <v>0.5</v>
      </c>
      <c r="R36" s="5">
        <v>1.32</v>
      </c>
      <c r="S36" s="7">
        <f t="shared" si="5"/>
        <v>17.185830683644909</v>
      </c>
      <c r="T36" s="9">
        <v>1.1000000000000001</v>
      </c>
    </row>
    <row r="37" spans="1:20" x14ac:dyDescent="0.3">
      <c r="A37" s="1">
        <v>45986.375001793982</v>
      </c>
      <c r="B37" s="5">
        <v>1.7</v>
      </c>
      <c r="C37" s="5">
        <v>2.89</v>
      </c>
      <c r="D37" s="6">
        <f t="shared" si="0"/>
        <v>207.83623382374043</v>
      </c>
      <c r="E37" s="6">
        <v>0</v>
      </c>
      <c r="F37" s="5">
        <v>10.68</v>
      </c>
      <c r="G37" s="7">
        <f t="shared" si="1"/>
        <v>199.42734801195471</v>
      </c>
      <c r="H37" s="7">
        <v>0</v>
      </c>
      <c r="I37" s="5">
        <v>1.8</v>
      </c>
      <c r="J37" s="7">
        <f t="shared" si="2"/>
        <v>44.428086891605425</v>
      </c>
      <c r="K37" s="9">
        <v>0</v>
      </c>
      <c r="L37" s="5">
        <v>1.04</v>
      </c>
      <c r="M37" s="7">
        <f t="shared" si="3"/>
        <v>12.943789160996259</v>
      </c>
      <c r="N37" s="9">
        <v>0</v>
      </c>
      <c r="O37" s="5">
        <v>0.96</v>
      </c>
      <c r="P37" s="7">
        <f t="shared" si="4"/>
        <v>27.048087438362153</v>
      </c>
      <c r="Q37" s="9">
        <v>0</v>
      </c>
      <c r="R37" s="5">
        <v>1.31</v>
      </c>
      <c r="S37" s="7">
        <f t="shared" si="5"/>
        <v>16.914582432371613</v>
      </c>
      <c r="T37" s="9">
        <v>0</v>
      </c>
    </row>
    <row r="38" spans="1:20" x14ac:dyDescent="0.3">
      <c r="A38" s="1">
        <v>45986.416668518519</v>
      </c>
      <c r="B38" s="5">
        <v>1.6</v>
      </c>
      <c r="C38" s="5">
        <v>2.82</v>
      </c>
      <c r="D38" s="6">
        <f t="shared" si="0"/>
        <v>200.93370308379045</v>
      </c>
      <c r="E38" s="6">
        <v>0</v>
      </c>
      <c r="F38" s="5">
        <v>10.64</v>
      </c>
      <c r="G38" s="7">
        <f t="shared" si="1"/>
        <v>195.42593587530968</v>
      </c>
      <c r="H38" s="7">
        <v>0</v>
      </c>
      <c r="I38" s="5">
        <v>1.8</v>
      </c>
      <c r="J38" s="7">
        <f t="shared" si="2"/>
        <v>44.428086891605425</v>
      </c>
      <c r="K38" s="9">
        <v>0</v>
      </c>
      <c r="L38" s="5">
        <v>1.04</v>
      </c>
      <c r="M38" s="7">
        <f t="shared" si="3"/>
        <v>12.943789160996259</v>
      </c>
      <c r="N38" s="9">
        <v>0</v>
      </c>
      <c r="O38" s="5">
        <v>0.88</v>
      </c>
      <c r="P38" s="7">
        <f t="shared" si="4"/>
        <v>23.979755525950928</v>
      </c>
      <c r="Q38" s="9">
        <v>0</v>
      </c>
      <c r="R38" s="5">
        <v>1.3</v>
      </c>
      <c r="S38" s="7">
        <f t="shared" si="5"/>
        <v>16.64614810905373</v>
      </c>
      <c r="T38" s="9">
        <v>0</v>
      </c>
    </row>
    <row r="39" spans="1:20" x14ac:dyDescent="0.3">
      <c r="A39" s="1">
        <v>45986.458335243056</v>
      </c>
      <c r="B39" s="5">
        <v>1.5</v>
      </c>
      <c r="C39" s="5">
        <v>2.75</v>
      </c>
      <c r="D39" s="6">
        <f t="shared" si="0"/>
        <v>194.12314842515858</v>
      </c>
      <c r="E39" s="6">
        <v>0</v>
      </c>
      <c r="F39" s="5">
        <v>10.6</v>
      </c>
      <c r="G39" s="7">
        <f t="shared" si="1"/>
        <v>191.45309642743908</v>
      </c>
      <c r="H39" s="7">
        <v>0</v>
      </c>
      <c r="I39" s="5">
        <v>1.76</v>
      </c>
      <c r="J39" s="7">
        <f t="shared" si="2"/>
        <v>40.552791667203564</v>
      </c>
      <c r="K39" s="9">
        <v>0.5</v>
      </c>
      <c r="L39" s="5">
        <v>1.04</v>
      </c>
      <c r="M39" s="7">
        <f t="shared" si="3"/>
        <v>12.943789160996259</v>
      </c>
      <c r="N39" s="9">
        <v>0</v>
      </c>
      <c r="O39" s="5">
        <v>0.9</v>
      </c>
      <c r="P39" s="7">
        <f t="shared" si="4"/>
        <v>24.737192802536985</v>
      </c>
      <c r="Q39" s="9">
        <v>0</v>
      </c>
      <c r="R39" s="5">
        <v>1.28</v>
      </c>
      <c r="S39" s="7">
        <f t="shared" si="5"/>
        <v>16.117666030136917</v>
      </c>
      <c r="T39" s="9">
        <v>1.7</v>
      </c>
    </row>
    <row r="40" spans="1:20" x14ac:dyDescent="0.3">
      <c r="A40" s="1">
        <v>45986.500001967594</v>
      </c>
      <c r="B40" s="5">
        <v>1.6</v>
      </c>
      <c r="C40" s="5">
        <v>2.69</v>
      </c>
      <c r="D40" s="6">
        <f t="shared" si="0"/>
        <v>188.35925104622231</v>
      </c>
      <c r="E40" s="6">
        <v>0</v>
      </c>
      <c r="F40" s="5">
        <v>10.55</v>
      </c>
      <c r="G40" s="7">
        <f t="shared" si="1"/>
        <v>186.52749460510881</v>
      </c>
      <c r="H40" s="7">
        <v>0.4</v>
      </c>
      <c r="I40" s="5">
        <v>1.76</v>
      </c>
      <c r="J40" s="7">
        <f t="shared" si="2"/>
        <v>40.552791667203564</v>
      </c>
      <c r="K40" s="9">
        <v>1</v>
      </c>
      <c r="L40" s="5">
        <v>1.01</v>
      </c>
      <c r="M40" s="7">
        <f t="shared" si="3"/>
        <v>12.191519079560472</v>
      </c>
      <c r="N40" s="9">
        <v>0.3</v>
      </c>
      <c r="O40" s="5">
        <v>0.84</v>
      </c>
      <c r="P40" s="7">
        <f t="shared" si="4"/>
        <v>22.484710772239122</v>
      </c>
      <c r="Q40" s="9">
        <v>0.6</v>
      </c>
      <c r="R40" s="5">
        <v>1.23</v>
      </c>
      <c r="S40" s="7">
        <f t="shared" si="5"/>
        <v>14.844737376632303</v>
      </c>
      <c r="T40" s="9">
        <v>0.9</v>
      </c>
    </row>
    <row r="41" spans="1:20" x14ac:dyDescent="0.3">
      <c r="A41" s="1">
        <v>45986.541668692131</v>
      </c>
      <c r="B41" s="5">
        <v>1.8</v>
      </c>
      <c r="C41" s="5">
        <v>2.63</v>
      </c>
      <c r="D41" s="6">
        <f t="shared" si="0"/>
        <v>182.66386787651069</v>
      </c>
      <c r="E41" s="6">
        <v>0</v>
      </c>
      <c r="F41" s="5">
        <v>10.5</v>
      </c>
      <c r="G41" s="7">
        <f t="shared" si="1"/>
        <v>181.64716122819658</v>
      </c>
      <c r="H41" s="7">
        <v>0</v>
      </c>
      <c r="I41" s="5">
        <v>1.75</v>
      </c>
      <c r="J41" s="7">
        <f t="shared" si="2"/>
        <v>39.622005872567456</v>
      </c>
      <c r="K41" s="9">
        <v>0</v>
      </c>
      <c r="L41" s="5">
        <v>1</v>
      </c>
      <c r="M41" s="7">
        <f t="shared" si="3"/>
        <v>11.945355658280643</v>
      </c>
      <c r="N41" s="9">
        <v>0.6</v>
      </c>
      <c r="O41" s="5">
        <v>0.81</v>
      </c>
      <c r="P41" s="7">
        <f t="shared" si="4"/>
        <v>21.381156804678113</v>
      </c>
      <c r="Q41" s="9">
        <v>0</v>
      </c>
      <c r="R41" s="5">
        <v>1.21</v>
      </c>
      <c r="S41" s="7">
        <f t="shared" si="5"/>
        <v>14.354585774413879</v>
      </c>
      <c r="T41" s="9">
        <v>0</v>
      </c>
    </row>
    <row r="42" spans="1:20" x14ac:dyDescent="0.3">
      <c r="A42" s="1">
        <v>45986.583335416668</v>
      </c>
      <c r="B42" s="5">
        <v>2</v>
      </c>
      <c r="C42" s="5">
        <v>2.58</v>
      </c>
      <c r="D42" s="6">
        <f t="shared" si="0"/>
        <v>177.97037772021852</v>
      </c>
      <c r="E42" s="6">
        <v>0</v>
      </c>
      <c r="F42" s="5">
        <v>10.46</v>
      </c>
      <c r="G42" s="7">
        <f t="shared" si="1"/>
        <v>177.77572842569842</v>
      </c>
      <c r="H42" s="7">
        <v>0</v>
      </c>
      <c r="I42" s="5">
        <v>1.58</v>
      </c>
      <c r="J42" s="7">
        <f t="shared" si="2"/>
        <v>25.975372938816697</v>
      </c>
      <c r="K42" s="9">
        <v>0</v>
      </c>
      <c r="L42" s="5">
        <v>1</v>
      </c>
      <c r="M42" s="7">
        <f t="shared" si="3"/>
        <v>11.945355658280643</v>
      </c>
      <c r="N42" s="9">
        <v>0</v>
      </c>
      <c r="O42" s="5">
        <v>0.85</v>
      </c>
      <c r="P42" s="7">
        <f t="shared" si="4"/>
        <v>22.855963763230644</v>
      </c>
      <c r="Q42" s="9">
        <v>0</v>
      </c>
      <c r="R42" s="5">
        <v>1.2</v>
      </c>
      <c r="S42" s="7">
        <f t="shared" si="5"/>
        <v>14.113530185490607</v>
      </c>
      <c r="T42" s="9">
        <v>0</v>
      </c>
    </row>
    <row r="43" spans="1:20" x14ac:dyDescent="0.3">
      <c r="A43" s="1">
        <v>45986.625002141205</v>
      </c>
      <c r="B43" s="5">
        <v>2.1</v>
      </c>
      <c r="C43" s="5">
        <v>2.52</v>
      </c>
      <c r="D43" s="6">
        <f t="shared" si="0"/>
        <v>172.4017844243983</v>
      </c>
      <c r="E43" s="6">
        <v>0</v>
      </c>
      <c r="F43" s="5">
        <v>10.41</v>
      </c>
      <c r="G43" s="7">
        <f t="shared" si="1"/>
        <v>172.97778787767226</v>
      </c>
      <c r="H43" s="7">
        <v>0</v>
      </c>
      <c r="I43" s="5">
        <v>1.7</v>
      </c>
      <c r="J43" s="7">
        <f t="shared" si="2"/>
        <v>35.189526648238292</v>
      </c>
      <c r="K43" s="9">
        <v>0</v>
      </c>
      <c r="L43" s="5">
        <v>0.99</v>
      </c>
      <c r="M43" s="7">
        <f t="shared" si="3"/>
        <v>11.701495358873233</v>
      </c>
      <c r="N43" s="9">
        <v>0</v>
      </c>
      <c r="O43" s="5">
        <v>0.86</v>
      </c>
      <c r="P43" s="7">
        <f t="shared" si="4"/>
        <v>23.228896892293509</v>
      </c>
      <c r="Q43" s="9">
        <v>0</v>
      </c>
      <c r="R43" s="5">
        <v>1.18</v>
      </c>
      <c r="S43" s="7">
        <f t="shared" si="5"/>
        <v>13.639389978644896</v>
      </c>
      <c r="T43" s="9">
        <v>0</v>
      </c>
    </row>
    <row r="44" spans="1:20" x14ac:dyDescent="0.3">
      <c r="A44" s="1">
        <v>45986.666668865742</v>
      </c>
      <c r="B44" s="5">
        <v>2.2999999999999998</v>
      </c>
      <c r="C44" s="5">
        <v>2.4900000000000002</v>
      </c>
      <c r="D44" s="6">
        <f t="shared" si="0"/>
        <v>169.64364152617736</v>
      </c>
      <c r="E44" s="6">
        <v>0</v>
      </c>
      <c r="F44" s="5">
        <v>10.37</v>
      </c>
      <c r="G44" s="7">
        <f t="shared" si="1"/>
        <v>169.17275001421865</v>
      </c>
      <c r="H44" s="7">
        <v>0</v>
      </c>
      <c r="I44" s="5">
        <v>1.72</v>
      </c>
      <c r="J44" s="7">
        <f t="shared" si="2"/>
        <v>36.918768535255168</v>
      </c>
      <c r="K44" s="9">
        <v>0</v>
      </c>
      <c r="L44" s="5">
        <v>0.99</v>
      </c>
      <c r="M44" s="7">
        <f t="shared" si="3"/>
        <v>11.701495358873233</v>
      </c>
      <c r="N44" s="9">
        <v>0</v>
      </c>
      <c r="O44" s="5">
        <v>0.83</v>
      </c>
      <c r="P44" s="7">
        <f t="shared" si="4"/>
        <v>22.115150216794209</v>
      </c>
      <c r="Q44" s="9">
        <v>0</v>
      </c>
      <c r="R44" s="5">
        <v>1.1599999999999999</v>
      </c>
      <c r="S44" s="7">
        <f t="shared" si="5"/>
        <v>13.175785021073656</v>
      </c>
      <c r="T44" s="9">
        <v>0</v>
      </c>
    </row>
    <row r="45" spans="1:20" x14ac:dyDescent="0.3">
      <c r="A45" s="1">
        <v>45986.70833559028</v>
      </c>
      <c r="B45" s="5">
        <v>2.2999999999999998</v>
      </c>
      <c r="C45" s="5">
        <v>2.42</v>
      </c>
      <c r="D45" s="6">
        <f t="shared" si="0"/>
        <v>163.27619814675629</v>
      </c>
      <c r="E45" s="6">
        <v>0</v>
      </c>
      <c r="F45" s="5">
        <v>10.33</v>
      </c>
      <c r="G45" s="7">
        <f t="shared" si="1"/>
        <v>165.3975379612103</v>
      </c>
      <c r="H45" s="7">
        <v>0</v>
      </c>
      <c r="I45" s="5">
        <v>1.85</v>
      </c>
      <c r="J45" s="7">
        <f t="shared" si="2"/>
        <v>49.624789002328875</v>
      </c>
      <c r="K45" s="9">
        <v>0.5</v>
      </c>
      <c r="L45" s="5">
        <v>0.99</v>
      </c>
      <c r="M45" s="7">
        <f t="shared" si="3"/>
        <v>11.701495358873233</v>
      </c>
      <c r="N45" s="9">
        <v>0</v>
      </c>
      <c r="O45" s="5">
        <v>0.85</v>
      </c>
      <c r="P45" s="7">
        <f t="shared" si="4"/>
        <v>22.855963763230644</v>
      </c>
      <c r="Q45" s="9">
        <v>0.5</v>
      </c>
      <c r="R45" s="5">
        <v>1.1399999999999999</v>
      </c>
      <c r="S45" s="7">
        <f t="shared" si="5"/>
        <v>12.722603927684492</v>
      </c>
      <c r="T45" s="9">
        <v>0</v>
      </c>
    </row>
    <row r="46" spans="1:20" x14ac:dyDescent="0.3">
      <c r="A46" s="1">
        <v>45986.750002314817</v>
      </c>
      <c r="B46" s="5">
        <v>2.2000000000000002</v>
      </c>
      <c r="C46" s="5">
        <v>2.38</v>
      </c>
      <c r="D46" s="6">
        <f t="shared" si="0"/>
        <v>159.68077705919112</v>
      </c>
      <c r="E46" s="6">
        <v>0.5</v>
      </c>
      <c r="F46" s="5">
        <v>10.3</v>
      </c>
      <c r="G46" s="7">
        <f t="shared" si="1"/>
        <v>162.58582283264622</v>
      </c>
      <c r="H46" s="7">
        <v>1.6</v>
      </c>
      <c r="I46" s="5">
        <v>1.78</v>
      </c>
      <c r="J46" s="7">
        <f t="shared" si="2"/>
        <v>42.459736684708091</v>
      </c>
      <c r="K46" s="9">
        <v>3</v>
      </c>
      <c r="L46" s="5">
        <v>0.99</v>
      </c>
      <c r="M46" s="7">
        <f t="shared" si="3"/>
        <v>11.701495358873233</v>
      </c>
      <c r="N46" s="9">
        <v>0</v>
      </c>
      <c r="O46" s="5">
        <v>0.85</v>
      </c>
      <c r="P46" s="7">
        <f t="shared" si="4"/>
        <v>22.855963763230644</v>
      </c>
      <c r="Q46" s="9">
        <v>2.7</v>
      </c>
      <c r="R46" s="5">
        <v>1.1399999999999999</v>
      </c>
      <c r="S46" s="7">
        <f t="shared" si="5"/>
        <v>12.722603927684492</v>
      </c>
      <c r="T46" s="9">
        <v>0</v>
      </c>
    </row>
    <row r="47" spans="1:20" x14ac:dyDescent="0.3">
      <c r="A47" s="1">
        <v>45986.791669039354</v>
      </c>
      <c r="B47" s="5">
        <v>2</v>
      </c>
      <c r="C47" s="5">
        <v>2.34</v>
      </c>
      <c r="D47" s="6">
        <f t="shared" si="0"/>
        <v>156.11690116469043</v>
      </c>
      <c r="E47" s="6">
        <v>0</v>
      </c>
      <c r="F47" s="5">
        <v>10.3</v>
      </c>
      <c r="G47" s="7">
        <f t="shared" si="1"/>
        <v>162.58582283264622</v>
      </c>
      <c r="H47" s="7">
        <v>0</v>
      </c>
      <c r="I47" s="5">
        <v>1.73</v>
      </c>
      <c r="J47" s="7">
        <f t="shared" si="2"/>
        <v>37.805129543416001</v>
      </c>
      <c r="K47" s="9">
        <v>0</v>
      </c>
      <c r="L47" s="5">
        <v>0.99</v>
      </c>
      <c r="M47" s="7">
        <f t="shared" si="3"/>
        <v>11.701495358873233</v>
      </c>
      <c r="N47" s="9">
        <v>0</v>
      </c>
      <c r="O47" s="5">
        <v>0.85</v>
      </c>
      <c r="P47" s="7">
        <f t="shared" si="4"/>
        <v>22.855963763230644</v>
      </c>
      <c r="Q47" s="9">
        <v>0</v>
      </c>
      <c r="R47" s="5">
        <v>1.1299999999999999</v>
      </c>
      <c r="S47" s="7">
        <f t="shared" si="5"/>
        <v>12.499887480960505</v>
      </c>
      <c r="T47" s="9">
        <v>0</v>
      </c>
    </row>
    <row r="48" spans="1:20" x14ac:dyDescent="0.3">
      <c r="A48" s="1">
        <v>45986.833335763891</v>
      </c>
      <c r="B48" s="5">
        <v>1.8</v>
      </c>
      <c r="C48" s="5">
        <v>2.29</v>
      </c>
      <c r="D48" s="6">
        <f t="shared" si="0"/>
        <v>151.70664949565614</v>
      </c>
      <c r="E48" s="6">
        <v>0</v>
      </c>
      <c r="F48" s="5">
        <v>10.25</v>
      </c>
      <c r="G48" s="7">
        <f t="shared" si="1"/>
        <v>157.93739947003712</v>
      </c>
      <c r="H48" s="7">
        <v>0</v>
      </c>
      <c r="I48" s="5">
        <v>1.89</v>
      </c>
      <c r="J48" s="7">
        <f t="shared" si="2"/>
        <v>54.074937764704792</v>
      </c>
      <c r="K48" s="9">
        <v>0</v>
      </c>
      <c r="L48" s="5">
        <v>0.98</v>
      </c>
      <c r="M48" s="7">
        <f t="shared" si="3"/>
        <v>11.459942147799874</v>
      </c>
      <c r="N48" s="9">
        <v>0</v>
      </c>
      <c r="O48" s="5">
        <v>0.83</v>
      </c>
      <c r="P48" s="7">
        <f t="shared" si="4"/>
        <v>22.115150216794209</v>
      </c>
      <c r="Q48" s="9">
        <v>0</v>
      </c>
      <c r="R48" s="5">
        <v>1.1299999999999999</v>
      </c>
      <c r="S48" s="7">
        <f t="shared" si="5"/>
        <v>12.499887480960505</v>
      </c>
      <c r="T48" s="9">
        <v>0</v>
      </c>
    </row>
    <row r="49" spans="1:20" x14ac:dyDescent="0.3">
      <c r="A49" s="1">
        <v>45986.875002488428</v>
      </c>
      <c r="B49" s="5">
        <v>1.6</v>
      </c>
      <c r="C49" s="5">
        <v>2.2599999999999998</v>
      </c>
      <c r="D49" s="6">
        <f t="shared" si="0"/>
        <v>149.0843982876942</v>
      </c>
      <c r="E49" s="6">
        <v>0</v>
      </c>
      <c r="F49" s="5">
        <v>10.210000000000001</v>
      </c>
      <c r="G49" s="7">
        <f t="shared" si="1"/>
        <v>154.25288821296914</v>
      </c>
      <c r="H49" s="7">
        <v>0</v>
      </c>
      <c r="I49" s="5">
        <v>1.89</v>
      </c>
      <c r="J49" s="7">
        <f t="shared" si="2"/>
        <v>54.074937764704792</v>
      </c>
      <c r="K49" s="9">
        <v>0</v>
      </c>
      <c r="L49" s="5">
        <v>0.98</v>
      </c>
      <c r="M49" s="7">
        <f t="shared" si="3"/>
        <v>11.459942147799874</v>
      </c>
      <c r="N49" s="9">
        <v>0</v>
      </c>
      <c r="O49" s="5">
        <v>0.82</v>
      </c>
      <c r="P49" s="7">
        <f t="shared" si="4"/>
        <v>21.747294633296558</v>
      </c>
      <c r="Q49" s="9">
        <v>0</v>
      </c>
      <c r="R49" s="5">
        <v>1.1100000000000001</v>
      </c>
      <c r="S49" s="7">
        <f t="shared" si="5"/>
        <v>12.062133005740378</v>
      </c>
      <c r="T49" s="9">
        <v>0</v>
      </c>
    </row>
    <row r="50" spans="1:20" x14ac:dyDescent="0.3">
      <c r="A50" s="1">
        <v>45986.916669212966</v>
      </c>
      <c r="B50" s="5">
        <v>1.6</v>
      </c>
      <c r="C50" s="5">
        <v>2.21</v>
      </c>
      <c r="D50" s="6">
        <f t="shared" si="0"/>
        <v>144.75402768885613</v>
      </c>
      <c r="E50" s="6">
        <v>0</v>
      </c>
      <c r="F50" s="5">
        <v>10.17</v>
      </c>
      <c r="G50" s="7">
        <f t="shared" si="1"/>
        <v>150.59903346252094</v>
      </c>
      <c r="H50" s="7">
        <v>0</v>
      </c>
      <c r="I50" s="5">
        <v>1.83</v>
      </c>
      <c r="J50" s="7">
        <f t="shared" si="2"/>
        <v>47.498137645475794</v>
      </c>
      <c r="K50" s="9">
        <v>0</v>
      </c>
      <c r="L50" s="5">
        <v>0.97</v>
      </c>
      <c r="M50" s="7">
        <f t="shared" si="3"/>
        <v>11.220700043291457</v>
      </c>
      <c r="N50" s="9">
        <v>0.8</v>
      </c>
      <c r="O50" s="5">
        <v>0.81</v>
      </c>
      <c r="P50" s="7">
        <f t="shared" si="4"/>
        <v>21.381156804678113</v>
      </c>
      <c r="Q50" s="9">
        <v>0</v>
      </c>
      <c r="R50" s="5">
        <v>1.1000000000000001</v>
      </c>
      <c r="S50" s="7">
        <f t="shared" si="5"/>
        <v>11.847067035611163</v>
      </c>
      <c r="T50" s="9">
        <v>0.6</v>
      </c>
    </row>
    <row r="51" spans="1:20" x14ac:dyDescent="0.3">
      <c r="A51" s="1">
        <v>45986.958335937503</v>
      </c>
      <c r="B51" s="5">
        <v>1.7</v>
      </c>
      <c r="C51" s="5">
        <v>2.1800000000000002</v>
      </c>
      <c r="D51" s="6">
        <f t="shared" si="0"/>
        <v>142.17994549591933</v>
      </c>
      <c r="E51" s="6">
        <v>0</v>
      </c>
      <c r="F51" s="5">
        <v>10.199999999999999</v>
      </c>
      <c r="G51" s="7">
        <f t="shared" si="1"/>
        <v>153.33654199062599</v>
      </c>
      <c r="H51" s="7">
        <v>0</v>
      </c>
      <c r="I51" s="5">
        <v>1.83</v>
      </c>
      <c r="J51" s="7">
        <f t="shared" si="2"/>
        <v>47.498137645475794</v>
      </c>
      <c r="K51" s="9">
        <v>0</v>
      </c>
      <c r="L51" s="5">
        <v>0.97</v>
      </c>
      <c r="M51" s="7">
        <f t="shared" si="3"/>
        <v>11.220700043291457</v>
      </c>
      <c r="N51" s="9">
        <v>0.8</v>
      </c>
      <c r="O51" s="5">
        <v>0.81</v>
      </c>
      <c r="P51" s="7">
        <f t="shared" si="4"/>
        <v>21.381156804678113</v>
      </c>
      <c r="Q51" s="9">
        <v>0</v>
      </c>
      <c r="R51" s="5">
        <v>1.1100000000000001</v>
      </c>
      <c r="S51" s="7">
        <f t="shared" si="5"/>
        <v>12.062133005740378</v>
      </c>
      <c r="T51" s="9">
        <v>2.1</v>
      </c>
    </row>
    <row r="52" spans="1:20" x14ac:dyDescent="0.3">
      <c r="A52" s="1">
        <v>45987.00000266204</v>
      </c>
      <c r="B52" s="5">
        <v>2</v>
      </c>
      <c r="C52" s="5">
        <v>2.15</v>
      </c>
      <c r="D52" s="6">
        <f t="shared" si="0"/>
        <v>139.62405335047532</v>
      </c>
      <c r="E52" s="6">
        <v>0</v>
      </c>
      <c r="F52" s="5">
        <v>10.210000000000001</v>
      </c>
      <c r="G52" s="7">
        <f t="shared" si="1"/>
        <v>154.25288821296914</v>
      </c>
      <c r="H52" s="7">
        <v>1</v>
      </c>
      <c r="I52" s="5">
        <v>1.53</v>
      </c>
      <c r="J52" s="7">
        <f t="shared" si="2"/>
        <v>22.688096017973614</v>
      </c>
      <c r="K52" s="9">
        <v>5</v>
      </c>
      <c r="L52" s="5">
        <v>0.97</v>
      </c>
      <c r="M52" s="7">
        <f t="shared" si="3"/>
        <v>11.220700043291457</v>
      </c>
      <c r="N52" s="9">
        <v>0.6</v>
      </c>
      <c r="O52" s="5">
        <v>0.8</v>
      </c>
      <c r="P52" s="7">
        <f t="shared" si="4"/>
        <v>21.016749768346781</v>
      </c>
      <c r="Q52" s="9">
        <v>1.6</v>
      </c>
      <c r="R52" s="5">
        <v>1.1200000000000001</v>
      </c>
      <c r="S52" s="7">
        <f t="shared" si="5"/>
        <v>12.279735162300968</v>
      </c>
      <c r="T52" s="9">
        <v>3.1</v>
      </c>
    </row>
    <row r="53" spans="1:20" x14ac:dyDescent="0.3">
      <c r="A53" s="1">
        <v>45987.041669386577</v>
      </c>
      <c r="B53" s="5">
        <v>2.2000000000000002</v>
      </c>
      <c r="C53" s="5">
        <v>2.11</v>
      </c>
      <c r="D53" s="6">
        <f t="shared" si="0"/>
        <v>136.24461511983895</v>
      </c>
      <c r="E53" s="6">
        <v>0</v>
      </c>
      <c r="F53" s="5">
        <v>10.210000000000001</v>
      </c>
      <c r="G53" s="7">
        <f t="shared" si="1"/>
        <v>154.25288821296914</v>
      </c>
      <c r="H53" s="7">
        <v>2.6</v>
      </c>
      <c r="I53" s="5">
        <v>1.59</v>
      </c>
      <c r="J53" s="7">
        <f t="shared" si="2"/>
        <v>26.670344717306079</v>
      </c>
      <c r="K53" s="9">
        <v>6.1</v>
      </c>
      <c r="L53" s="5">
        <v>0.96</v>
      </c>
      <c r="M53" s="7">
        <f t="shared" si="3"/>
        <v>10.98377311662381</v>
      </c>
      <c r="N53" s="9">
        <v>7.6</v>
      </c>
      <c r="O53" s="5">
        <v>0.81</v>
      </c>
      <c r="P53" s="7">
        <f t="shared" si="4"/>
        <v>21.381156804678113</v>
      </c>
      <c r="Q53" s="9">
        <v>3.9</v>
      </c>
      <c r="R53" s="5">
        <v>1.1399999999999999</v>
      </c>
      <c r="S53" s="7">
        <f t="shared" si="5"/>
        <v>12.722603927684492</v>
      </c>
      <c r="T53" s="9">
        <v>0</v>
      </c>
    </row>
    <row r="54" spans="1:20" x14ac:dyDescent="0.3">
      <c r="A54" s="1">
        <v>45987.083336111114</v>
      </c>
      <c r="B54" s="5">
        <v>2.4</v>
      </c>
      <c r="C54" s="5">
        <v>2.09</v>
      </c>
      <c r="D54" s="6">
        <f t="shared" si="0"/>
        <v>134.56712302966548</v>
      </c>
      <c r="E54" s="6">
        <v>2</v>
      </c>
      <c r="F54" s="5">
        <v>10.25</v>
      </c>
      <c r="G54" s="7">
        <f t="shared" si="1"/>
        <v>157.93739947003712</v>
      </c>
      <c r="H54" s="7">
        <v>2.5</v>
      </c>
      <c r="I54" s="5">
        <v>1.65</v>
      </c>
      <c r="J54" s="7">
        <f t="shared" si="2"/>
        <v>31.113795123628769</v>
      </c>
      <c r="K54" s="9">
        <v>0</v>
      </c>
      <c r="L54" s="5">
        <v>0.96</v>
      </c>
      <c r="M54" s="7">
        <f t="shared" si="3"/>
        <v>10.98377311662381</v>
      </c>
      <c r="N54" s="9">
        <v>1.1000000000000001</v>
      </c>
      <c r="O54" s="5">
        <v>0.83</v>
      </c>
      <c r="P54" s="7">
        <f t="shared" si="4"/>
        <v>22.115150216794209</v>
      </c>
      <c r="Q54" s="9">
        <v>2.2999999999999998</v>
      </c>
      <c r="R54" s="5">
        <v>1.1499999999999999</v>
      </c>
      <c r="S54" s="7">
        <f t="shared" si="5"/>
        <v>12.947898458802527</v>
      </c>
      <c r="T54" s="9">
        <v>0</v>
      </c>
    </row>
    <row r="55" spans="1:20" x14ac:dyDescent="0.3">
      <c r="A55" s="1">
        <v>45987.125002835652</v>
      </c>
      <c r="B55" s="5">
        <v>2.5</v>
      </c>
      <c r="C55" s="5">
        <v>2.09</v>
      </c>
      <c r="D55" s="6">
        <f t="shared" si="0"/>
        <v>134.56712302966548</v>
      </c>
      <c r="E55" s="6">
        <v>0</v>
      </c>
      <c r="F55" s="5">
        <v>10.3</v>
      </c>
      <c r="G55" s="7">
        <f t="shared" si="1"/>
        <v>162.58582283264622</v>
      </c>
      <c r="H55" s="7">
        <v>2</v>
      </c>
      <c r="I55" s="5">
        <v>1.69</v>
      </c>
      <c r="J55" s="7">
        <f t="shared" si="2"/>
        <v>34.346376902123808</v>
      </c>
      <c r="K55" s="9">
        <v>0</v>
      </c>
      <c r="L55" s="5">
        <v>0.96</v>
      </c>
      <c r="M55" s="7">
        <f t="shared" si="3"/>
        <v>10.98377311662381</v>
      </c>
      <c r="N55" s="9">
        <v>0.3</v>
      </c>
      <c r="O55" s="5">
        <v>0.85</v>
      </c>
      <c r="P55" s="7">
        <f t="shared" si="4"/>
        <v>22.855963763230644</v>
      </c>
      <c r="Q55" s="9">
        <v>0.7</v>
      </c>
      <c r="R55" s="5">
        <v>1.1299999999999999</v>
      </c>
      <c r="S55" s="7">
        <f t="shared" si="5"/>
        <v>12.499887480960505</v>
      </c>
      <c r="T55" s="9">
        <v>0</v>
      </c>
    </row>
    <row r="56" spans="1:20" x14ac:dyDescent="0.3">
      <c r="A56" s="1">
        <v>45987.166669560182</v>
      </c>
      <c r="B56" s="5">
        <v>2.2999999999999998</v>
      </c>
      <c r="C56" s="5">
        <v>2.09</v>
      </c>
      <c r="D56" s="6">
        <f t="shared" si="0"/>
        <v>134.56712302966548</v>
      </c>
      <c r="E56" s="6">
        <v>0</v>
      </c>
      <c r="F56" s="5">
        <v>10.33</v>
      </c>
      <c r="G56" s="7">
        <f t="shared" si="1"/>
        <v>165.3975379612103</v>
      </c>
      <c r="H56" s="7">
        <v>0</v>
      </c>
      <c r="I56" s="5">
        <v>1.69</v>
      </c>
      <c r="J56" s="7">
        <f t="shared" si="2"/>
        <v>34.346376902123808</v>
      </c>
      <c r="K56" s="9">
        <v>0</v>
      </c>
      <c r="L56" s="5">
        <v>1.02</v>
      </c>
      <c r="M56" s="7">
        <f t="shared" si="3"/>
        <v>12.439981706789121</v>
      </c>
      <c r="N56" s="9">
        <v>0</v>
      </c>
      <c r="O56" s="5">
        <v>0.87</v>
      </c>
      <c r="P56" s="7">
        <f t="shared" si="4"/>
        <v>23.60349809359256</v>
      </c>
      <c r="Q56" s="9">
        <v>0</v>
      </c>
      <c r="R56" s="5">
        <v>1.1299999999999999</v>
      </c>
      <c r="S56" s="7">
        <f t="shared" si="5"/>
        <v>12.499887480960505</v>
      </c>
      <c r="T56" s="9">
        <v>0</v>
      </c>
    </row>
    <row r="57" spans="1:20" x14ac:dyDescent="0.3">
      <c r="A57" s="1">
        <v>45987.208336284719</v>
      </c>
      <c r="B57" s="5">
        <v>2</v>
      </c>
      <c r="C57" s="5">
        <v>2.1</v>
      </c>
      <c r="D57" s="6">
        <f t="shared" si="0"/>
        <v>135.40484791608642</v>
      </c>
      <c r="E57" s="6">
        <v>0</v>
      </c>
      <c r="F57" s="5">
        <v>10.35</v>
      </c>
      <c r="G57" s="7">
        <f t="shared" si="1"/>
        <v>167.28140330242118</v>
      </c>
      <c r="H57" s="7">
        <v>0</v>
      </c>
      <c r="I57" s="5">
        <v>1.73</v>
      </c>
      <c r="J57" s="7">
        <f t="shared" si="2"/>
        <v>37.805129543416001</v>
      </c>
      <c r="K57" s="9">
        <v>0</v>
      </c>
      <c r="L57" s="5">
        <v>1.1000000000000001</v>
      </c>
      <c r="M57" s="7">
        <f t="shared" si="3"/>
        <v>14.51</v>
      </c>
      <c r="N57" s="9">
        <v>0</v>
      </c>
      <c r="O57" s="5">
        <v>0.88</v>
      </c>
      <c r="P57" s="7">
        <f t="shared" si="4"/>
        <v>23.979755525950928</v>
      </c>
      <c r="Q57" s="9">
        <v>0.5</v>
      </c>
      <c r="R57" s="5">
        <v>1.1200000000000001</v>
      </c>
      <c r="S57" s="7">
        <f t="shared" si="5"/>
        <v>12.279735162300968</v>
      </c>
      <c r="T57" s="9">
        <v>0</v>
      </c>
    </row>
    <row r="58" spans="1:20" x14ac:dyDescent="0.3">
      <c r="A58" s="1">
        <v>45987.250003009256</v>
      </c>
      <c r="B58" s="5">
        <v>2</v>
      </c>
      <c r="C58" s="5">
        <v>2.12</v>
      </c>
      <c r="D58" s="6">
        <f t="shared" si="0"/>
        <v>137.0864219428513</v>
      </c>
      <c r="E58" s="6">
        <v>0</v>
      </c>
      <c r="F58" s="5">
        <v>10.35</v>
      </c>
      <c r="G58" s="7">
        <f t="shared" si="1"/>
        <v>167.28140330242118</v>
      </c>
      <c r="H58" s="7">
        <v>1.5</v>
      </c>
      <c r="I58" s="5">
        <v>1.79</v>
      </c>
      <c r="J58" s="7">
        <f t="shared" si="2"/>
        <v>43.43616796271975</v>
      </c>
      <c r="K58" s="9">
        <v>4.8</v>
      </c>
      <c r="L58" s="5">
        <v>1.35</v>
      </c>
      <c r="M58" s="7">
        <f t="shared" si="3"/>
        <v>21.906010749727507</v>
      </c>
      <c r="N58" s="9">
        <v>4.8</v>
      </c>
      <c r="O58" s="5">
        <v>0.86</v>
      </c>
      <c r="P58" s="7">
        <f t="shared" si="4"/>
        <v>23.228896892293509</v>
      </c>
      <c r="Q58" s="9">
        <v>1.2</v>
      </c>
      <c r="R58" s="5">
        <v>1.1100000000000001</v>
      </c>
      <c r="S58" s="7">
        <f t="shared" si="5"/>
        <v>12.062133005740378</v>
      </c>
      <c r="T58" s="9">
        <v>0</v>
      </c>
    </row>
    <row r="59" spans="1:20" x14ac:dyDescent="0.3">
      <c r="A59" s="1">
        <v>45987.291669733793</v>
      </c>
      <c r="B59" s="5">
        <v>2</v>
      </c>
      <c r="C59" s="5">
        <v>2.14</v>
      </c>
      <c r="D59" s="6">
        <f t="shared" si="0"/>
        <v>138.7761437224024</v>
      </c>
      <c r="E59" s="6">
        <v>1.2</v>
      </c>
      <c r="F59" s="5">
        <v>10.33</v>
      </c>
      <c r="G59" s="7">
        <f t="shared" si="1"/>
        <v>165.3975379612103</v>
      </c>
      <c r="H59" s="7">
        <v>2.8</v>
      </c>
      <c r="I59" s="5">
        <v>1.9</v>
      </c>
      <c r="J59" s="7">
        <f t="shared" si="2"/>
        <v>55.229292559593233</v>
      </c>
      <c r="K59" s="9">
        <v>0</v>
      </c>
      <c r="L59" s="5">
        <v>1.36</v>
      </c>
      <c r="M59" s="7">
        <f t="shared" si="3"/>
        <v>22.230613018895308</v>
      </c>
      <c r="N59" s="9">
        <v>2.8</v>
      </c>
      <c r="O59" s="5">
        <v>0.8</v>
      </c>
      <c r="P59" s="7">
        <f t="shared" si="4"/>
        <v>21.016749768346781</v>
      </c>
      <c r="Q59" s="9">
        <v>0.7</v>
      </c>
      <c r="R59" s="5">
        <v>1.1000000000000001</v>
      </c>
      <c r="S59" s="7">
        <f t="shared" si="5"/>
        <v>11.847067035611163</v>
      </c>
      <c r="T59" s="9">
        <v>0</v>
      </c>
    </row>
    <row r="60" spans="1:20" x14ac:dyDescent="0.3">
      <c r="A60" s="1">
        <v>45987.33333645833</v>
      </c>
      <c r="B60" s="5">
        <v>1.95</v>
      </c>
      <c r="C60" s="5">
        <v>2.15</v>
      </c>
      <c r="D60" s="6">
        <f t="shared" si="0"/>
        <v>139.62405335047532</v>
      </c>
      <c r="E60" s="6">
        <v>0.5</v>
      </c>
      <c r="F60" s="5">
        <v>10.34</v>
      </c>
      <c r="G60" s="7">
        <f t="shared" si="1"/>
        <v>166.33853388858216</v>
      </c>
      <c r="H60" s="7">
        <v>0</v>
      </c>
      <c r="I60" s="5">
        <v>1.8</v>
      </c>
      <c r="J60" s="7">
        <f t="shared" si="2"/>
        <v>44.428086891605425</v>
      </c>
      <c r="K60" s="9">
        <v>0.5</v>
      </c>
      <c r="L60" s="5">
        <v>1.39</v>
      </c>
      <c r="M60" s="7">
        <f t="shared" si="3"/>
        <v>23.217530121143326</v>
      </c>
      <c r="N60" s="9">
        <v>0.3</v>
      </c>
      <c r="O60" s="5">
        <v>0.99</v>
      </c>
      <c r="P60" s="7">
        <f t="shared" si="4"/>
        <v>28.224718014987882</v>
      </c>
      <c r="Q60" s="9">
        <v>0</v>
      </c>
      <c r="R60" s="5">
        <v>1.0900000000000001</v>
      </c>
      <c r="S60" s="7">
        <f t="shared" si="5"/>
        <v>11.634523266476585</v>
      </c>
      <c r="T60" s="9">
        <v>3.5</v>
      </c>
    </row>
    <row r="61" spans="1:20" x14ac:dyDescent="0.3">
      <c r="A61" s="1">
        <v>45987.375003182868</v>
      </c>
      <c r="B61" s="5">
        <v>1.7</v>
      </c>
      <c r="C61" s="5">
        <v>2.16</v>
      </c>
      <c r="D61" s="6">
        <f t="shared" si="0"/>
        <v>140.47399194064221</v>
      </c>
      <c r="E61" s="6">
        <v>0.2</v>
      </c>
      <c r="F61" s="5">
        <v>10.37</v>
      </c>
      <c r="G61" s="7">
        <f t="shared" si="1"/>
        <v>169.17275001421865</v>
      </c>
      <c r="H61" s="7">
        <v>0.5</v>
      </c>
      <c r="I61" s="5">
        <v>1.8</v>
      </c>
      <c r="J61" s="7">
        <f t="shared" si="2"/>
        <v>44.428086891605425</v>
      </c>
      <c r="K61" s="9">
        <v>1</v>
      </c>
      <c r="L61" s="5">
        <v>1.34</v>
      </c>
      <c r="M61" s="7">
        <f t="shared" si="3"/>
        <v>21.583597984553961</v>
      </c>
      <c r="N61" s="9">
        <v>0.9</v>
      </c>
      <c r="O61" s="5">
        <v>0.95</v>
      </c>
      <c r="P61" s="7">
        <f t="shared" si="4"/>
        <v>26.658981570242144</v>
      </c>
      <c r="Q61" s="9">
        <v>0.9</v>
      </c>
      <c r="R61" s="5">
        <v>1.1000000000000001</v>
      </c>
      <c r="S61" s="7">
        <f t="shared" si="5"/>
        <v>11.847067035611163</v>
      </c>
      <c r="T61" s="9">
        <v>4.0999999999999996</v>
      </c>
    </row>
    <row r="62" spans="1:20" x14ac:dyDescent="0.3">
      <c r="A62" s="1">
        <v>45987.416669907405</v>
      </c>
      <c r="B62" s="5">
        <v>1.5</v>
      </c>
      <c r="C62" s="5">
        <v>2.17</v>
      </c>
      <c r="D62" s="6">
        <f t="shared" si="0"/>
        <v>141.32595686180622</v>
      </c>
      <c r="E62" s="6">
        <v>0.5</v>
      </c>
      <c r="F62" s="5">
        <v>10.41</v>
      </c>
      <c r="G62" s="7">
        <f t="shared" si="1"/>
        <v>172.97778787767226</v>
      </c>
      <c r="H62" s="7">
        <v>2.5</v>
      </c>
      <c r="I62" s="5">
        <v>1.72</v>
      </c>
      <c r="J62" s="7">
        <f t="shared" si="2"/>
        <v>36.918768535255168</v>
      </c>
      <c r="K62" s="9">
        <v>4.4000000000000004</v>
      </c>
      <c r="L62" s="5">
        <v>1.31</v>
      </c>
      <c r="M62" s="7">
        <f t="shared" si="3"/>
        <v>20.629523940402766</v>
      </c>
      <c r="N62" s="9">
        <v>5.6</v>
      </c>
      <c r="O62" s="5">
        <v>0.97</v>
      </c>
      <c r="P62" s="7">
        <f t="shared" si="4"/>
        <v>27.438752055896515</v>
      </c>
      <c r="Q62" s="9">
        <v>2</v>
      </c>
      <c r="R62" s="5">
        <v>1.1100000000000001</v>
      </c>
      <c r="S62" s="7">
        <f t="shared" si="5"/>
        <v>12.062133005740378</v>
      </c>
      <c r="T62" s="9">
        <v>0.6</v>
      </c>
    </row>
    <row r="63" spans="1:20" x14ac:dyDescent="0.3">
      <c r="A63" s="1">
        <v>45987.458336631942</v>
      </c>
      <c r="B63" s="5">
        <v>1.4</v>
      </c>
      <c r="C63" s="5">
        <v>2.1800000000000002</v>
      </c>
      <c r="D63" s="6">
        <f t="shared" si="0"/>
        <v>142.17994549591933</v>
      </c>
      <c r="E63" s="6">
        <v>1</v>
      </c>
      <c r="F63" s="5">
        <v>10.46</v>
      </c>
      <c r="G63" s="7">
        <f t="shared" si="1"/>
        <v>177.77572842569842</v>
      </c>
      <c r="H63" s="7">
        <v>2</v>
      </c>
      <c r="I63" s="5">
        <v>1.84</v>
      </c>
      <c r="J63" s="7">
        <f t="shared" si="2"/>
        <v>48.55337652288771</v>
      </c>
      <c r="K63" s="9">
        <v>2.5</v>
      </c>
      <c r="L63" s="5">
        <v>1.31</v>
      </c>
      <c r="M63" s="7">
        <f t="shared" si="3"/>
        <v>20.629523940402766</v>
      </c>
      <c r="N63" s="9">
        <v>4.5</v>
      </c>
      <c r="O63" s="5">
        <v>0.89</v>
      </c>
      <c r="P63" s="7">
        <f t="shared" si="4"/>
        <v>24.357657566155829</v>
      </c>
      <c r="Q63" s="9">
        <v>1.3</v>
      </c>
      <c r="R63" s="5">
        <v>1.1200000000000001</v>
      </c>
      <c r="S63" s="7">
        <f t="shared" si="5"/>
        <v>12.279735162300968</v>
      </c>
      <c r="T63" s="9">
        <v>0.4</v>
      </c>
    </row>
    <row r="64" spans="1:20" x14ac:dyDescent="0.3">
      <c r="A64" s="1">
        <v>45987.500003356479</v>
      </c>
      <c r="B64" s="5">
        <v>1.4</v>
      </c>
      <c r="C64" s="5">
        <v>2.19</v>
      </c>
      <c r="D64" s="6">
        <f t="shared" si="0"/>
        <v>143.0359552378699</v>
      </c>
      <c r="E64" s="6">
        <v>1</v>
      </c>
      <c r="F64" s="5">
        <v>10.53</v>
      </c>
      <c r="G64" s="7">
        <f t="shared" si="1"/>
        <v>184.56990916521895</v>
      </c>
      <c r="H64" s="7">
        <v>1.9</v>
      </c>
      <c r="I64" s="5">
        <v>1.84</v>
      </c>
      <c r="J64" s="7">
        <f t="shared" si="2"/>
        <v>48.55337652288771</v>
      </c>
      <c r="K64" s="9">
        <v>1.3</v>
      </c>
      <c r="L64" s="5">
        <v>1.39</v>
      </c>
      <c r="M64" s="7">
        <f t="shared" si="3"/>
        <v>23.217530121143326</v>
      </c>
      <c r="N64" s="9">
        <v>5.3</v>
      </c>
      <c r="O64" s="5">
        <v>0.86</v>
      </c>
      <c r="P64" s="7">
        <f t="shared" si="4"/>
        <v>23.228896892293509</v>
      </c>
      <c r="Q64" s="9">
        <v>0.5</v>
      </c>
      <c r="R64" s="5">
        <v>1.1200000000000001</v>
      </c>
      <c r="S64" s="7">
        <f t="shared" si="5"/>
        <v>12.279735162300968</v>
      </c>
      <c r="T64" s="9">
        <v>0</v>
      </c>
    </row>
    <row r="65" spans="1:20" x14ac:dyDescent="0.3">
      <c r="A65" s="1">
        <v>45987.541670081016</v>
      </c>
      <c r="B65" s="5">
        <v>1.6</v>
      </c>
      <c r="C65" s="5">
        <v>2.21</v>
      </c>
      <c r="D65" s="6">
        <f t="shared" si="0"/>
        <v>144.75402768885613</v>
      </c>
      <c r="E65" s="6">
        <v>0.2</v>
      </c>
      <c r="F65" s="5">
        <v>10.6</v>
      </c>
      <c r="G65" s="7">
        <f t="shared" si="1"/>
        <v>191.45309642743908</v>
      </c>
      <c r="H65" s="7">
        <v>0</v>
      </c>
      <c r="I65" s="5">
        <v>1.85</v>
      </c>
      <c r="J65" s="7">
        <f t="shared" si="2"/>
        <v>49.624789002328875</v>
      </c>
      <c r="K65" s="9">
        <v>0</v>
      </c>
      <c r="L65" s="5">
        <v>1.59</v>
      </c>
      <c r="M65" s="7">
        <f t="shared" si="3"/>
        <v>30.294881908515947</v>
      </c>
      <c r="N65" s="9">
        <v>0.8</v>
      </c>
      <c r="O65" s="5">
        <v>0.89</v>
      </c>
      <c r="P65" s="7">
        <f t="shared" si="4"/>
        <v>24.357657566155829</v>
      </c>
      <c r="Q65" s="9">
        <v>0</v>
      </c>
      <c r="R65" s="5">
        <v>1.1100000000000001</v>
      </c>
      <c r="S65" s="7">
        <f t="shared" si="5"/>
        <v>12.062133005740378</v>
      </c>
      <c r="T65" s="9">
        <v>0</v>
      </c>
    </row>
    <row r="66" spans="1:20" x14ac:dyDescent="0.3">
      <c r="A66" s="1">
        <v>45987.583336805554</v>
      </c>
      <c r="B66" s="5">
        <v>1.8</v>
      </c>
      <c r="C66" s="5">
        <v>2.2400000000000002</v>
      </c>
      <c r="D66" s="6">
        <f t="shared" si="0"/>
        <v>147.34623027798656</v>
      </c>
      <c r="E66" s="6">
        <v>0</v>
      </c>
      <c r="F66" s="5">
        <v>10.65</v>
      </c>
      <c r="G66" s="7">
        <f t="shared" si="1"/>
        <v>196.4236169869051</v>
      </c>
      <c r="H66" s="7">
        <v>0</v>
      </c>
      <c r="I66" s="5">
        <v>1.85</v>
      </c>
      <c r="J66" s="7">
        <f t="shared" si="2"/>
        <v>49.624789002328875</v>
      </c>
      <c r="K66" s="9">
        <v>0.8</v>
      </c>
      <c r="L66" s="5">
        <v>1.83</v>
      </c>
      <c r="M66" s="7">
        <f t="shared" si="3"/>
        <v>39.911726861017094</v>
      </c>
      <c r="N66" s="9">
        <v>0.3</v>
      </c>
      <c r="O66" s="5">
        <v>0.85</v>
      </c>
      <c r="P66" s="7">
        <f t="shared" si="4"/>
        <v>22.855963763230644</v>
      </c>
      <c r="Q66" s="9">
        <v>0</v>
      </c>
      <c r="R66" s="5">
        <v>1.1100000000000001</v>
      </c>
      <c r="S66" s="7">
        <f t="shared" si="5"/>
        <v>12.062133005740378</v>
      </c>
      <c r="T66" s="9">
        <v>0</v>
      </c>
    </row>
    <row r="67" spans="1:20" x14ac:dyDescent="0.3">
      <c r="A67" s="1">
        <v>45987.625003530091</v>
      </c>
      <c r="B67" s="5">
        <v>2.1</v>
      </c>
      <c r="C67" s="5">
        <v>2.2799999999999998</v>
      </c>
      <c r="D67" s="6">
        <f t="shared" si="0"/>
        <v>150.83056918795469</v>
      </c>
      <c r="E67" s="6">
        <v>0</v>
      </c>
      <c r="F67" s="5">
        <v>10.67</v>
      </c>
      <c r="G67" s="7">
        <f t="shared" si="1"/>
        <v>198.4243257392873</v>
      </c>
      <c r="H67" s="7">
        <v>1.4</v>
      </c>
      <c r="I67" s="5">
        <v>1.86</v>
      </c>
      <c r="J67" s="7">
        <f t="shared" si="2"/>
        <v>50.712513036834743</v>
      </c>
      <c r="K67" s="9">
        <v>1.2</v>
      </c>
      <c r="L67" s="5">
        <v>2.0099999999999998</v>
      </c>
      <c r="M67" s="7">
        <f t="shared" si="3"/>
        <v>52.966510709999987</v>
      </c>
      <c r="N67" s="9">
        <v>0.6</v>
      </c>
      <c r="O67" s="5">
        <v>0.91</v>
      </c>
      <c r="P67" s="7">
        <f t="shared" si="4"/>
        <v>25.118350028803569</v>
      </c>
      <c r="Q67" s="9">
        <v>2.1</v>
      </c>
      <c r="R67" s="5">
        <v>1.1100000000000001</v>
      </c>
      <c r="S67" s="7">
        <f t="shared" si="5"/>
        <v>12.062133005740378</v>
      </c>
      <c r="T67" s="9">
        <v>4.2</v>
      </c>
    </row>
    <row r="68" spans="1:20" x14ac:dyDescent="0.3">
      <c r="A68" s="1">
        <v>45987.666670254628</v>
      </c>
      <c r="B68" s="5">
        <v>2.2000000000000002</v>
      </c>
      <c r="C68" s="5">
        <v>2.33</v>
      </c>
      <c r="D68" s="6">
        <f t="shared" si="0"/>
        <v>155.23087894960062</v>
      </c>
      <c r="E68" s="6">
        <v>1.7</v>
      </c>
      <c r="F68" s="5">
        <v>10.7</v>
      </c>
      <c r="G68" s="7">
        <f t="shared" si="1"/>
        <v>201.43871502584832</v>
      </c>
      <c r="H68" s="7">
        <v>2.8</v>
      </c>
      <c r="I68" s="5">
        <v>1.85</v>
      </c>
      <c r="J68" s="7">
        <f t="shared" si="2"/>
        <v>49.624789002328875</v>
      </c>
      <c r="K68" s="9">
        <v>1</v>
      </c>
      <c r="L68" s="5">
        <v>2.1</v>
      </c>
      <c r="M68" s="7">
        <f t="shared" si="3"/>
        <v>57.100551000000003</v>
      </c>
      <c r="N68" s="9">
        <v>0.6</v>
      </c>
      <c r="O68" s="5">
        <v>0.92</v>
      </c>
      <c r="P68" s="7">
        <f t="shared" si="4"/>
        <v>25.501118238126711</v>
      </c>
      <c r="Q68" s="9">
        <v>1.3</v>
      </c>
      <c r="R68" s="5">
        <v>1.1200000000000001</v>
      </c>
      <c r="S68" s="7">
        <f t="shared" si="5"/>
        <v>12.279735162300968</v>
      </c>
      <c r="T68" s="9">
        <v>3.4</v>
      </c>
    </row>
    <row r="69" spans="1:20" x14ac:dyDescent="0.3">
      <c r="A69" s="1">
        <v>45987.708336979165</v>
      </c>
      <c r="B69" s="5">
        <v>2.7</v>
      </c>
      <c r="C69" s="5">
        <v>2.37</v>
      </c>
      <c r="D69" s="6">
        <f t="shared" si="0"/>
        <v>158.78684481044161</v>
      </c>
      <c r="E69" s="6">
        <v>1</v>
      </c>
      <c r="F69" s="5">
        <v>10.75</v>
      </c>
      <c r="G69" s="7">
        <f t="shared" si="1"/>
        <v>206.49805739861631</v>
      </c>
      <c r="H69" s="7">
        <v>0.7</v>
      </c>
      <c r="I69" s="5">
        <v>1.85</v>
      </c>
      <c r="J69" s="7">
        <f t="shared" si="2"/>
        <v>49.624789002328875</v>
      </c>
      <c r="K69" s="9">
        <v>1.5</v>
      </c>
      <c r="L69" s="5">
        <v>2.0099999999999998</v>
      </c>
      <c r="M69" s="7">
        <f t="shared" si="3"/>
        <v>52.966510709999987</v>
      </c>
      <c r="N69" s="9">
        <v>0.8</v>
      </c>
      <c r="O69" s="5">
        <v>0.87</v>
      </c>
      <c r="P69" s="7">
        <f t="shared" si="4"/>
        <v>23.60349809359256</v>
      </c>
      <c r="Q69" s="9">
        <v>1.7</v>
      </c>
      <c r="R69" s="5">
        <v>1.2</v>
      </c>
      <c r="S69" s="7">
        <f t="shared" si="5"/>
        <v>14.113530185490607</v>
      </c>
      <c r="T69" s="9">
        <v>6.2</v>
      </c>
    </row>
    <row r="70" spans="1:20" x14ac:dyDescent="0.3">
      <c r="A70" s="1">
        <v>45987.750003703703</v>
      </c>
      <c r="B70" s="5">
        <v>2.2000000000000002</v>
      </c>
      <c r="C70" s="5">
        <v>2.4</v>
      </c>
      <c r="D70" s="6">
        <f t="shared" ref="D70:D133" si="6">IF(C70="","",IF((C70+0.56)&gt;4,13.194*(C70+0.56)^2+13.311*(C70+0.56)-0.8227,27.012*(C70+0.56)^1.6477))</f>
        <v>161.47455388252996</v>
      </c>
      <c r="E70" s="6">
        <v>0.7</v>
      </c>
      <c r="F70" s="5">
        <v>10.81</v>
      </c>
      <c r="G70" s="7">
        <f t="shared" ref="G70:G133" si="7">IF(F70="","",IF((F70-0.118)&gt;14,9.8381*((F70-0.118)-7.5)^2+42.44*((F70-0.118)-7.5)-16.777,35.535*((F70-0.118)-7.5)^1.5414))</f>
        <v>212.62721319943739</v>
      </c>
      <c r="H70" s="7">
        <v>13.2</v>
      </c>
      <c r="I70" s="5">
        <v>1.8</v>
      </c>
      <c r="J70" s="7">
        <f t="shared" ref="J70:J133" si="8">IF(I70="","",IF(I70&lt;=2.23,13.015*(I70-0.345)^3.274,114.59*(I70-0.345)^2-419*(I70-0.345)+487.77))</f>
        <v>44.428086891605425</v>
      </c>
      <c r="K70" s="9">
        <v>14.7</v>
      </c>
      <c r="L70" s="5">
        <v>1.91</v>
      </c>
      <c r="M70" s="7">
        <f t="shared" ref="M70:M133" si="9">IF(L70="","",IF((L70)&gt;2,8.9271*((L70)^2)+9.2434*(L70)-1.6791,14.51*(((L70)-0.1)^1.846)))</f>
        <v>43.385245734782423</v>
      </c>
      <c r="N70" s="9">
        <v>19.600000000000001</v>
      </c>
      <c r="O70" s="5">
        <v>0.91</v>
      </c>
      <c r="P70" s="7">
        <f t="shared" ref="P70:P133" si="10">IF(O70="","",28.62*(O70)^1.3838)</f>
        <v>25.118350028803569</v>
      </c>
      <c r="Q70" s="9">
        <v>11.8</v>
      </c>
      <c r="R70" s="5">
        <v>1.28</v>
      </c>
      <c r="S70" s="7">
        <f t="shared" ref="S70:S133" si="11">IF(R70="","",IF(R70&gt;2.5,19.135*(R70+0.5)^2-29.477*(R70+0.5)+32.54,3.0494*((R70+0.5)^2.8875)))</f>
        <v>16.117666030136917</v>
      </c>
      <c r="T70" s="9">
        <v>3.1</v>
      </c>
    </row>
    <row r="71" spans="1:20" x14ac:dyDescent="0.3">
      <c r="A71" s="1">
        <v>45987.79167042824</v>
      </c>
      <c r="B71" s="5">
        <v>2</v>
      </c>
      <c r="C71" s="5">
        <v>2.44</v>
      </c>
      <c r="D71" s="6">
        <f t="shared" si="6"/>
        <v>165.0856912090893</v>
      </c>
      <c r="E71" s="6">
        <v>0.8</v>
      </c>
      <c r="F71" s="5">
        <v>10.9</v>
      </c>
      <c r="G71" s="7">
        <f t="shared" si="7"/>
        <v>221.93833414785794</v>
      </c>
      <c r="H71" s="7">
        <v>1</v>
      </c>
      <c r="I71" s="5">
        <v>1.95</v>
      </c>
      <c r="J71" s="7">
        <f t="shared" si="8"/>
        <v>61.258935071009347</v>
      </c>
      <c r="K71" s="9">
        <v>1.5</v>
      </c>
      <c r="L71" s="5">
        <v>1.8</v>
      </c>
      <c r="M71" s="7">
        <f t="shared" si="9"/>
        <v>38.643470376077957</v>
      </c>
      <c r="N71" s="9">
        <v>3.1</v>
      </c>
      <c r="O71" s="5">
        <v>0.91</v>
      </c>
      <c r="P71" s="7">
        <f t="shared" si="10"/>
        <v>25.118350028803569</v>
      </c>
      <c r="Q71" s="9">
        <v>2</v>
      </c>
      <c r="R71" s="5">
        <v>1.35</v>
      </c>
      <c r="S71" s="7">
        <f t="shared" si="11"/>
        <v>18.016596895667625</v>
      </c>
      <c r="T71" s="9">
        <v>1.5</v>
      </c>
    </row>
    <row r="72" spans="1:20" x14ac:dyDescent="0.3">
      <c r="A72" s="1">
        <v>45987.833337152777</v>
      </c>
      <c r="B72" s="5">
        <v>1.9</v>
      </c>
      <c r="C72" s="5">
        <v>2.5</v>
      </c>
      <c r="D72" s="6">
        <f t="shared" si="6"/>
        <v>170.56107926777639</v>
      </c>
      <c r="E72" s="6">
        <v>1</v>
      </c>
      <c r="F72" s="5">
        <v>10.98</v>
      </c>
      <c r="G72" s="7">
        <f t="shared" si="7"/>
        <v>230.33186738319637</v>
      </c>
      <c r="H72" s="7">
        <v>2</v>
      </c>
      <c r="I72" s="5">
        <v>1.96</v>
      </c>
      <c r="J72" s="7">
        <f t="shared" si="8"/>
        <v>62.517416792361395</v>
      </c>
      <c r="K72" s="9">
        <v>2.1</v>
      </c>
      <c r="L72" s="5">
        <v>1.76</v>
      </c>
      <c r="M72" s="7">
        <f t="shared" si="9"/>
        <v>36.981706108300436</v>
      </c>
      <c r="N72" s="9">
        <v>4.2</v>
      </c>
      <c r="O72" s="5">
        <v>0.88</v>
      </c>
      <c r="P72" s="7">
        <f t="shared" si="10"/>
        <v>23.979755525950928</v>
      </c>
      <c r="Q72" s="9">
        <v>1.5</v>
      </c>
      <c r="R72" s="5">
        <v>1.46</v>
      </c>
      <c r="S72" s="7">
        <f t="shared" si="11"/>
        <v>21.286477595600353</v>
      </c>
      <c r="T72" s="9">
        <v>2.1</v>
      </c>
    </row>
    <row r="73" spans="1:20" x14ac:dyDescent="0.3">
      <c r="A73" s="1">
        <v>45987.875003877314</v>
      </c>
      <c r="B73" s="5">
        <v>1.8</v>
      </c>
      <c r="C73" s="5">
        <v>2.57</v>
      </c>
      <c r="D73" s="6">
        <f t="shared" si="6"/>
        <v>177.03745021219572</v>
      </c>
      <c r="E73" s="6">
        <v>0.8</v>
      </c>
      <c r="F73" s="5">
        <v>11.05</v>
      </c>
      <c r="G73" s="7">
        <f t="shared" si="7"/>
        <v>237.7655315287148</v>
      </c>
      <c r="H73" s="7">
        <v>2.2000000000000002</v>
      </c>
      <c r="I73" s="5">
        <v>1.92</v>
      </c>
      <c r="J73" s="7">
        <f t="shared" si="8"/>
        <v>57.58915679440171</v>
      </c>
      <c r="K73" s="9">
        <v>7.4</v>
      </c>
      <c r="L73" s="5">
        <v>1.82</v>
      </c>
      <c r="M73" s="7">
        <f t="shared" si="9"/>
        <v>39.486889592392245</v>
      </c>
      <c r="N73" s="9">
        <v>4.5</v>
      </c>
      <c r="O73" s="5">
        <v>0.88</v>
      </c>
      <c r="P73" s="7">
        <f t="shared" si="10"/>
        <v>23.979755525950928</v>
      </c>
      <c r="Q73" s="9">
        <v>4.0999999999999996</v>
      </c>
      <c r="R73" s="5">
        <v>1.45</v>
      </c>
      <c r="S73" s="7">
        <f t="shared" si="11"/>
        <v>20.974389865308012</v>
      </c>
      <c r="T73" s="9">
        <v>1.3</v>
      </c>
    </row>
    <row r="74" spans="1:20" x14ac:dyDescent="0.3">
      <c r="A74" s="1">
        <v>45987.916670601851</v>
      </c>
      <c r="B74" s="5">
        <v>1.8</v>
      </c>
      <c r="C74" s="5">
        <v>2.63</v>
      </c>
      <c r="D74" s="6">
        <f t="shared" si="6"/>
        <v>182.66386787651069</v>
      </c>
      <c r="E74" s="6">
        <v>4.2</v>
      </c>
      <c r="F74" s="5">
        <v>11.1</v>
      </c>
      <c r="G74" s="7">
        <f t="shared" si="7"/>
        <v>243.1258745603364</v>
      </c>
      <c r="H74" s="7">
        <v>3.8</v>
      </c>
      <c r="I74" s="5">
        <v>1.9</v>
      </c>
      <c r="J74" s="7">
        <f t="shared" si="8"/>
        <v>55.229292559593233</v>
      </c>
      <c r="K74" s="9">
        <v>7.5</v>
      </c>
      <c r="L74" s="5">
        <v>1.9</v>
      </c>
      <c r="M74" s="7">
        <f t="shared" si="9"/>
        <v>42.943798548287198</v>
      </c>
      <c r="N74" s="9">
        <v>9.8000000000000007</v>
      </c>
      <c r="O74" s="5">
        <v>0.97</v>
      </c>
      <c r="P74" s="7">
        <f t="shared" si="10"/>
        <v>27.438752055896515</v>
      </c>
      <c r="Q74" s="9">
        <v>4.9000000000000004</v>
      </c>
      <c r="R74" s="5">
        <v>1.44</v>
      </c>
      <c r="S74" s="7">
        <f t="shared" si="11"/>
        <v>20.665308411859872</v>
      </c>
      <c r="T74" s="9">
        <v>5.9</v>
      </c>
    </row>
    <row r="75" spans="1:20" x14ac:dyDescent="0.3">
      <c r="A75" s="1">
        <v>45987.958337326389</v>
      </c>
      <c r="B75" s="5">
        <v>1.8</v>
      </c>
      <c r="C75" s="5">
        <v>2.68</v>
      </c>
      <c r="D75" s="6">
        <f t="shared" si="6"/>
        <v>187.4052505393197</v>
      </c>
      <c r="E75" s="6">
        <v>6.5</v>
      </c>
      <c r="F75" s="5">
        <v>11.1</v>
      </c>
      <c r="G75" s="7">
        <f t="shared" si="7"/>
        <v>243.1258745603364</v>
      </c>
      <c r="H75" s="7">
        <v>6.3</v>
      </c>
      <c r="I75" s="5">
        <v>1.83</v>
      </c>
      <c r="J75" s="7">
        <f t="shared" si="8"/>
        <v>47.498137645475794</v>
      </c>
      <c r="K75" s="9">
        <v>10.5</v>
      </c>
      <c r="L75" s="5">
        <v>2.11</v>
      </c>
      <c r="M75" s="7">
        <f t="shared" si="9"/>
        <v>57.568815909999991</v>
      </c>
      <c r="N75" s="9">
        <v>16.600000000000001</v>
      </c>
      <c r="O75" s="5">
        <v>1.08</v>
      </c>
      <c r="P75" s="7">
        <f t="shared" si="10"/>
        <v>31.836214508789663</v>
      </c>
      <c r="Q75" s="9">
        <v>14.7</v>
      </c>
      <c r="R75" s="5">
        <v>1.41</v>
      </c>
      <c r="S75" s="7">
        <f t="shared" si="11"/>
        <v>19.755964809089757</v>
      </c>
      <c r="T75" s="9">
        <v>8.5</v>
      </c>
    </row>
    <row r="76" spans="1:20" x14ac:dyDescent="0.3">
      <c r="A76" s="1">
        <v>45988.000004050926</v>
      </c>
      <c r="B76" s="5">
        <v>2</v>
      </c>
      <c r="C76" s="5">
        <v>2.73</v>
      </c>
      <c r="D76" s="6">
        <f t="shared" si="6"/>
        <v>192.19426400343221</v>
      </c>
      <c r="E76" s="6">
        <v>4</v>
      </c>
      <c r="F76" s="5">
        <v>11.18</v>
      </c>
      <c r="G76" s="7">
        <f t="shared" si="7"/>
        <v>251.78932904871118</v>
      </c>
      <c r="H76" s="7">
        <v>0.5</v>
      </c>
      <c r="I76" s="5">
        <v>1.9</v>
      </c>
      <c r="J76" s="7">
        <f t="shared" si="8"/>
        <v>55.229292559593233</v>
      </c>
      <c r="K76" s="9">
        <v>11.3</v>
      </c>
      <c r="L76" s="5">
        <v>2.71</v>
      </c>
      <c r="M76" s="7">
        <f t="shared" si="9"/>
        <v>88.932029110000002</v>
      </c>
      <c r="N76" s="9">
        <v>11.2</v>
      </c>
      <c r="O76" s="5">
        <v>1.26</v>
      </c>
      <c r="P76" s="7">
        <f t="shared" si="10"/>
        <v>39.406003334680214</v>
      </c>
      <c r="Q76" s="9">
        <v>21.4</v>
      </c>
      <c r="R76" s="5">
        <v>1.55</v>
      </c>
      <c r="S76" s="7">
        <f t="shared" si="11"/>
        <v>24.23280400570944</v>
      </c>
      <c r="T76" s="9">
        <v>5.4</v>
      </c>
    </row>
    <row r="77" spans="1:20" x14ac:dyDescent="0.3">
      <c r="A77" s="1">
        <v>45988.041670775463</v>
      </c>
      <c r="B77" s="5">
        <v>2.2000000000000002</v>
      </c>
      <c r="C77" s="5">
        <v>2.8</v>
      </c>
      <c r="D77" s="6">
        <f t="shared" si="6"/>
        <v>198.97841560222543</v>
      </c>
      <c r="E77" s="6">
        <v>2.5</v>
      </c>
      <c r="F77" s="5">
        <v>11.31</v>
      </c>
      <c r="G77" s="7">
        <f t="shared" si="7"/>
        <v>266.09302602684727</v>
      </c>
      <c r="H77" s="7">
        <v>2.2000000000000002</v>
      </c>
      <c r="I77" s="5">
        <v>1.95</v>
      </c>
      <c r="J77" s="7">
        <f t="shared" si="8"/>
        <v>61.258935071009347</v>
      </c>
      <c r="K77" s="9">
        <v>1.5</v>
      </c>
      <c r="L77" s="5">
        <v>3.52</v>
      </c>
      <c r="M77" s="7">
        <f t="shared" si="9"/>
        <v>141.46800783999998</v>
      </c>
      <c r="N77" s="9">
        <v>12.9</v>
      </c>
      <c r="O77" s="5">
        <v>1.46</v>
      </c>
      <c r="P77" s="7">
        <f t="shared" si="10"/>
        <v>48.317127956706244</v>
      </c>
      <c r="Q77" s="9">
        <v>5.3</v>
      </c>
      <c r="R77" s="5">
        <v>1.61</v>
      </c>
      <c r="S77" s="7">
        <f t="shared" si="11"/>
        <v>26.33782972641206</v>
      </c>
      <c r="T77" s="9">
        <v>3.6</v>
      </c>
    </row>
    <row r="78" spans="1:20" x14ac:dyDescent="0.3">
      <c r="A78" s="1">
        <v>45988.0833375</v>
      </c>
      <c r="B78" s="5">
        <v>2.5</v>
      </c>
      <c r="C78" s="5">
        <v>2.88</v>
      </c>
      <c r="D78" s="6">
        <f t="shared" si="6"/>
        <v>206.84455209920844</v>
      </c>
      <c r="E78" s="6">
        <v>2.8</v>
      </c>
      <c r="F78" s="5">
        <v>11.61</v>
      </c>
      <c r="G78" s="7">
        <f t="shared" si="7"/>
        <v>300.1452030094062</v>
      </c>
      <c r="H78" s="7">
        <v>5</v>
      </c>
      <c r="I78" s="5">
        <v>1.98</v>
      </c>
      <c r="J78" s="7">
        <f t="shared" si="8"/>
        <v>65.088057242302639</v>
      </c>
      <c r="K78" s="9">
        <v>1.5</v>
      </c>
      <c r="L78" s="5">
        <v>4.0999999999999996</v>
      </c>
      <c r="M78" s="7">
        <f t="shared" si="9"/>
        <v>186.28339099999994</v>
      </c>
      <c r="N78" s="9">
        <v>9</v>
      </c>
      <c r="O78" s="5">
        <v>1.65</v>
      </c>
      <c r="P78" s="7">
        <f t="shared" si="10"/>
        <v>57.230021811535892</v>
      </c>
      <c r="Q78" s="9">
        <v>2.2999999999999998</v>
      </c>
      <c r="R78" s="5">
        <v>1.73</v>
      </c>
      <c r="S78" s="7">
        <f t="shared" si="11"/>
        <v>30.899018758345857</v>
      </c>
      <c r="T78" s="9">
        <v>7.9</v>
      </c>
    </row>
    <row r="79" spans="1:20" x14ac:dyDescent="0.3">
      <c r="A79" s="1">
        <v>45988.125004224537</v>
      </c>
      <c r="B79" s="5">
        <v>2.9</v>
      </c>
      <c r="C79" s="5">
        <v>2.98</v>
      </c>
      <c r="D79" s="6">
        <f t="shared" si="6"/>
        <v>216.8450016107131</v>
      </c>
      <c r="E79" s="6">
        <v>7.6</v>
      </c>
      <c r="F79" s="5">
        <v>11.98</v>
      </c>
      <c r="G79" s="7">
        <f t="shared" si="7"/>
        <v>344.08663018220744</v>
      </c>
      <c r="H79" s="7">
        <v>2</v>
      </c>
      <c r="I79" s="5">
        <v>1.98</v>
      </c>
      <c r="J79" s="7">
        <f t="shared" si="8"/>
        <v>65.088057242302639</v>
      </c>
      <c r="K79" s="9">
        <v>1</v>
      </c>
      <c r="L79" s="5">
        <v>4.53</v>
      </c>
      <c r="M79" s="7">
        <f t="shared" si="9"/>
        <v>223.38562838999999</v>
      </c>
      <c r="N79" s="9">
        <v>6.2</v>
      </c>
      <c r="O79" s="5">
        <v>1.83</v>
      </c>
      <c r="P79" s="7">
        <f t="shared" si="10"/>
        <v>66.04644515861574</v>
      </c>
      <c r="Q79" s="9">
        <v>8.5</v>
      </c>
      <c r="R79" s="5">
        <v>1.8</v>
      </c>
      <c r="S79" s="7">
        <f t="shared" si="11"/>
        <v>33.783413001313761</v>
      </c>
      <c r="T79" s="9">
        <v>8.3000000000000007</v>
      </c>
    </row>
    <row r="80" spans="1:20" x14ac:dyDescent="0.3">
      <c r="A80" s="1">
        <v>45988.166670949075</v>
      </c>
      <c r="B80" s="5">
        <v>3.1</v>
      </c>
      <c r="C80" s="5">
        <v>3.1</v>
      </c>
      <c r="D80" s="6">
        <f t="shared" si="6"/>
        <v>229.08915242817525</v>
      </c>
      <c r="E80" s="6">
        <v>2.5</v>
      </c>
      <c r="F80" s="5">
        <v>12.45</v>
      </c>
      <c r="G80" s="7">
        <f t="shared" si="7"/>
        <v>402.87429906346136</v>
      </c>
      <c r="H80" s="7">
        <v>4.5</v>
      </c>
      <c r="I80" s="5">
        <v>1.98</v>
      </c>
      <c r="J80" s="7">
        <f t="shared" si="8"/>
        <v>65.088057242302639</v>
      </c>
      <c r="K80" s="9">
        <v>2.2999999999999998</v>
      </c>
      <c r="L80" s="5">
        <v>4.76</v>
      </c>
      <c r="M80" s="7">
        <f t="shared" si="9"/>
        <v>244.58614495999996</v>
      </c>
      <c r="N80" s="9">
        <v>4.8</v>
      </c>
      <c r="O80" s="5">
        <v>1.9</v>
      </c>
      <c r="P80" s="7">
        <f t="shared" si="10"/>
        <v>69.567894974307663</v>
      </c>
      <c r="Q80" s="9">
        <v>7.2</v>
      </c>
      <c r="R80" s="5">
        <v>1.91</v>
      </c>
      <c r="S80" s="7">
        <f t="shared" si="11"/>
        <v>38.662381900089237</v>
      </c>
      <c r="T80" s="9">
        <v>4.0999999999999996</v>
      </c>
    </row>
    <row r="81" spans="1:20" x14ac:dyDescent="0.3">
      <c r="A81" s="1">
        <v>45988.208337673612</v>
      </c>
      <c r="B81" s="5">
        <v>3</v>
      </c>
      <c r="C81" s="5">
        <v>3.36</v>
      </c>
      <c r="D81" s="6">
        <f t="shared" si="6"/>
        <v>256.51584323022621</v>
      </c>
      <c r="E81" s="6">
        <v>1.6</v>
      </c>
      <c r="F81" s="5">
        <v>12.96</v>
      </c>
      <c r="G81" s="7">
        <f t="shared" si="7"/>
        <v>470.26113324290776</v>
      </c>
      <c r="H81" s="7">
        <v>2.2000000000000002</v>
      </c>
      <c r="I81" s="5">
        <v>2.0499999999999998</v>
      </c>
      <c r="J81" s="7">
        <f t="shared" si="8"/>
        <v>74.663750826566528</v>
      </c>
      <c r="K81" s="9">
        <v>0.8</v>
      </c>
      <c r="L81" s="5">
        <v>4.8499999999999996</v>
      </c>
      <c r="M81" s="7">
        <f t="shared" si="9"/>
        <v>253.13909974999996</v>
      </c>
      <c r="N81" s="9">
        <v>0.6</v>
      </c>
      <c r="O81" s="5">
        <v>2.13</v>
      </c>
      <c r="P81" s="7">
        <f t="shared" si="10"/>
        <v>81.485685734910632</v>
      </c>
      <c r="Q81" s="9">
        <v>6.3</v>
      </c>
      <c r="R81" s="5">
        <v>1.95</v>
      </c>
      <c r="S81" s="7">
        <f t="shared" si="11"/>
        <v>40.544454773417584</v>
      </c>
      <c r="T81" s="9">
        <v>0</v>
      </c>
    </row>
    <row r="82" spans="1:20" x14ac:dyDescent="0.3">
      <c r="A82" s="1">
        <v>45988.250004398149</v>
      </c>
      <c r="B82" s="5">
        <v>2.8</v>
      </c>
      <c r="C82" s="5">
        <v>3.67</v>
      </c>
      <c r="D82" s="6">
        <f t="shared" si="6"/>
        <v>291.56175260000009</v>
      </c>
      <c r="E82" s="6">
        <v>0.5</v>
      </c>
      <c r="F82" s="5">
        <v>13.28</v>
      </c>
      <c r="G82" s="7">
        <f t="shared" si="7"/>
        <v>514.3799948169293</v>
      </c>
      <c r="H82" s="7">
        <v>0.3</v>
      </c>
      <c r="I82" s="5">
        <v>2.1</v>
      </c>
      <c r="J82" s="7">
        <f t="shared" si="8"/>
        <v>82.074352644841866</v>
      </c>
      <c r="K82" s="9">
        <v>12.3</v>
      </c>
      <c r="L82" s="5">
        <v>4.74</v>
      </c>
      <c r="M82" s="7">
        <f t="shared" si="9"/>
        <v>242.70512796</v>
      </c>
      <c r="N82" s="9">
        <v>5.9</v>
      </c>
      <c r="O82" s="5">
        <v>2.52</v>
      </c>
      <c r="P82" s="7">
        <f t="shared" si="10"/>
        <v>102.83186152933563</v>
      </c>
      <c r="Q82" s="9">
        <v>1.6</v>
      </c>
      <c r="R82" s="5">
        <v>1.89</v>
      </c>
      <c r="S82" s="7">
        <f t="shared" si="11"/>
        <v>37.743166676482609</v>
      </c>
      <c r="T82" s="9">
        <v>3.9</v>
      </c>
    </row>
    <row r="83" spans="1:20" x14ac:dyDescent="0.3">
      <c r="A83" s="1">
        <v>45988.291671122686</v>
      </c>
      <c r="B83" s="5">
        <v>2.5</v>
      </c>
      <c r="C83" s="5">
        <v>4.0199999999999996</v>
      </c>
      <c r="D83" s="6">
        <f t="shared" si="6"/>
        <v>336.90430160000005</v>
      </c>
      <c r="E83" s="6">
        <v>2</v>
      </c>
      <c r="F83" s="5">
        <v>13.59</v>
      </c>
      <c r="G83" s="7">
        <f t="shared" si="7"/>
        <v>558.42824691200633</v>
      </c>
      <c r="H83" s="7">
        <v>4.8</v>
      </c>
      <c r="I83" s="5">
        <v>2.1800000000000002</v>
      </c>
      <c r="J83" s="7">
        <f t="shared" si="8"/>
        <v>94.970486118870411</v>
      </c>
      <c r="K83" s="9">
        <v>8.9</v>
      </c>
      <c r="L83" s="5">
        <v>4.67</v>
      </c>
      <c r="M83" s="7">
        <f t="shared" si="9"/>
        <v>236.17780918999995</v>
      </c>
      <c r="N83" s="9">
        <v>5.9</v>
      </c>
      <c r="O83" s="5">
        <v>2.4500000000000002</v>
      </c>
      <c r="P83" s="7">
        <f t="shared" si="10"/>
        <v>98.900310930330633</v>
      </c>
      <c r="Q83" s="9">
        <v>7.9</v>
      </c>
      <c r="R83" s="5">
        <v>1.81</v>
      </c>
      <c r="S83" s="7">
        <f t="shared" si="11"/>
        <v>34.209284267824827</v>
      </c>
      <c r="T83" s="9">
        <v>6.2</v>
      </c>
    </row>
    <row r="84" spans="1:20" x14ac:dyDescent="0.3">
      <c r="A84" s="1">
        <v>45988.333337847223</v>
      </c>
      <c r="B84" s="5">
        <v>2.4</v>
      </c>
      <c r="C84" s="5">
        <v>4.34</v>
      </c>
      <c r="D84" s="6">
        <f t="shared" si="6"/>
        <v>381.18914000000012</v>
      </c>
      <c r="E84" s="6">
        <v>2.9</v>
      </c>
      <c r="F84" s="5">
        <v>13.87</v>
      </c>
      <c r="G84" s="7">
        <f t="shared" si="7"/>
        <v>599.29404067044572</v>
      </c>
      <c r="H84" s="7">
        <v>5.6</v>
      </c>
      <c r="I84" s="5">
        <v>2.19</v>
      </c>
      <c r="J84" s="7">
        <f t="shared" si="8"/>
        <v>96.675469403081379</v>
      </c>
      <c r="K84" s="9">
        <v>8</v>
      </c>
      <c r="L84" s="5">
        <v>4.37</v>
      </c>
      <c r="M84" s="7">
        <f t="shared" si="9"/>
        <v>209.19449398999998</v>
      </c>
      <c r="N84" s="9">
        <v>7.6</v>
      </c>
      <c r="O84" s="5">
        <v>2.33</v>
      </c>
      <c r="P84" s="7">
        <f t="shared" si="10"/>
        <v>92.260701609755003</v>
      </c>
      <c r="Q84" s="9">
        <v>16.100000000000001</v>
      </c>
      <c r="R84" s="5">
        <v>1.94</v>
      </c>
      <c r="S84" s="7">
        <f t="shared" si="11"/>
        <v>40.068447870572989</v>
      </c>
      <c r="T84" s="9">
        <v>7.1</v>
      </c>
    </row>
    <row r="85" spans="1:20" x14ac:dyDescent="0.3">
      <c r="A85" s="1">
        <v>45988.375004571761</v>
      </c>
      <c r="B85" s="5">
        <v>2.2000000000000002</v>
      </c>
      <c r="C85" s="5">
        <v>4.6399999999999997</v>
      </c>
      <c r="D85" s="6">
        <f t="shared" si="6"/>
        <v>425.16025999999994</v>
      </c>
      <c r="E85" s="6">
        <v>4</v>
      </c>
      <c r="F85" s="5">
        <v>14.09</v>
      </c>
      <c r="G85" s="7">
        <f t="shared" si="7"/>
        <v>632.107694522256</v>
      </c>
      <c r="H85" s="7">
        <v>1.8</v>
      </c>
      <c r="I85" s="5">
        <v>2.19</v>
      </c>
      <c r="J85" s="7">
        <f t="shared" si="8"/>
        <v>96.675469403081379</v>
      </c>
      <c r="K85" s="9">
        <v>5</v>
      </c>
      <c r="L85" s="5">
        <v>4.26</v>
      </c>
      <c r="M85" s="7">
        <f t="shared" si="9"/>
        <v>199.70322395999995</v>
      </c>
      <c r="N85" s="9">
        <v>2.5</v>
      </c>
      <c r="O85" s="5">
        <v>2.2999999999999998</v>
      </c>
      <c r="P85" s="7">
        <f t="shared" si="10"/>
        <v>90.620949630705809</v>
      </c>
      <c r="Q85" s="9">
        <v>9.6</v>
      </c>
      <c r="R85" s="5">
        <v>2.2000000000000002</v>
      </c>
      <c r="S85" s="7">
        <f t="shared" si="11"/>
        <v>53.675644144551732</v>
      </c>
      <c r="T85" s="9">
        <v>8.9</v>
      </c>
    </row>
    <row r="86" spans="1:20" x14ac:dyDescent="0.3">
      <c r="A86" s="1">
        <v>45988.416671296298</v>
      </c>
      <c r="B86" s="5">
        <v>2.1</v>
      </c>
      <c r="C86" s="5">
        <v>4.9000000000000004</v>
      </c>
      <c r="D86" s="6">
        <f t="shared" si="6"/>
        <v>465.18961040000016</v>
      </c>
      <c r="E86" s="6">
        <v>3</v>
      </c>
      <c r="F86" s="5">
        <v>14.27</v>
      </c>
      <c r="G86" s="7">
        <f t="shared" si="7"/>
        <v>700.86099006239988</v>
      </c>
      <c r="H86" s="7">
        <v>4.5999999999999996</v>
      </c>
      <c r="I86" s="5">
        <v>2.3199999999999998</v>
      </c>
      <c r="J86" s="7">
        <f t="shared" si="8"/>
        <v>107.21761874999993</v>
      </c>
      <c r="K86" s="9">
        <v>3.8</v>
      </c>
      <c r="L86" s="5">
        <v>4.29</v>
      </c>
      <c r="M86" s="7">
        <f t="shared" si="9"/>
        <v>202.27032710999998</v>
      </c>
      <c r="N86" s="9">
        <v>0.8</v>
      </c>
      <c r="O86" s="5">
        <v>2.5</v>
      </c>
      <c r="P86" s="7">
        <f t="shared" si="10"/>
        <v>101.70422936799505</v>
      </c>
      <c r="Q86" s="9">
        <v>7</v>
      </c>
      <c r="R86" s="5">
        <v>2.52</v>
      </c>
      <c r="S86" s="7">
        <f t="shared" si="11"/>
        <v>118.03831400000001</v>
      </c>
      <c r="T86" s="9">
        <v>4.8</v>
      </c>
    </row>
    <row r="87" spans="1:20" x14ac:dyDescent="0.3">
      <c r="A87" s="1">
        <v>45988.458338020835</v>
      </c>
      <c r="B87" s="5">
        <v>2</v>
      </c>
      <c r="C87" s="5">
        <v>5.14</v>
      </c>
      <c r="D87" s="6">
        <f t="shared" si="6"/>
        <v>503.72305999999998</v>
      </c>
      <c r="E87" s="6">
        <v>2</v>
      </c>
      <c r="F87" s="5">
        <v>14.45</v>
      </c>
      <c r="G87" s="7">
        <f t="shared" si="7"/>
        <v>732.37843933439979</v>
      </c>
      <c r="H87" s="7">
        <v>1.4</v>
      </c>
      <c r="I87" s="5">
        <v>2.35</v>
      </c>
      <c r="J87" s="7">
        <f t="shared" si="8"/>
        <v>108.32966475000001</v>
      </c>
      <c r="K87" s="9">
        <v>3.2</v>
      </c>
      <c r="L87" s="5">
        <v>4.34</v>
      </c>
      <c r="M87" s="7">
        <f t="shared" si="9"/>
        <v>206.58454075999998</v>
      </c>
      <c r="N87" s="9">
        <v>3.1</v>
      </c>
      <c r="O87" s="5">
        <v>2.71</v>
      </c>
      <c r="P87" s="7">
        <f t="shared" si="10"/>
        <v>113.71363280310106</v>
      </c>
      <c r="Q87" s="9">
        <v>6.1</v>
      </c>
      <c r="R87" s="5">
        <v>2.4500000000000002</v>
      </c>
      <c r="S87" s="7">
        <f t="shared" si="11"/>
        <v>69.314719022231884</v>
      </c>
      <c r="T87" s="9">
        <v>3.2</v>
      </c>
    </row>
    <row r="88" spans="1:20" x14ac:dyDescent="0.3">
      <c r="A88" s="1">
        <v>45988.500004745372</v>
      </c>
      <c r="B88" s="5">
        <v>2.2000000000000002</v>
      </c>
      <c r="C88" s="5">
        <v>5.35</v>
      </c>
      <c r="D88" s="6">
        <f t="shared" si="6"/>
        <v>538.68666140000005</v>
      </c>
      <c r="E88" s="6">
        <v>2.5</v>
      </c>
      <c r="F88" s="5">
        <v>14.59</v>
      </c>
      <c r="G88" s="7">
        <f t="shared" si="7"/>
        <v>757.33275787039986</v>
      </c>
      <c r="H88" s="7">
        <v>3.1</v>
      </c>
      <c r="I88" s="5">
        <v>2.4500000000000002</v>
      </c>
      <c r="J88" s="7">
        <f t="shared" si="8"/>
        <v>113.52615474999999</v>
      </c>
      <c r="K88" s="9">
        <v>2.5</v>
      </c>
      <c r="L88" s="5">
        <v>4.34</v>
      </c>
      <c r="M88" s="7">
        <f t="shared" si="9"/>
        <v>206.58454075999998</v>
      </c>
      <c r="N88" s="9">
        <v>3.6</v>
      </c>
      <c r="O88" s="5">
        <v>2.87</v>
      </c>
      <c r="P88" s="7">
        <f t="shared" si="10"/>
        <v>123.10809135017973</v>
      </c>
      <c r="Q88" s="9">
        <v>7.1</v>
      </c>
      <c r="R88" s="5">
        <v>2.5299999999999998</v>
      </c>
      <c r="S88" s="7">
        <f t="shared" si="11"/>
        <v>118.90121150000002</v>
      </c>
      <c r="T88" s="9">
        <v>1.2</v>
      </c>
    </row>
    <row r="89" spans="1:20" x14ac:dyDescent="0.3">
      <c r="A89" s="1">
        <v>45988.541671469909</v>
      </c>
      <c r="B89" s="5">
        <v>2.4500000000000002</v>
      </c>
      <c r="C89" s="5">
        <v>5.54</v>
      </c>
      <c r="D89" s="6">
        <f t="shared" si="6"/>
        <v>571.32313999999985</v>
      </c>
      <c r="E89" s="6">
        <v>1.8</v>
      </c>
      <c r="F89" s="5">
        <v>14.74</v>
      </c>
      <c r="G89" s="7">
        <f t="shared" si="7"/>
        <v>784.4974850804</v>
      </c>
      <c r="H89" s="7">
        <v>1.6</v>
      </c>
      <c r="I89" s="5">
        <v>2.4300000000000002</v>
      </c>
      <c r="J89" s="7">
        <f t="shared" si="8"/>
        <v>112.30351274999998</v>
      </c>
      <c r="K89" s="9">
        <v>0.5</v>
      </c>
      <c r="L89" s="5">
        <v>4.34</v>
      </c>
      <c r="M89" s="7">
        <f t="shared" si="9"/>
        <v>206.58454075999998</v>
      </c>
      <c r="N89" s="9">
        <v>0.8</v>
      </c>
      <c r="O89" s="5">
        <v>2.79</v>
      </c>
      <c r="P89" s="7">
        <f t="shared" si="10"/>
        <v>118.38501292852193</v>
      </c>
      <c r="Q89" s="9">
        <v>2.9</v>
      </c>
      <c r="R89" s="5">
        <v>2.6</v>
      </c>
      <c r="S89" s="7">
        <f t="shared" si="11"/>
        <v>125.04865000000001</v>
      </c>
      <c r="T89" s="9">
        <v>0.4</v>
      </c>
    </row>
    <row r="90" spans="1:20" x14ac:dyDescent="0.3">
      <c r="A90" s="1">
        <v>45988.583338194447</v>
      </c>
      <c r="B90" s="5">
        <v>2.7</v>
      </c>
      <c r="C90" s="5">
        <v>5.72</v>
      </c>
      <c r="D90" s="6">
        <f t="shared" si="6"/>
        <v>603.12062959999992</v>
      </c>
      <c r="E90" s="6">
        <v>0.7</v>
      </c>
      <c r="F90" s="5">
        <v>14.87</v>
      </c>
      <c r="G90" s="7">
        <f t="shared" si="7"/>
        <v>808.3983555023998</v>
      </c>
      <c r="H90" s="7">
        <v>0.5</v>
      </c>
      <c r="I90" s="5">
        <v>2.42</v>
      </c>
      <c r="J90" s="7">
        <f t="shared" si="8"/>
        <v>111.72656875000001</v>
      </c>
      <c r="K90" s="9">
        <v>1.2</v>
      </c>
      <c r="L90" s="5">
        <v>4.34</v>
      </c>
      <c r="M90" s="7">
        <f t="shared" si="9"/>
        <v>206.58454075999998</v>
      </c>
      <c r="N90" s="9">
        <v>0.6</v>
      </c>
      <c r="O90" s="5">
        <v>2.4500000000000002</v>
      </c>
      <c r="P90" s="7">
        <f t="shared" si="10"/>
        <v>98.900310930330633</v>
      </c>
      <c r="Q90" s="9">
        <v>1.4</v>
      </c>
      <c r="R90" s="5">
        <v>2.57</v>
      </c>
      <c r="S90" s="7">
        <f t="shared" si="11"/>
        <v>122.39107150000001</v>
      </c>
      <c r="T90" s="9">
        <v>0</v>
      </c>
    </row>
    <row r="91" spans="1:20" x14ac:dyDescent="0.3">
      <c r="A91" s="1">
        <v>45988.625004918984</v>
      </c>
      <c r="B91" s="5">
        <v>2.9</v>
      </c>
      <c r="C91" s="5">
        <v>5.88</v>
      </c>
      <c r="D91" s="6">
        <f t="shared" si="6"/>
        <v>632.10281839999982</v>
      </c>
      <c r="E91" s="6">
        <v>0</v>
      </c>
      <c r="F91" s="5">
        <v>14.99</v>
      </c>
      <c r="G91" s="7">
        <f t="shared" si="7"/>
        <v>830.75584043039999</v>
      </c>
      <c r="H91" s="7">
        <v>1.1000000000000001</v>
      </c>
      <c r="I91" s="5">
        <v>2.4500000000000002</v>
      </c>
      <c r="J91" s="7">
        <f t="shared" si="8"/>
        <v>113.52615474999999</v>
      </c>
      <c r="K91" s="9">
        <v>6.5</v>
      </c>
      <c r="L91" s="5">
        <v>4.32</v>
      </c>
      <c r="M91" s="7">
        <f t="shared" si="9"/>
        <v>204.85349904</v>
      </c>
      <c r="N91" s="9">
        <v>5.9</v>
      </c>
      <c r="O91" s="5">
        <v>2.2200000000000002</v>
      </c>
      <c r="P91" s="7">
        <f t="shared" si="10"/>
        <v>86.288491256065114</v>
      </c>
      <c r="Q91" s="9">
        <v>4</v>
      </c>
      <c r="R91" s="5">
        <v>2.5</v>
      </c>
      <c r="S91" s="7">
        <f t="shared" si="11"/>
        <v>72.761562889573682</v>
      </c>
      <c r="T91" s="9">
        <v>3.1</v>
      </c>
    </row>
    <row r="92" spans="1:20" x14ac:dyDescent="0.3">
      <c r="A92" s="1">
        <v>45988.666671643521</v>
      </c>
      <c r="B92" s="5">
        <v>3.1</v>
      </c>
      <c r="C92" s="5">
        <v>6.05</v>
      </c>
      <c r="D92" s="6">
        <f t="shared" si="6"/>
        <v>663.63657739999985</v>
      </c>
      <c r="E92" s="6">
        <v>1.2</v>
      </c>
      <c r="F92" s="5">
        <v>15.08</v>
      </c>
      <c r="G92" s="7">
        <f t="shared" si="7"/>
        <v>847.70989421640002</v>
      </c>
      <c r="H92" s="7">
        <v>4.2</v>
      </c>
      <c r="I92" s="5">
        <v>2.2799999999999998</v>
      </c>
      <c r="J92" s="7">
        <f t="shared" si="8"/>
        <v>106.05574275000004</v>
      </c>
      <c r="K92" s="9">
        <v>12</v>
      </c>
      <c r="L92" s="5">
        <v>4.25</v>
      </c>
      <c r="M92" s="7">
        <f t="shared" si="9"/>
        <v>198.85109374999999</v>
      </c>
      <c r="N92" s="9">
        <v>5</v>
      </c>
      <c r="O92" s="5">
        <v>2.13</v>
      </c>
      <c r="P92" s="7">
        <f t="shared" si="10"/>
        <v>81.485685734910632</v>
      </c>
      <c r="Q92" s="9">
        <v>8.1</v>
      </c>
      <c r="R92" s="5">
        <v>2.4700000000000002</v>
      </c>
      <c r="S92" s="7">
        <f t="shared" si="11"/>
        <v>70.680342180827509</v>
      </c>
      <c r="T92" s="9">
        <v>30.2</v>
      </c>
    </row>
    <row r="93" spans="1:20" x14ac:dyDescent="0.3">
      <c r="A93" s="1">
        <v>45988.708338368058</v>
      </c>
      <c r="B93" s="5">
        <v>3.2</v>
      </c>
      <c r="C93" s="5">
        <v>6.17</v>
      </c>
      <c r="D93" s="6">
        <f t="shared" si="6"/>
        <v>686.35485260000007</v>
      </c>
      <c r="E93" s="6">
        <v>2</v>
      </c>
      <c r="F93" s="5">
        <v>15.15</v>
      </c>
      <c r="G93" s="7">
        <f t="shared" si="7"/>
        <v>861.00656721439987</v>
      </c>
      <c r="H93" s="7">
        <v>1</v>
      </c>
      <c r="I93" s="5">
        <v>2.5499999999999998</v>
      </c>
      <c r="J93" s="7">
        <f t="shared" si="8"/>
        <v>121.01444475000005</v>
      </c>
      <c r="K93" s="9">
        <v>10</v>
      </c>
      <c r="L93" s="5">
        <v>4.1900000000000004</v>
      </c>
      <c r="M93" s="7">
        <f t="shared" si="9"/>
        <v>193.77580631000004</v>
      </c>
      <c r="N93" s="9">
        <v>5.9</v>
      </c>
      <c r="O93" s="5">
        <v>2.2200000000000002</v>
      </c>
      <c r="P93" s="7">
        <f t="shared" si="10"/>
        <v>86.288491256065114</v>
      </c>
      <c r="Q93" s="9">
        <v>9.6999999999999993</v>
      </c>
      <c r="R93" s="5">
        <v>2.68</v>
      </c>
      <c r="S93" s="7">
        <f t="shared" si="11"/>
        <v>132.30391400000002</v>
      </c>
      <c r="T93" s="9">
        <v>11</v>
      </c>
    </row>
    <row r="94" spans="1:20" x14ac:dyDescent="0.3">
      <c r="A94" s="1">
        <v>45988.750005092596</v>
      </c>
      <c r="B94" s="5">
        <v>3.2</v>
      </c>
      <c r="C94" s="5">
        <v>6.27</v>
      </c>
      <c r="D94" s="6">
        <f t="shared" si="6"/>
        <v>705.57701659999998</v>
      </c>
      <c r="E94" s="6">
        <v>0.5</v>
      </c>
      <c r="F94" s="5">
        <v>15.21</v>
      </c>
      <c r="G94" s="7">
        <f t="shared" si="7"/>
        <v>872.48045267840007</v>
      </c>
      <c r="H94" s="7">
        <v>5</v>
      </c>
      <c r="I94" s="5">
        <v>3.39</v>
      </c>
      <c r="J94" s="7">
        <f t="shared" si="8"/>
        <v>274.39634475000003</v>
      </c>
      <c r="K94" s="9">
        <v>7.5</v>
      </c>
      <c r="L94" s="5">
        <v>4.3</v>
      </c>
      <c r="M94" s="7">
        <f t="shared" si="9"/>
        <v>203.12959899999998</v>
      </c>
      <c r="N94" s="9">
        <v>8.4</v>
      </c>
      <c r="O94" s="5">
        <v>3.63</v>
      </c>
      <c r="P94" s="7">
        <f t="shared" si="10"/>
        <v>170.39953965112895</v>
      </c>
      <c r="Q94" s="9">
        <v>7.8</v>
      </c>
      <c r="R94" s="5">
        <v>2.87</v>
      </c>
      <c r="S94" s="7">
        <f t="shared" si="11"/>
        <v>150.51679150000004</v>
      </c>
      <c r="T94" s="9">
        <v>8.9</v>
      </c>
    </row>
    <row r="95" spans="1:20" x14ac:dyDescent="0.3">
      <c r="A95" s="1">
        <v>45988.791671817133</v>
      </c>
      <c r="B95" s="5">
        <v>3.3</v>
      </c>
      <c r="C95" s="5">
        <v>6.39</v>
      </c>
      <c r="D95" s="6">
        <f t="shared" si="6"/>
        <v>728.99193499999978</v>
      </c>
      <c r="E95" s="6">
        <v>4</v>
      </c>
      <c r="F95" s="5">
        <v>15.28</v>
      </c>
      <c r="G95" s="7">
        <f t="shared" si="7"/>
        <v>885.95617909639975</v>
      </c>
      <c r="H95" s="7">
        <v>8</v>
      </c>
      <c r="I95" s="5">
        <v>3.76</v>
      </c>
      <c r="J95" s="7">
        <f t="shared" si="8"/>
        <v>393.25936275000004</v>
      </c>
      <c r="K95" s="9">
        <v>7.2</v>
      </c>
      <c r="L95" s="5">
        <v>4.54</v>
      </c>
      <c r="M95" s="7">
        <f t="shared" si="9"/>
        <v>224.28775035999996</v>
      </c>
      <c r="N95" s="9">
        <v>6.4</v>
      </c>
      <c r="O95" s="5">
        <v>4.33</v>
      </c>
      <c r="P95" s="7">
        <f t="shared" si="10"/>
        <v>217.49114537224716</v>
      </c>
      <c r="Q95" s="9">
        <v>13.4</v>
      </c>
      <c r="R95" s="5">
        <v>3.02</v>
      </c>
      <c r="S95" s="7">
        <f t="shared" si="11"/>
        <v>165.871264</v>
      </c>
      <c r="T95" s="9">
        <v>6.7</v>
      </c>
    </row>
    <row r="96" spans="1:20" x14ac:dyDescent="0.3">
      <c r="A96" s="1">
        <v>45988.83333854167</v>
      </c>
      <c r="B96" s="5">
        <v>3.6</v>
      </c>
      <c r="C96" s="5">
        <v>6.5</v>
      </c>
      <c r="D96" s="6">
        <f t="shared" si="6"/>
        <v>750.78941840000005</v>
      </c>
      <c r="E96" s="6">
        <v>6.8</v>
      </c>
      <c r="F96" s="5">
        <v>15.4</v>
      </c>
      <c r="G96" s="7">
        <f t="shared" si="7"/>
        <v>909.28173306439999</v>
      </c>
      <c r="H96" s="7">
        <v>7.5</v>
      </c>
      <c r="I96" s="5">
        <v>3.94</v>
      </c>
      <c r="J96" s="7">
        <f t="shared" si="8"/>
        <v>462.42902475000005</v>
      </c>
      <c r="K96" s="9">
        <v>21.2</v>
      </c>
      <c r="L96" s="5">
        <v>4.8600000000000003</v>
      </c>
      <c r="M96" s="7">
        <f t="shared" si="9"/>
        <v>254.09835515999998</v>
      </c>
      <c r="N96" s="9">
        <v>14.3</v>
      </c>
      <c r="O96" s="5">
        <v>4.54</v>
      </c>
      <c r="P96" s="7">
        <f t="shared" si="10"/>
        <v>232.22208423232703</v>
      </c>
      <c r="Q96" s="9">
        <v>11.1</v>
      </c>
      <c r="R96" s="5">
        <v>3.18</v>
      </c>
      <c r="S96" s="7">
        <f t="shared" si="11"/>
        <v>183.19846400000003</v>
      </c>
      <c r="T96" s="9">
        <v>5.8</v>
      </c>
    </row>
    <row r="97" spans="1:20" x14ac:dyDescent="0.3">
      <c r="A97" s="1">
        <v>45988.875005266207</v>
      </c>
      <c r="B97" s="5">
        <v>3.7</v>
      </c>
      <c r="C97" s="5">
        <v>6.58</v>
      </c>
      <c r="D97" s="6">
        <f t="shared" si="6"/>
        <v>766.84268240000006</v>
      </c>
      <c r="E97" s="6">
        <v>5.7</v>
      </c>
      <c r="F97" s="5">
        <v>15.57</v>
      </c>
      <c r="G97" s="7">
        <f t="shared" si="7"/>
        <v>942.81128618239995</v>
      </c>
      <c r="H97" s="7">
        <v>6.6</v>
      </c>
      <c r="I97" s="5">
        <v>5.47</v>
      </c>
      <c r="J97" s="7">
        <f t="shared" si="8"/>
        <v>1350.1729687500001</v>
      </c>
      <c r="K97" s="9">
        <v>7.3</v>
      </c>
      <c r="L97" s="5">
        <v>5.2</v>
      </c>
      <c r="M97" s="7">
        <f t="shared" si="9"/>
        <v>287.77536400000002</v>
      </c>
      <c r="N97" s="9">
        <v>9.8000000000000007</v>
      </c>
      <c r="O97" s="5">
        <v>4.66</v>
      </c>
      <c r="P97" s="7">
        <f t="shared" si="10"/>
        <v>240.75873952393744</v>
      </c>
      <c r="Q97" s="9">
        <v>22.9</v>
      </c>
      <c r="R97" s="5">
        <v>3.4</v>
      </c>
      <c r="S97" s="7">
        <f t="shared" si="11"/>
        <v>208.62305000000001</v>
      </c>
      <c r="T97" s="9">
        <v>14.5</v>
      </c>
    </row>
    <row r="98" spans="1:20" x14ac:dyDescent="0.3">
      <c r="A98" s="1">
        <v>45988.916671990744</v>
      </c>
      <c r="B98" s="5">
        <v>3.7</v>
      </c>
      <c r="C98" s="5">
        <v>6.69</v>
      </c>
      <c r="D98" s="6">
        <f t="shared" si="6"/>
        <v>789.19167499999992</v>
      </c>
      <c r="E98" s="6">
        <v>3.7</v>
      </c>
      <c r="F98" s="5">
        <v>15.79</v>
      </c>
      <c r="G98" s="7">
        <f t="shared" si="7"/>
        <v>987.04658155039976</v>
      </c>
      <c r="H98" s="7">
        <v>9.3000000000000007</v>
      </c>
      <c r="I98" s="5">
        <v>5.81</v>
      </c>
      <c r="J98" s="7">
        <f t="shared" si="8"/>
        <v>1620.3057227499999</v>
      </c>
      <c r="K98" s="9">
        <v>16.7</v>
      </c>
      <c r="L98" s="5">
        <v>5.6</v>
      </c>
      <c r="M98" s="7">
        <f t="shared" si="9"/>
        <v>330.0377959999999</v>
      </c>
      <c r="N98" s="9">
        <v>10.9</v>
      </c>
      <c r="O98" s="5">
        <v>5.08</v>
      </c>
      <c r="P98" s="7">
        <f t="shared" si="10"/>
        <v>271.29627731536311</v>
      </c>
      <c r="Q98" s="9">
        <v>6.8</v>
      </c>
      <c r="R98" s="5">
        <v>3.6</v>
      </c>
      <c r="S98" s="7">
        <f t="shared" si="11"/>
        <v>233.34365000000003</v>
      </c>
      <c r="T98" s="9">
        <v>8.5</v>
      </c>
    </row>
    <row r="99" spans="1:20" x14ac:dyDescent="0.3">
      <c r="A99" s="1">
        <v>45988.958338715274</v>
      </c>
      <c r="B99" s="5">
        <v>3.75</v>
      </c>
      <c r="C99" s="5">
        <v>6.82</v>
      </c>
      <c r="D99" s="6">
        <f t="shared" si="6"/>
        <v>816.01577360000022</v>
      </c>
      <c r="E99" s="6">
        <v>2.5</v>
      </c>
      <c r="F99" s="5">
        <v>16.05</v>
      </c>
      <c r="G99" s="7">
        <f t="shared" si="7"/>
        <v>1040.5524527744001</v>
      </c>
      <c r="H99" s="7">
        <v>9.1999999999999993</v>
      </c>
      <c r="I99" s="5">
        <v>5.85</v>
      </c>
      <c r="J99" s="7">
        <f t="shared" si="8"/>
        <v>1653.8278147500005</v>
      </c>
      <c r="K99" s="9">
        <v>12.2</v>
      </c>
      <c r="L99" s="5">
        <v>6</v>
      </c>
      <c r="M99" s="7">
        <f t="shared" si="9"/>
        <v>375.15689999999995</v>
      </c>
      <c r="N99" s="9">
        <v>19</v>
      </c>
      <c r="O99" s="5">
        <v>5.98</v>
      </c>
      <c r="P99" s="7">
        <f t="shared" si="10"/>
        <v>339.99202317155948</v>
      </c>
      <c r="Q99" s="9">
        <v>12.4</v>
      </c>
      <c r="R99" s="5">
        <v>3.72</v>
      </c>
      <c r="S99" s="7">
        <f t="shared" si="11"/>
        <v>248.91079400000015</v>
      </c>
      <c r="T99" s="9">
        <v>2.6</v>
      </c>
    </row>
    <row r="100" spans="1:20" x14ac:dyDescent="0.3">
      <c r="A100" s="1">
        <v>45989.000005439812</v>
      </c>
      <c r="B100" s="5">
        <v>3.9</v>
      </c>
      <c r="C100" s="5">
        <v>6.95</v>
      </c>
      <c r="D100" s="6">
        <f t="shared" si="6"/>
        <v>843.2858293999999</v>
      </c>
      <c r="E100" s="6">
        <v>12.4</v>
      </c>
      <c r="F100" s="5">
        <v>16.350000000000001</v>
      </c>
      <c r="G100" s="7">
        <f t="shared" si="7"/>
        <v>1103.9427972944006</v>
      </c>
      <c r="H100" s="7">
        <v>17.5</v>
      </c>
      <c r="I100" s="5">
        <v>6.18</v>
      </c>
      <c r="J100" s="7">
        <f t="shared" si="8"/>
        <v>1944.3765127500001</v>
      </c>
      <c r="K100" s="9">
        <v>28</v>
      </c>
      <c r="L100" s="5">
        <v>6.4</v>
      </c>
      <c r="M100" s="7">
        <f t="shared" si="9"/>
        <v>423.13267600000006</v>
      </c>
      <c r="N100" s="9">
        <v>13.2</v>
      </c>
      <c r="O100" s="5">
        <v>6.66</v>
      </c>
      <c r="P100" s="7">
        <f t="shared" si="10"/>
        <v>394.63288072952798</v>
      </c>
      <c r="Q100" s="9">
        <v>22.2</v>
      </c>
      <c r="R100" s="5">
        <v>3.8</v>
      </c>
      <c r="S100" s="7">
        <f t="shared" si="11"/>
        <v>259.59505000000001</v>
      </c>
      <c r="T100" s="9">
        <v>21.2</v>
      </c>
    </row>
    <row r="101" spans="1:20" x14ac:dyDescent="0.3">
      <c r="A101" s="1">
        <v>45989.041672164349</v>
      </c>
      <c r="B101" s="5">
        <v>4.2</v>
      </c>
      <c r="C101" s="5">
        <v>7.16</v>
      </c>
      <c r="D101" s="6">
        <f t="shared" si="6"/>
        <v>888.27950960000021</v>
      </c>
      <c r="E101" s="6">
        <v>16</v>
      </c>
      <c r="F101" s="5">
        <v>16.66</v>
      </c>
      <c r="G101" s="7">
        <f t="shared" si="7"/>
        <v>1171.3065380084004</v>
      </c>
      <c r="H101" s="7">
        <v>16.5</v>
      </c>
      <c r="I101" s="5">
        <v>6.1</v>
      </c>
      <c r="J101" s="7">
        <f t="shared" si="8"/>
        <v>1871.6486647500001</v>
      </c>
      <c r="K101" s="9">
        <v>16</v>
      </c>
      <c r="L101" s="5">
        <v>6.69</v>
      </c>
      <c r="M101" s="7">
        <f t="shared" si="9"/>
        <v>459.70142630999999</v>
      </c>
      <c r="N101" s="9">
        <v>4.8</v>
      </c>
      <c r="O101" s="5">
        <v>7.03</v>
      </c>
      <c r="P101" s="7">
        <f t="shared" si="10"/>
        <v>425.2912114304699</v>
      </c>
      <c r="Q101" s="9">
        <v>14.3</v>
      </c>
      <c r="R101" s="8">
        <v>3.83</v>
      </c>
      <c r="S101" s="7">
        <f t="shared" si="11"/>
        <v>263.66479149999998</v>
      </c>
      <c r="T101" s="9">
        <v>4.5</v>
      </c>
    </row>
    <row r="102" spans="1:20" x14ac:dyDescent="0.3">
      <c r="A102" s="1">
        <v>45989.083338888886</v>
      </c>
      <c r="B102" s="5">
        <v>4.4000000000000004</v>
      </c>
      <c r="C102" s="5">
        <v>7.3</v>
      </c>
      <c r="D102" s="6">
        <f t="shared" si="6"/>
        <v>918.92180239999982</v>
      </c>
      <c r="E102" s="6">
        <v>12.4</v>
      </c>
      <c r="F102" s="5">
        <v>16.98</v>
      </c>
      <c r="G102" s="7">
        <f t="shared" si="7"/>
        <v>1242.8266635764003</v>
      </c>
      <c r="H102" s="7">
        <v>10.5</v>
      </c>
      <c r="I102" s="5">
        <v>6.18</v>
      </c>
      <c r="J102" s="7">
        <f t="shared" si="8"/>
        <v>1944.3765127500001</v>
      </c>
      <c r="K102" s="9">
        <v>17</v>
      </c>
      <c r="L102" s="5">
        <v>6.91</v>
      </c>
      <c r="M102" s="7">
        <f t="shared" si="9"/>
        <v>488.44485750999996</v>
      </c>
      <c r="N102" s="9">
        <v>10.1</v>
      </c>
      <c r="O102" s="5">
        <v>7.4</v>
      </c>
      <c r="P102" s="7">
        <f t="shared" si="10"/>
        <v>456.57537363418101</v>
      </c>
      <c r="Q102" s="9">
        <v>7.7</v>
      </c>
      <c r="R102" s="5">
        <v>3.75</v>
      </c>
      <c r="S102" s="7">
        <f t="shared" si="11"/>
        <v>252.88868750000003</v>
      </c>
      <c r="T102" s="9">
        <v>2.1</v>
      </c>
    </row>
    <row r="103" spans="1:20" x14ac:dyDescent="0.3">
      <c r="A103" s="1">
        <v>45989.125005613423</v>
      </c>
      <c r="B103" s="5">
        <v>4.9000000000000004</v>
      </c>
      <c r="C103" s="5">
        <v>7.48</v>
      </c>
      <c r="D103" s="6">
        <f t="shared" si="6"/>
        <v>959.07901040000013</v>
      </c>
      <c r="E103" s="6">
        <v>12.1</v>
      </c>
      <c r="F103" s="5">
        <v>17.3</v>
      </c>
      <c r="G103" s="7">
        <f t="shared" si="7"/>
        <v>1316.3616320244005</v>
      </c>
      <c r="H103" s="7">
        <v>7</v>
      </c>
      <c r="I103" s="5">
        <v>6.18</v>
      </c>
      <c r="J103" s="7">
        <f t="shared" si="8"/>
        <v>1944.3765127500001</v>
      </c>
      <c r="K103" s="9">
        <v>15.5</v>
      </c>
      <c r="L103" s="5">
        <v>7.14</v>
      </c>
      <c r="M103" s="7">
        <f t="shared" si="9"/>
        <v>519.41876316000003</v>
      </c>
      <c r="N103" s="9">
        <v>5.6</v>
      </c>
      <c r="O103" s="5">
        <v>7.56</v>
      </c>
      <c r="P103" s="7">
        <f t="shared" si="10"/>
        <v>470.29254023779521</v>
      </c>
      <c r="Q103" s="9">
        <v>12.9</v>
      </c>
      <c r="R103" s="5">
        <v>3.6</v>
      </c>
      <c r="S103" s="7">
        <f t="shared" si="11"/>
        <v>233.34365000000003</v>
      </c>
      <c r="T103" s="9">
        <v>2</v>
      </c>
    </row>
    <row r="104" spans="1:20" x14ac:dyDescent="0.3">
      <c r="A104" s="1">
        <v>45989.16667233796</v>
      </c>
      <c r="B104" s="5">
        <v>5</v>
      </c>
      <c r="C104" s="5">
        <v>7.7</v>
      </c>
      <c r="D104" s="6">
        <f t="shared" si="6"/>
        <v>1009.3211143999999</v>
      </c>
      <c r="E104" s="6">
        <v>28.7</v>
      </c>
      <c r="F104" s="5">
        <v>17.600000000000001</v>
      </c>
      <c r="G104" s="7">
        <f t="shared" si="7"/>
        <v>1387.1305515444008</v>
      </c>
      <c r="H104" s="7">
        <v>11.5</v>
      </c>
      <c r="I104" s="5">
        <v>6.05</v>
      </c>
      <c r="J104" s="7">
        <f t="shared" si="8"/>
        <v>1826.93859475</v>
      </c>
      <c r="K104" s="9">
        <v>7</v>
      </c>
      <c r="L104" s="8">
        <v>7.27</v>
      </c>
      <c r="M104" s="7">
        <f t="shared" si="9"/>
        <v>537.34354158999997</v>
      </c>
      <c r="N104" s="9">
        <v>4.5</v>
      </c>
      <c r="O104" s="5">
        <v>7.54</v>
      </c>
      <c r="P104" s="7">
        <f t="shared" si="10"/>
        <v>468.57174592771003</v>
      </c>
      <c r="Q104" s="9">
        <v>9.1</v>
      </c>
      <c r="R104" s="5">
        <v>3.53</v>
      </c>
      <c r="S104" s="7">
        <f t="shared" si="11"/>
        <v>224.51731149999998</v>
      </c>
      <c r="T104" s="9">
        <v>3.2</v>
      </c>
    </row>
    <row r="105" spans="1:20" x14ac:dyDescent="0.3">
      <c r="A105" s="1">
        <v>45989.208339062498</v>
      </c>
      <c r="B105" s="5">
        <v>5.3</v>
      </c>
      <c r="C105" s="5">
        <v>7.86</v>
      </c>
      <c r="D105" s="6">
        <f t="shared" si="6"/>
        <v>1046.6630216000001</v>
      </c>
      <c r="E105" s="6">
        <v>13</v>
      </c>
      <c r="F105" s="5">
        <v>17.940000000000001</v>
      </c>
      <c r="G105" s="7">
        <f t="shared" si="7"/>
        <v>1469.4760975604008</v>
      </c>
      <c r="H105" s="7">
        <v>16.2</v>
      </c>
      <c r="I105" s="5">
        <v>5.65</v>
      </c>
      <c r="J105" s="7">
        <f t="shared" si="8"/>
        <v>1489.8842347500004</v>
      </c>
      <c r="K105" s="9">
        <v>5</v>
      </c>
      <c r="L105" s="5">
        <v>7.27</v>
      </c>
      <c r="M105" s="7">
        <f t="shared" si="9"/>
        <v>537.34354158999997</v>
      </c>
      <c r="N105" s="9">
        <v>0.6</v>
      </c>
      <c r="O105" s="5">
        <v>7.46</v>
      </c>
      <c r="P105" s="7">
        <f t="shared" si="10"/>
        <v>461.70610685718117</v>
      </c>
      <c r="Q105" s="9">
        <v>10</v>
      </c>
      <c r="R105" s="5">
        <v>3.15</v>
      </c>
      <c r="S105" s="7">
        <f t="shared" si="11"/>
        <v>179.8749875</v>
      </c>
      <c r="T105" s="9">
        <v>17.399999999999999</v>
      </c>
    </row>
    <row r="106" spans="1:20" x14ac:dyDescent="0.3">
      <c r="A106" s="1">
        <v>45989.250005787035</v>
      </c>
      <c r="B106" s="5">
        <v>5.4</v>
      </c>
      <c r="C106" s="5">
        <v>8.02</v>
      </c>
      <c r="D106" s="6">
        <f t="shared" si="6"/>
        <v>1084.6804616000002</v>
      </c>
      <c r="E106" s="6">
        <v>9</v>
      </c>
      <c r="F106" s="5">
        <v>18.25</v>
      </c>
      <c r="G106" s="7">
        <f t="shared" si="7"/>
        <v>1546.5382372544002</v>
      </c>
      <c r="H106" s="7">
        <v>16.5</v>
      </c>
      <c r="I106" s="5">
        <v>5.3</v>
      </c>
      <c r="J106" s="7">
        <f t="shared" si="8"/>
        <v>1225.04154475</v>
      </c>
      <c r="K106" s="9">
        <v>9.1999999999999993</v>
      </c>
      <c r="L106" s="5">
        <v>7.27</v>
      </c>
      <c r="M106" s="7">
        <f t="shared" si="9"/>
        <v>537.34354158999997</v>
      </c>
      <c r="N106" s="9">
        <v>2.2000000000000002</v>
      </c>
      <c r="O106" s="5">
        <v>7.25</v>
      </c>
      <c r="P106" s="7">
        <f t="shared" si="10"/>
        <v>443.81846079853858</v>
      </c>
      <c r="Q106" s="9">
        <v>8.9</v>
      </c>
      <c r="R106" s="5">
        <v>2.88</v>
      </c>
      <c r="S106" s="7">
        <f t="shared" si="11"/>
        <v>151.51363399999997</v>
      </c>
      <c r="T106" s="9">
        <v>4.5</v>
      </c>
    </row>
    <row r="107" spans="1:20" x14ac:dyDescent="0.3">
      <c r="A107" s="1">
        <v>45989.291672511572</v>
      </c>
      <c r="B107" s="5">
        <v>5.5</v>
      </c>
      <c r="C107" s="5">
        <v>8.1999999999999993</v>
      </c>
      <c r="D107" s="6">
        <f t="shared" si="6"/>
        <v>1128.2575544000001</v>
      </c>
      <c r="E107" s="6">
        <v>17.899999999999999</v>
      </c>
      <c r="F107" s="5">
        <v>18.57</v>
      </c>
      <c r="G107" s="7">
        <f t="shared" si="7"/>
        <v>1628.0696133824003</v>
      </c>
      <c r="H107" s="7">
        <v>14</v>
      </c>
      <c r="I107" s="5">
        <v>5.25</v>
      </c>
      <c r="J107" s="7">
        <f t="shared" si="8"/>
        <v>1189.4986747500002</v>
      </c>
      <c r="K107" s="9">
        <v>7</v>
      </c>
      <c r="L107" s="5">
        <v>6.99</v>
      </c>
      <c r="M107" s="7">
        <f t="shared" si="9"/>
        <v>499.11126470999994</v>
      </c>
      <c r="N107" s="9">
        <v>4.8</v>
      </c>
      <c r="O107" s="5">
        <v>7.04</v>
      </c>
      <c r="P107" s="7">
        <f t="shared" si="10"/>
        <v>426.1285920577368</v>
      </c>
      <c r="Q107" s="9">
        <v>11.4</v>
      </c>
      <c r="R107" s="5">
        <v>2.75</v>
      </c>
      <c r="S107" s="7">
        <f t="shared" si="11"/>
        <v>138.85318749999999</v>
      </c>
      <c r="T107" s="9">
        <v>4.2</v>
      </c>
    </row>
    <row r="108" spans="1:20" x14ac:dyDescent="0.3">
      <c r="A108" s="1">
        <v>45989.333339236109</v>
      </c>
      <c r="B108" s="5">
        <v>5.7</v>
      </c>
      <c r="C108" s="5">
        <v>8.3699999999999992</v>
      </c>
      <c r="D108" s="6">
        <f t="shared" si="6"/>
        <v>1170.1987406000003</v>
      </c>
      <c r="E108" s="6">
        <v>25</v>
      </c>
      <c r="F108" s="5">
        <v>18.920000000000002</v>
      </c>
      <c r="G108" s="7">
        <f t="shared" si="7"/>
        <v>1719.5515904724007</v>
      </c>
      <c r="H108" s="7">
        <v>2.9</v>
      </c>
      <c r="I108" s="5">
        <v>5.0999999999999996</v>
      </c>
      <c r="J108" s="7">
        <f t="shared" si="8"/>
        <v>1086.3077647500002</v>
      </c>
      <c r="K108" s="9">
        <v>7.3</v>
      </c>
      <c r="L108" s="5">
        <v>6.57</v>
      </c>
      <c r="M108" s="7">
        <f t="shared" si="9"/>
        <v>444.38741678999997</v>
      </c>
      <c r="N108" s="9">
        <v>10.6</v>
      </c>
      <c r="O108" s="5">
        <v>6.99</v>
      </c>
      <c r="P108" s="7">
        <f t="shared" si="10"/>
        <v>421.94626333585205</v>
      </c>
      <c r="Q108" s="9">
        <v>15.1</v>
      </c>
      <c r="R108" s="5">
        <v>2.64</v>
      </c>
      <c r="S108" s="7">
        <f t="shared" si="11"/>
        <v>128.64566600000001</v>
      </c>
      <c r="T108" s="9">
        <v>2.6</v>
      </c>
    </row>
    <row r="109" spans="1:20" x14ac:dyDescent="0.3">
      <c r="A109" s="1">
        <v>45989.375005960646</v>
      </c>
      <c r="B109" s="5">
        <v>5.7</v>
      </c>
      <c r="C109" s="5">
        <v>8.59</v>
      </c>
      <c r="D109" s="6">
        <f t="shared" si="6"/>
        <v>1225.6076150000004</v>
      </c>
      <c r="E109" s="6">
        <v>12.6</v>
      </c>
      <c r="F109" s="5">
        <v>19.27</v>
      </c>
      <c r="G109" s="7">
        <f t="shared" si="7"/>
        <v>1813.4439020624004</v>
      </c>
      <c r="H109" s="7">
        <v>32.4</v>
      </c>
      <c r="I109" s="5">
        <v>5.05</v>
      </c>
      <c r="J109" s="7">
        <f t="shared" si="8"/>
        <v>1053.0566947500001</v>
      </c>
      <c r="K109" s="9">
        <v>21.5</v>
      </c>
      <c r="L109" s="5">
        <v>6.23</v>
      </c>
      <c r="M109" s="7">
        <f t="shared" si="9"/>
        <v>402.39392159000005</v>
      </c>
      <c r="N109" s="9">
        <v>14.6</v>
      </c>
      <c r="O109" s="5">
        <v>7.09</v>
      </c>
      <c r="P109" s="7">
        <f t="shared" si="10"/>
        <v>430.32233681958206</v>
      </c>
      <c r="Q109" s="9">
        <v>22.9</v>
      </c>
      <c r="R109" s="5">
        <v>2.54</v>
      </c>
      <c r="S109" s="7">
        <f t="shared" si="11"/>
        <v>119.76793600000002</v>
      </c>
      <c r="T109" s="9">
        <v>1</v>
      </c>
    </row>
    <row r="110" spans="1:20" x14ac:dyDescent="0.3">
      <c r="A110" s="1">
        <v>45989.416672685184</v>
      </c>
      <c r="B110" s="5">
        <v>5.7</v>
      </c>
      <c r="C110" s="5">
        <v>8.7799999999999994</v>
      </c>
      <c r="D110" s="6">
        <f t="shared" si="6"/>
        <v>1274.4885464000001</v>
      </c>
      <c r="E110" s="6">
        <v>8.1</v>
      </c>
      <c r="F110" s="5">
        <v>19.61</v>
      </c>
      <c r="G110" s="7">
        <f t="shared" si="7"/>
        <v>1906.9615944384004</v>
      </c>
      <c r="H110" s="7">
        <v>17.3</v>
      </c>
      <c r="I110" s="5">
        <v>5.38</v>
      </c>
      <c r="J110" s="7">
        <f t="shared" si="8"/>
        <v>1283.1018727500004</v>
      </c>
      <c r="K110" s="9">
        <v>30.5</v>
      </c>
      <c r="L110" s="5">
        <v>5.9</v>
      </c>
      <c r="M110" s="7">
        <f t="shared" si="9"/>
        <v>363.60931099999999</v>
      </c>
      <c r="N110" s="9">
        <v>14</v>
      </c>
      <c r="O110" s="5">
        <v>7.45</v>
      </c>
      <c r="P110" s="7">
        <f t="shared" si="10"/>
        <v>460.84988096796536</v>
      </c>
      <c r="Q110" s="9">
        <v>27</v>
      </c>
      <c r="R110" s="5">
        <v>2.56</v>
      </c>
      <c r="S110" s="7">
        <f t="shared" si="11"/>
        <v>121.51286600000003</v>
      </c>
      <c r="T110" s="9">
        <v>4.8</v>
      </c>
    </row>
    <row r="111" spans="1:20" x14ac:dyDescent="0.3">
      <c r="A111" s="1">
        <v>45989.458339409721</v>
      </c>
      <c r="B111" s="5">
        <v>5.7</v>
      </c>
      <c r="C111" s="5">
        <v>8.9499999999999993</v>
      </c>
      <c r="D111" s="6">
        <f t="shared" si="6"/>
        <v>1319.0315894000003</v>
      </c>
      <c r="E111" s="6">
        <v>4</v>
      </c>
      <c r="F111" s="5">
        <v>19.899999999999999</v>
      </c>
      <c r="G111" s="7">
        <f t="shared" si="7"/>
        <v>1988.5241058644001</v>
      </c>
      <c r="H111" s="7">
        <v>8</v>
      </c>
      <c r="I111" s="5">
        <v>6.25</v>
      </c>
      <c r="J111" s="7">
        <f t="shared" si="8"/>
        <v>2009.2165747499998</v>
      </c>
      <c r="K111" s="9">
        <v>17.399999999999999</v>
      </c>
      <c r="L111" s="5">
        <v>5.89</v>
      </c>
      <c r="M111" s="7">
        <f t="shared" si="9"/>
        <v>362.46437190999995</v>
      </c>
      <c r="N111" s="9">
        <v>5.9</v>
      </c>
      <c r="O111" s="5">
        <v>8.08</v>
      </c>
      <c r="P111" s="7">
        <f t="shared" si="10"/>
        <v>515.63865921634692</v>
      </c>
      <c r="Q111" s="9">
        <v>11.1</v>
      </c>
      <c r="R111" s="5">
        <v>2.75</v>
      </c>
      <c r="S111" s="7">
        <f t="shared" si="11"/>
        <v>138.85318749999999</v>
      </c>
      <c r="T111" s="9">
        <v>23.2</v>
      </c>
    </row>
    <row r="112" spans="1:20" x14ac:dyDescent="0.3">
      <c r="A112" s="1">
        <v>45989.500006134258</v>
      </c>
      <c r="B112" s="5">
        <v>5.7</v>
      </c>
      <c r="C112" s="5">
        <v>9.15</v>
      </c>
      <c r="D112" s="6">
        <f t="shared" si="6"/>
        <v>1372.4115254000005</v>
      </c>
      <c r="E112" s="6">
        <v>6.4</v>
      </c>
      <c r="F112" s="5">
        <v>20.170000000000002</v>
      </c>
      <c r="G112" s="7">
        <f t="shared" si="7"/>
        <v>2065.9491372224011</v>
      </c>
      <c r="H112" s="7">
        <v>11.3</v>
      </c>
      <c r="I112" s="5">
        <v>6.48</v>
      </c>
      <c r="J112" s="7">
        <f t="shared" si="8"/>
        <v>2230.1692027499998</v>
      </c>
      <c r="K112" s="9">
        <v>22</v>
      </c>
      <c r="L112" s="5">
        <v>5.78</v>
      </c>
      <c r="M112" s="7">
        <f t="shared" si="9"/>
        <v>349.98787963999996</v>
      </c>
      <c r="N112" s="9">
        <v>5.9</v>
      </c>
      <c r="O112" s="5">
        <v>8.5500000000000007</v>
      </c>
      <c r="P112" s="7">
        <f t="shared" si="10"/>
        <v>557.60202076075916</v>
      </c>
      <c r="Q112" s="9">
        <v>8.1999999999999993</v>
      </c>
      <c r="R112" s="5">
        <v>2.89</v>
      </c>
      <c r="S112" s="7">
        <f t="shared" si="11"/>
        <v>152.51430350000001</v>
      </c>
      <c r="T112" s="9">
        <v>15.8</v>
      </c>
    </row>
    <row r="113" spans="1:20" x14ac:dyDescent="0.3">
      <c r="A113" s="1">
        <v>45989.541672858795</v>
      </c>
      <c r="B113" s="5">
        <v>5.7</v>
      </c>
      <c r="C113" s="5">
        <v>9.3000000000000007</v>
      </c>
      <c r="D113" s="6">
        <f t="shared" si="6"/>
        <v>1413.1391624000005</v>
      </c>
      <c r="E113" s="6">
        <v>3.4</v>
      </c>
      <c r="F113" s="5">
        <v>20.45</v>
      </c>
      <c r="G113" s="7">
        <f t="shared" si="7"/>
        <v>2147.7568297344005</v>
      </c>
      <c r="H113" s="7">
        <v>15.8</v>
      </c>
      <c r="I113" s="8">
        <v>7.1</v>
      </c>
      <c r="J113" s="7">
        <f t="shared" si="8"/>
        <v>2886.1695647500001</v>
      </c>
      <c r="K113" s="9">
        <v>27.5</v>
      </c>
      <c r="L113" s="5">
        <v>5.85</v>
      </c>
      <c r="M113" s="7">
        <f t="shared" si="9"/>
        <v>357.90246974999997</v>
      </c>
      <c r="N113" s="9">
        <v>5</v>
      </c>
      <c r="O113" s="8">
        <v>8.6300000000000008</v>
      </c>
      <c r="P113" s="7">
        <f t="shared" si="10"/>
        <v>564.83469904563412</v>
      </c>
      <c r="Q113" s="9">
        <v>10.5</v>
      </c>
      <c r="R113" s="5">
        <v>2.85</v>
      </c>
      <c r="S113" s="7">
        <f t="shared" si="11"/>
        <v>148.53458750000001</v>
      </c>
      <c r="T113" s="9">
        <v>3.1</v>
      </c>
    </row>
    <row r="114" spans="1:20" x14ac:dyDescent="0.3">
      <c r="A114" s="1">
        <v>45989.583339583332</v>
      </c>
      <c r="B114" s="5">
        <v>5.7</v>
      </c>
      <c r="C114" s="5">
        <v>9.43</v>
      </c>
      <c r="D114" s="6">
        <f t="shared" si="6"/>
        <v>1448.9167094000002</v>
      </c>
      <c r="E114" s="6">
        <v>1.5</v>
      </c>
      <c r="F114" s="5">
        <v>20.7</v>
      </c>
      <c r="G114" s="7">
        <f t="shared" si="7"/>
        <v>2222.1029605844001</v>
      </c>
      <c r="H114" s="7">
        <v>4.5999999999999996</v>
      </c>
      <c r="I114" s="5">
        <v>6.8</v>
      </c>
      <c r="J114" s="7">
        <f t="shared" si="8"/>
        <v>2557.7493947500006</v>
      </c>
      <c r="K114" s="9">
        <v>15</v>
      </c>
      <c r="L114" s="5">
        <v>6.04</v>
      </c>
      <c r="M114" s="7">
        <f t="shared" si="9"/>
        <v>379.82592735999998</v>
      </c>
      <c r="N114" s="9">
        <v>11.8</v>
      </c>
      <c r="O114" s="5">
        <v>8.44</v>
      </c>
      <c r="P114" s="7">
        <f t="shared" si="10"/>
        <v>547.69945284260223</v>
      </c>
      <c r="Q114" s="9">
        <v>6.4</v>
      </c>
      <c r="R114" s="5">
        <v>2.74</v>
      </c>
      <c r="S114" s="7">
        <f t="shared" si="11"/>
        <v>137.90609600000005</v>
      </c>
      <c r="T114" s="9">
        <v>0</v>
      </c>
    </row>
    <row r="115" spans="1:20" x14ac:dyDescent="0.3">
      <c r="A115" s="1">
        <v>45989.62500630787</v>
      </c>
      <c r="B115" s="5">
        <v>5.8</v>
      </c>
      <c r="C115" s="5">
        <v>9.5399999999999991</v>
      </c>
      <c r="D115" s="6">
        <f t="shared" si="6"/>
        <v>1479.5383400000001</v>
      </c>
      <c r="E115" s="6">
        <v>2</v>
      </c>
      <c r="F115" s="5">
        <v>20.93</v>
      </c>
      <c r="G115" s="7">
        <f t="shared" si="7"/>
        <v>2291.5875272064004</v>
      </c>
      <c r="H115" s="7">
        <v>5.8</v>
      </c>
      <c r="I115" s="5">
        <v>6</v>
      </c>
      <c r="J115" s="7">
        <f t="shared" si="8"/>
        <v>1782.8014747500001</v>
      </c>
      <c r="K115" s="9">
        <v>4.2</v>
      </c>
      <c r="L115" s="5">
        <v>6.2</v>
      </c>
      <c r="M115" s="7">
        <f t="shared" si="9"/>
        <v>398.78770400000002</v>
      </c>
      <c r="N115" s="9">
        <v>12</v>
      </c>
      <c r="O115" s="5">
        <v>7.93</v>
      </c>
      <c r="P115" s="7">
        <f t="shared" si="10"/>
        <v>502.43960560346289</v>
      </c>
      <c r="Q115" s="9">
        <v>1.4</v>
      </c>
      <c r="R115" s="5">
        <v>2.63</v>
      </c>
      <c r="S115" s="7">
        <f t="shared" si="11"/>
        <v>127.74067150000002</v>
      </c>
      <c r="T115" s="9">
        <v>0</v>
      </c>
    </row>
    <row r="116" spans="1:20" x14ac:dyDescent="0.3">
      <c r="A116" s="1">
        <v>45989.666673032407</v>
      </c>
      <c r="B116" s="5">
        <v>5.8</v>
      </c>
      <c r="C116" s="5">
        <v>9.6199999999999992</v>
      </c>
      <c r="D116" s="6">
        <f t="shared" si="6"/>
        <v>1502.0091656</v>
      </c>
      <c r="E116" s="6">
        <v>3.5</v>
      </c>
      <c r="F116" s="5">
        <v>21.1</v>
      </c>
      <c r="G116" s="7">
        <f t="shared" si="7"/>
        <v>2343.6146759444009</v>
      </c>
      <c r="H116" s="7">
        <v>7.2</v>
      </c>
      <c r="I116" s="5">
        <v>5.26</v>
      </c>
      <c r="J116" s="7">
        <f t="shared" si="8"/>
        <v>1196.5614127499998</v>
      </c>
      <c r="K116" s="9">
        <v>7.3</v>
      </c>
      <c r="L116" s="5">
        <v>6.31</v>
      </c>
      <c r="M116" s="7">
        <f t="shared" si="9"/>
        <v>412.08906030999987</v>
      </c>
      <c r="N116" s="9">
        <v>14</v>
      </c>
      <c r="O116" s="5">
        <v>7.31</v>
      </c>
      <c r="P116" s="7">
        <f t="shared" si="10"/>
        <v>448.90918933375457</v>
      </c>
      <c r="Q116" s="9">
        <v>2.5</v>
      </c>
      <c r="R116" s="5">
        <v>2.52</v>
      </c>
      <c r="S116" s="7">
        <f t="shared" si="11"/>
        <v>118.03831400000001</v>
      </c>
      <c r="T116" s="9">
        <v>1.6</v>
      </c>
    </row>
    <row r="117" spans="1:20" x14ac:dyDescent="0.3">
      <c r="A117" s="1">
        <v>45989.708339756944</v>
      </c>
      <c r="B117" s="5">
        <v>5.9</v>
      </c>
      <c r="C117" s="5">
        <v>9.68</v>
      </c>
      <c r="D117" s="6">
        <f t="shared" si="6"/>
        <v>1518.9731144000002</v>
      </c>
      <c r="E117" s="6">
        <v>2.6</v>
      </c>
      <c r="F117" s="5">
        <v>21.29</v>
      </c>
      <c r="G117" s="7">
        <f t="shared" si="7"/>
        <v>2402.4355917504004</v>
      </c>
      <c r="H117" s="7">
        <v>3.8</v>
      </c>
      <c r="I117" s="5">
        <v>4.8</v>
      </c>
      <c r="J117" s="7">
        <f t="shared" si="8"/>
        <v>895.39559475000033</v>
      </c>
      <c r="K117" s="9">
        <v>7.9</v>
      </c>
      <c r="L117" s="5">
        <v>6.48</v>
      </c>
      <c r="M117" s="7">
        <f t="shared" si="9"/>
        <v>433.07063184000009</v>
      </c>
      <c r="N117" s="9">
        <v>14</v>
      </c>
      <c r="O117" s="5">
        <v>6.63</v>
      </c>
      <c r="P117" s="7">
        <f t="shared" si="10"/>
        <v>392.17513076484454</v>
      </c>
      <c r="Q117" s="9">
        <v>4.9000000000000004</v>
      </c>
      <c r="R117" s="5">
        <v>2.41</v>
      </c>
      <c r="S117" s="7">
        <f t="shared" si="11"/>
        <v>66.635460238942798</v>
      </c>
      <c r="T117" s="9">
        <v>3.2</v>
      </c>
    </row>
    <row r="118" spans="1:20" x14ac:dyDescent="0.3">
      <c r="A118" s="1">
        <v>45989.750006481481</v>
      </c>
      <c r="B118" s="5">
        <v>6</v>
      </c>
      <c r="C118" s="5">
        <v>9.74</v>
      </c>
      <c r="D118" s="6">
        <f t="shared" si="6"/>
        <v>1536.0320600000005</v>
      </c>
      <c r="E118" s="6">
        <v>0</v>
      </c>
      <c r="F118" s="5">
        <v>21.48</v>
      </c>
      <c r="G118" s="7">
        <f t="shared" si="7"/>
        <v>2461.9668183764006</v>
      </c>
      <c r="H118" s="7">
        <v>3.5</v>
      </c>
      <c r="I118" s="5">
        <v>4.6500000000000004</v>
      </c>
      <c r="J118" s="7">
        <f t="shared" si="8"/>
        <v>807.6743347500003</v>
      </c>
      <c r="K118" s="9">
        <v>3.5</v>
      </c>
      <c r="L118" s="5">
        <v>6.61</v>
      </c>
      <c r="M118" s="7">
        <f t="shared" si="9"/>
        <v>449.46351991</v>
      </c>
      <c r="N118" s="9">
        <v>10.9</v>
      </c>
      <c r="O118" s="5">
        <v>5.89</v>
      </c>
      <c r="P118" s="7">
        <f t="shared" si="10"/>
        <v>332.93171992817327</v>
      </c>
      <c r="Q118" s="9">
        <v>1</v>
      </c>
      <c r="R118" s="5">
        <v>2.31</v>
      </c>
      <c r="S118" s="7">
        <f t="shared" si="11"/>
        <v>60.235690712526917</v>
      </c>
      <c r="T118" s="9">
        <v>0.8</v>
      </c>
    </row>
    <row r="119" spans="1:20" x14ac:dyDescent="0.3">
      <c r="A119" s="1">
        <v>45989.791673206018</v>
      </c>
      <c r="B119" s="5">
        <v>6</v>
      </c>
      <c r="C119" s="5">
        <v>9.82</v>
      </c>
      <c r="D119" s="6">
        <f t="shared" si="6"/>
        <v>1558.9250936000005</v>
      </c>
      <c r="E119" s="6">
        <v>1.5</v>
      </c>
      <c r="F119" s="5">
        <v>21.61</v>
      </c>
      <c r="G119" s="7">
        <f t="shared" si="7"/>
        <v>2503.1079752384003</v>
      </c>
      <c r="H119" s="7">
        <v>3.5</v>
      </c>
      <c r="I119" s="5">
        <v>4.2</v>
      </c>
      <c r="J119" s="7">
        <f t="shared" si="8"/>
        <v>575.44985475000021</v>
      </c>
      <c r="K119" s="9">
        <v>2</v>
      </c>
      <c r="L119" s="5">
        <v>6.82</v>
      </c>
      <c r="M119" s="7">
        <f t="shared" si="9"/>
        <v>476.58173404000001</v>
      </c>
      <c r="N119" s="9">
        <v>6.4</v>
      </c>
      <c r="O119" s="5">
        <v>5.35</v>
      </c>
      <c r="P119" s="7">
        <f t="shared" si="10"/>
        <v>291.45102900134168</v>
      </c>
      <c r="Q119" s="9">
        <v>1.5</v>
      </c>
      <c r="R119" s="5">
        <v>2.23</v>
      </c>
      <c r="S119" s="7">
        <f t="shared" si="11"/>
        <v>55.415855131201333</v>
      </c>
      <c r="T119" s="9">
        <v>1</v>
      </c>
    </row>
    <row r="120" spans="1:20" x14ac:dyDescent="0.3">
      <c r="A120" s="1">
        <v>45989.833339930556</v>
      </c>
      <c r="B120" s="5">
        <v>6.1</v>
      </c>
      <c r="C120" s="5">
        <v>9.9</v>
      </c>
      <c r="D120" s="6">
        <f t="shared" si="6"/>
        <v>1581.9870104000004</v>
      </c>
      <c r="E120" s="6">
        <v>2.6</v>
      </c>
      <c r="F120" s="5">
        <v>21.75</v>
      </c>
      <c r="G120" s="7">
        <f t="shared" si="7"/>
        <v>2547.7857166544004</v>
      </c>
      <c r="H120" s="7">
        <v>3.5</v>
      </c>
      <c r="I120" s="5">
        <v>4.1500000000000004</v>
      </c>
      <c r="J120" s="7">
        <f t="shared" si="8"/>
        <v>552.51188475000026</v>
      </c>
      <c r="K120" s="9">
        <v>1</v>
      </c>
      <c r="L120" s="5">
        <v>6.92</v>
      </c>
      <c r="M120" s="7">
        <f t="shared" si="9"/>
        <v>489.77190944</v>
      </c>
      <c r="N120" s="9">
        <v>17.100000000000001</v>
      </c>
      <c r="O120" s="5">
        <v>4.8600000000000003</v>
      </c>
      <c r="P120" s="7">
        <f t="shared" si="10"/>
        <v>255.17428046414426</v>
      </c>
      <c r="Q120" s="9">
        <v>1</v>
      </c>
      <c r="R120" s="5">
        <v>2.1800000000000002</v>
      </c>
      <c r="S120" s="7">
        <f t="shared" si="11"/>
        <v>52.535589971332023</v>
      </c>
      <c r="T120" s="9">
        <v>0</v>
      </c>
    </row>
    <row r="121" spans="1:20" x14ac:dyDescent="0.3">
      <c r="A121" s="1">
        <v>45989.875006655093</v>
      </c>
      <c r="B121" s="5">
        <v>6.1</v>
      </c>
      <c r="C121" s="5">
        <v>9.98</v>
      </c>
      <c r="D121" s="6">
        <f t="shared" si="6"/>
        <v>1605.2178104000002</v>
      </c>
      <c r="E121" s="6">
        <v>2.5</v>
      </c>
      <c r="F121" s="5">
        <v>21.83</v>
      </c>
      <c r="G121" s="7">
        <f t="shared" si="7"/>
        <v>2573.4890051663997</v>
      </c>
      <c r="H121" s="7">
        <v>4.5</v>
      </c>
      <c r="I121" s="5">
        <v>4.05</v>
      </c>
      <c r="J121" s="7">
        <f t="shared" si="8"/>
        <v>508.35479475000011</v>
      </c>
      <c r="K121" s="9">
        <v>1.2</v>
      </c>
      <c r="L121" s="5">
        <v>7.07</v>
      </c>
      <c r="M121" s="7">
        <f t="shared" si="9"/>
        <v>509.89193878999998</v>
      </c>
      <c r="N121" s="9">
        <v>10.6</v>
      </c>
      <c r="O121" s="5">
        <v>4.4000000000000004</v>
      </c>
      <c r="P121" s="7">
        <f t="shared" si="10"/>
        <v>222.37166259285488</v>
      </c>
      <c r="Q121" s="9">
        <v>1</v>
      </c>
      <c r="R121" s="5">
        <v>2.12</v>
      </c>
      <c r="S121" s="7">
        <f t="shared" si="11"/>
        <v>49.210680955336834</v>
      </c>
      <c r="T121" s="9">
        <v>0</v>
      </c>
    </row>
    <row r="122" spans="1:20" x14ac:dyDescent="0.3">
      <c r="A122" s="1">
        <v>45989.91667337963</v>
      </c>
      <c r="B122" s="5">
        <v>6.1</v>
      </c>
      <c r="C122" s="5">
        <v>10.01</v>
      </c>
      <c r="D122" s="6">
        <f t="shared" si="6"/>
        <v>1613.9729006</v>
      </c>
      <c r="E122" s="6">
        <v>0</v>
      </c>
      <c r="F122" s="8">
        <v>21.91</v>
      </c>
      <c r="G122" s="7">
        <f t="shared" si="7"/>
        <v>2599.3182213584005</v>
      </c>
      <c r="H122" s="7">
        <v>0.5</v>
      </c>
      <c r="I122" s="5">
        <v>3.89</v>
      </c>
      <c r="J122" s="7">
        <f t="shared" si="8"/>
        <v>442.47039474999997</v>
      </c>
      <c r="K122" s="9">
        <v>1.5</v>
      </c>
      <c r="L122" s="5">
        <v>7.06</v>
      </c>
      <c r="M122" s="7">
        <f t="shared" si="9"/>
        <v>508.53810555999991</v>
      </c>
      <c r="N122" s="9">
        <v>5</v>
      </c>
      <c r="O122" s="5">
        <v>4.04</v>
      </c>
      <c r="P122" s="7">
        <f t="shared" si="10"/>
        <v>197.59691619287443</v>
      </c>
      <c r="Q122" s="9">
        <v>0.5</v>
      </c>
      <c r="R122" s="5">
        <v>2.1</v>
      </c>
      <c r="S122" s="7">
        <f t="shared" si="11"/>
        <v>48.133776628057461</v>
      </c>
      <c r="T122" s="9">
        <v>0</v>
      </c>
    </row>
    <row r="123" spans="1:20" x14ac:dyDescent="0.3">
      <c r="A123" s="1">
        <v>45989.958340104167</v>
      </c>
      <c r="B123" s="5">
        <v>6.2</v>
      </c>
      <c r="C123" s="5">
        <v>10.07</v>
      </c>
      <c r="D123" s="6">
        <f t="shared" si="6"/>
        <v>1631.5543286000004</v>
      </c>
      <c r="E123" s="6">
        <v>0</v>
      </c>
      <c r="F123" s="5">
        <v>21.91</v>
      </c>
      <c r="G123" s="7">
        <f t="shared" si="7"/>
        <v>2599.3182213584005</v>
      </c>
      <c r="H123" s="7">
        <v>0.5</v>
      </c>
      <c r="I123" s="5">
        <v>3.92</v>
      </c>
      <c r="J123" s="7">
        <f t="shared" si="8"/>
        <v>454.37681874999998</v>
      </c>
      <c r="K123" s="9">
        <v>1.3</v>
      </c>
      <c r="L123" s="5">
        <v>6.98</v>
      </c>
      <c r="M123" s="7">
        <f t="shared" si="9"/>
        <v>497.77171484000002</v>
      </c>
      <c r="N123" s="9">
        <v>3.9</v>
      </c>
      <c r="O123" s="5">
        <v>3.75</v>
      </c>
      <c r="P123" s="7">
        <f t="shared" si="10"/>
        <v>178.24366264806463</v>
      </c>
      <c r="Q123" s="9">
        <v>0</v>
      </c>
      <c r="R123" s="5">
        <v>2.0299999999999998</v>
      </c>
      <c r="S123" s="7">
        <f t="shared" si="11"/>
        <v>44.486158089477634</v>
      </c>
      <c r="T123" s="9">
        <v>0</v>
      </c>
    </row>
    <row r="124" spans="1:20" x14ac:dyDescent="0.3">
      <c r="A124" s="1">
        <v>45990.000006828704</v>
      </c>
      <c r="B124" s="5">
        <v>6.2</v>
      </c>
      <c r="C124" s="5">
        <v>10.15</v>
      </c>
      <c r="D124" s="6">
        <f t="shared" si="6"/>
        <v>1655.1440054000004</v>
      </c>
      <c r="E124" s="6">
        <v>0</v>
      </c>
      <c r="F124" s="5">
        <v>21.9</v>
      </c>
      <c r="G124" s="7">
        <f t="shared" si="7"/>
        <v>2596.0826826644002</v>
      </c>
      <c r="H124" s="7">
        <v>0</v>
      </c>
      <c r="I124" s="5">
        <v>3.75</v>
      </c>
      <c r="J124" s="7">
        <f t="shared" si="8"/>
        <v>389.63432475000013</v>
      </c>
      <c r="K124" s="9">
        <v>0.5</v>
      </c>
      <c r="L124" s="5">
        <v>6.86</v>
      </c>
      <c r="M124" s="7">
        <f t="shared" si="9"/>
        <v>481.83637915999998</v>
      </c>
      <c r="N124" s="9">
        <v>3.9</v>
      </c>
      <c r="O124" s="5">
        <v>3.54</v>
      </c>
      <c r="P124" s="7">
        <f t="shared" si="10"/>
        <v>164.58124504828405</v>
      </c>
      <c r="Q124" s="9">
        <v>0.9</v>
      </c>
      <c r="R124" s="5">
        <v>1.97</v>
      </c>
      <c r="S124" s="7">
        <f t="shared" si="11"/>
        <v>41.507525989038321</v>
      </c>
      <c r="T124" s="9">
        <v>0</v>
      </c>
    </row>
    <row r="125" spans="1:20" x14ac:dyDescent="0.3">
      <c r="A125" s="1">
        <v>45990.041673553242</v>
      </c>
      <c r="B125" s="5">
        <v>6.2</v>
      </c>
      <c r="C125" s="5">
        <v>10.19</v>
      </c>
      <c r="D125" s="6">
        <f t="shared" si="6"/>
        <v>1667.0021750000003</v>
      </c>
      <c r="E125" s="6">
        <v>0</v>
      </c>
      <c r="F125" s="5">
        <v>21.9</v>
      </c>
      <c r="G125" s="7">
        <f t="shared" si="7"/>
        <v>2596.0826826644002</v>
      </c>
      <c r="H125" s="7">
        <v>0</v>
      </c>
      <c r="I125" s="5">
        <v>3.69</v>
      </c>
      <c r="J125" s="7">
        <f t="shared" si="8"/>
        <v>368.36537475</v>
      </c>
      <c r="K125" s="9">
        <v>0</v>
      </c>
      <c r="L125" s="5">
        <v>6.71</v>
      </c>
      <c r="M125" s="7">
        <f t="shared" si="9"/>
        <v>462.27875710999996</v>
      </c>
      <c r="N125" s="9">
        <v>2.8</v>
      </c>
      <c r="O125" s="5">
        <v>3.38</v>
      </c>
      <c r="P125" s="7">
        <f t="shared" si="10"/>
        <v>154.37769750209893</v>
      </c>
      <c r="Q125" s="9">
        <v>0</v>
      </c>
      <c r="R125" s="5">
        <v>1.95</v>
      </c>
      <c r="S125" s="7">
        <f t="shared" si="11"/>
        <v>40.544454773417584</v>
      </c>
      <c r="T125" s="9">
        <v>0</v>
      </c>
    </row>
    <row r="126" spans="1:20" x14ac:dyDescent="0.3">
      <c r="A126" s="1">
        <v>45990.083340277779</v>
      </c>
      <c r="B126" s="5">
        <v>6.3</v>
      </c>
      <c r="C126" s="5">
        <v>10.24</v>
      </c>
      <c r="D126" s="6">
        <f t="shared" si="6"/>
        <v>1681.8842600000005</v>
      </c>
      <c r="E126" s="6">
        <v>0</v>
      </c>
      <c r="F126" s="5">
        <v>21.88</v>
      </c>
      <c r="G126" s="7">
        <f t="shared" si="7"/>
        <v>2589.6175081364004</v>
      </c>
      <c r="H126" s="7">
        <v>0</v>
      </c>
      <c r="I126" s="5">
        <v>3.55</v>
      </c>
      <c r="J126" s="7">
        <f t="shared" si="8"/>
        <v>321.94634475000021</v>
      </c>
      <c r="K126" s="9">
        <v>0</v>
      </c>
      <c r="L126" s="5">
        <v>6.41</v>
      </c>
      <c r="M126" s="7">
        <f t="shared" si="9"/>
        <v>424.36867151000001</v>
      </c>
      <c r="N126" s="9">
        <v>0</v>
      </c>
      <c r="O126" s="5">
        <v>3.29</v>
      </c>
      <c r="P126" s="7">
        <f t="shared" si="10"/>
        <v>148.71860841174521</v>
      </c>
      <c r="Q126" s="9">
        <v>0</v>
      </c>
      <c r="R126" s="5">
        <v>1.91</v>
      </c>
      <c r="S126" s="7">
        <f t="shared" si="11"/>
        <v>38.662381900089237</v>
      </c>
      <c r="T126" s="9">
        <v>0</v>
      </c>
    </row>
    <row r="127" spans="1:20" x14ac:dyDescent="0.3">
      <c r="A127" s="1">
        <v>45990.125007002316</v>
      </c>
      <c r="B127" s="5">
        <v>6.3</v>
      </c>
      <c r="C127" s="5">
        <v>10.31</v>
      </c>
      <c r="D127" s="6">
        <f t="shared" si="6"/>
        <v>1702.8300086000004</v>
      </c>
      <c r="E127" s="6">
        <v>0</v>
      </c>
      <c r="F127" s="5">
        <v>21.84</v>
      </c>
      <c r="G127" s="7">
        <f t="shared" si="7"/>
        <v>2576.7107705204007</v>
      </c>
      <c r="H127" s="7">
        <v>0</v>
      </c>
      <c r="I127" s="5">
        <v>3.48</v>
      </c>
      <c r="J127" s="7">
        <f t="shared" si="8"/>
        <v>300.42130275</v>
      </c>
      <c r="K127" s="9">
        <v>0</v>
      </c>
      <c r="L127" s="5">
        <v>5.98</v>
      </c>
      <c r="M127" s="7">
        <f t="shared" si="9"/>
        <v>372.83309883999999</v>
      </c>
      <c r="N127" s="9">
        <v>0</v>
      </c>
      <c r="O127" s="5">
        <v>3.11</v>
      </c>
      <c r="P127" s="7">
        <f t="shared" si="10"/>
        <v>137.57878056971617</v>
      </c>
      <c r="Q127" s="9">
        <v>0</v>
      </c>
      <c r="R127" s="5">
        <v>1.97</v>
      </c>
      <c r="S127" s="7">
        <f t="shared" si="11"/>
        <v>41.507525989038321</v>
      </c>
      <c r="T127" s="9">
        <v>0</v>
      </c>
    </row>
    <row r="128" spans="1:20" x14ac:dyDescent="0.3">
      <c r="A128" s="1">
        <v>45990.166673726853</v>
      </c>
      <c r="B128" s="5">
        <v>6.4</v>
      </c>
      <c r="C128" s="5">
        <v>10.38</v>
      </c>
      <c r="D128" s="6">
        <f t="shared" si="6"/>
        <v>1723.9050584000004</v>
      </c>
      <c r="E128" s="6">
        <v>0</v>
      </c>
      <c r="F128" s="5">
        <v>21.78</v>
      </c>
      <c r="G128" s="7">
        <f t="shared" si="7"/>
        <v>2557.4096926964012</v>
      </c>
      <c r="H128" s="7">
        <v>0</v>
      </c>
      <c r="I128" s="5">
        <v>3.48</v>
      </c>
      <c r="J128" s="7">
        <f t="shared" si="8"/>
        <v>300.42130275</v>
      </c>
      <c r="K128" s="9">
        <v>0</v>
      </c>
      <c r="L128" s="5">
        <v>5.51</v>
      </c>
      <c r="M128" s="7">
        <f t="shared" si="9"/>
        <v>320.27968270999997</v>
      </c>
      <c r="N128" s="9">
        <v>0</v>
      </c>
      <c r="O128" s="5">
        <v>3.06</v>
      </c>
      <c r="P128" s="7">
        <f t="shared" si="10"/>
        <v>134.52745906739733</v>
      </c>
      <c r="Q128" s="9">
        <v>0</v>
      </c>
      <c r="R128" s="5">
        <v>1.88</v>
      </c>
      <c r="S128" s="7">
        <f t="shared" si="11"/>
        <v>37.288967601513541</v>
      </c>
      <c r="T128" s="9">
        <v>0</v>
      </c>
    </row>
    <row r="129" spans="1:20" x14ac:dyDescent="0.3">
      <c r="A129" s="1">
        <v>45990.208340451391</v>
      </c>
      <c r="B129" s="5">
        <v>6.4</v>
      </c>
      <c r="C129" s="5">
        <v>10.41</v>
      </c>
      <c r="D129" s="6">
        <f t="shared" si="6"/>
        <v>1732.9768046000006</v>
      </c>
      <c r="E129" s="6">
        <v>0</v>
      </c>
      <c r="F129" s="5">
        <v>21.7</v>
      </c>
      <c r="G129" s="7">
        <f t="shared" si="7"/>
        <v>2531.7851089844003</v>
      </c>
      <c r="H129" s="7">
        <v>0</v>
      </c>
      <c r="I129" s="5">
        <v>3.52</v>
      </c>
      <c r="J129" s="7">
        <f t="shared" si="8"/>
        <v>312.58381875000009</v>
      </c>
      <c r="K129" s="9">
        <v>0</v>
      </c>
      <c r="L129" s="5">
        <v>4.9800000000000004</v>
      </c>
      <c r="M129" s="7">
        <f t="shared" si="9"/>
        <v>265.74868284000001</v>
      </c>
      <c r="N129" s="9">
        <v>0</v>
      </c>
      <c r="O129" s="5">
        <v>2.97</v>
      </c>
      <c r="P129" s="7">
        <f t="shared" si="10"/>
        <v>129.08328348191355</v>
      </c>
      <c r="Q129" s="9">
        <v>0</v>
      </c>
      <c r="R129" s="5">
        <v>1.9</v>
      </c>
      <c r="S129" s="7">
        <f t="shared" si="11"/>
        <v>38.20096698612533</v>
      </c>
      <c r="T129" s="9">
        <v>0</v>
      </c>
    </row>
    <row r="130" spans="1:20" x14ac:dyDescent="0.3">
      <c r="A130" s="1">
        <v>45990.250007175928</v>
      </c>
      <c r="B130" s="5">
        <v>6.4</v>
      </c>
      <c r="C130" s="5">
        <v>10.47</v>
      </c>
      <c r="D130" s="6">
        <f t="shared" si="6"/>
        <v>1751.1915446000005</v>
      </c>
      <c r="E130" s="6">
        <v>0</v>
      </c>
      <c r="F130" s="5">
        <v>21.65</v>
      </c>
      <c r="G130" s="7">
        <f t="shared" si="7"/>
        <v>2515.8336918144</v>
      </c>
      <c r="H130" s="7">
        <v>1.8</v>
      </c>
      <c r="I130" s="5">
        <v>3.4</v>
      </c>
      <c r="J130" s="7">
        <f t="shared" si="8"/>
        <v>277.19633474999978</v>
      </c>
      <c r="K130" s="9">
        <v>4</v>
      </c>
      <c r="L130" s="5">
        <v>4.57</v>
      </c>
      <c r="M130" s="7">
        <f t="shared" si="9"/>
        <v>227.00482878999998</v>
      </c>
      <c r="N130" s="9">
        <v>0.6</v>
      </c>
      <c r="O130" s="5">
        <v>2.85</v>
      </c>
      <c r="P130" s="7">
        <f t="shared" si="10"/>
        <v>121.92252455961884</v>
      </c>
      <c r="Q130" s="9">
        <v>2.1</v>
      </c>
      <c r="R130" s="5">
        <v>1.91</v>
      </c>
      <c r="S130" s="7">
        <f t="shared" si="11"/>
        <v>38.662381900089237</v>
      </c>
      <c r="T130" s="9">
        <v>0</v>
      </c>
    </row>
    <row r="131" spans="1:20" x14ac:dyDescent="0.3">
      <c r="A131" s="1">
        <v>45990.291673900465</v>
      </c>
      <c r="B131" s="5">
        <v>6.3</v>
      </c>
      <c r="C131" s="5">
        <v>10.5</v>
      </c>
      <c r="D131" s="6">
        <f t="shared" si="6"/>
        <v>1760.3345384000004</v>
      </c>
      <c r="E131" s="6">
        <v>0</v>
      </c>
      <c r="F131" s="5">
        <v>21.53</v>
      </c>
      <c r="G131" s="7">
        <f t="shared" si="7"/>
        <v>2477.7509878464007</v>
      </c>
      <c r="H131" s="7">
        <v>0</v>
      </c>
      <c r="I131" s="5">
        <v>3.35</v>
      </c>
      <c r="J131" s="7">
        <f t="shared" si="8"/>
        <v>263.42556474999992</v>
      </c>
      <c r="K131" s="9">
        <v>0.5</v>
      </c>
      <c r="L131" s="5">
        <v>4.0999999999999996</v>
      </c>
      <c r="M131" s="7">
        <f t="shared" si="9"/>
        <v>186.28339099999994</v>
      </c>
      <c r="N131" s="9">
        <v>0.6</v>
      </c>
      <c r="O131" s="5">
        <v>2.8</v>
      </c>
      <c r="P131" s="7">
        <f t="shared" si="10"/>
        <v>118.97258918836394</v>
      </c>
      <c r="Q131" s="9">
        <v>0.5</v>
      </c>
      <c r="R131" s="5">
        <v>1.91</v>
      </c>
      <c r="S131" s="7">
        <f t="shared" si="11"/>
        <v>38.662381900089237</v>
      </c>
      <c r="T131" s="9">
        <v>0</v>
      </c>
    </row>
    <row r="132" spans="1:20" x14ac:dyDescent="0.3">
      <c r="A132" s="1">
        <v>45990.333340625002</v>
      </c>
      <c r="B132" s="5">
        <v>6.2</v>
      </c>
      <c r="C132" s="5">
        <v>10.56</v>
      </c>
      <c r="D132" s="6">
        <f t="shared" si="6"/>
        <v>1778.6917736000007</v>
      </c>
      <c r="E132" s="6">
        <v>0</v>
      </c>
      <c r="F132" s="5">
        <v>21.47</v>
      </c>
      <c r="G132" s="7">
        <f t="shared" si="7"/>
        <v>2458.8158873423999</v>
      </c>
      <c r="H132" s="7">
        <v>0</v>
      </c>
      <c r="I132" s="5">
        <v>3.28</v>
      </c>
      <c r="J132" s="7">
        <f t="shared" si="8"/>
        <v>245.10904274999984</v>
      </c>
      <c r="K132" s="9">
        <v>0</v>
      </c>
      <c r="L132" s="5">
        <v>3.8</v>
      </c>
      <c r="M132" s="7">
        <f t="shared" si="9"/>
        <v>162.35314399999999</v>
      </c>
      <c r="N132" s="9">
        <v>0.6</v>
      </c>
      <c r="O132" s="5">
        <v>2.78</v>
      </c>
      <c r="P132" s="7">
        <f t="shared" si="10"/>
        <v>117.79824440028996</v>
      </c>
      <c r="Q132" s="9">
        <v>0</v>
      </c>
      <c r="R132" s="5">
        <v>1.88</v>
      </c>
      <c r="S132" s="7">
        <f t="shared" si="11"/>
        <v>37.288967601513541</v>
      </c>
      <c r="T132" s="9">
        <v>0</v>
      </c>
    </row>
    <row r="133" spans="1:20" x14ac:dyDescent="0.3">
      <c r="A133" s="1">
        <v>45990.375007349539</v>
      </c>
      <c r="B133" s="5">
        <v>6.2</v>
      </c>
      <c r="C133" s="5">
        <v>10.6</v>
      </c>
      <c r="D133" s="6">
        <f t="shared" si="6"/>
        <v>1790.9827064000003</v>
      </c>
      <c r="E133" s="6">
        <v>0</v>
      </c>
      <c r="F133" s="5">
        <v>21.39</v>
      </c>
      <c r="G133" s="7">
        <f t="shared" si="7"/>
        <v>2433.6792733904003</v>
      </c>
      <c r="H133" s="7">
        <v>0</v>
      </c>
      <c r="I133" s="5">
        <v>3.15</v>
      </c>
      <c r="J133" s="7">
        <f t="shared" si="8"/>
        <v>214.07198474999996</v>
      </c>
      <c r="K133" s="9">
        <v>1</v>
      </c>
      <c r="L133" s="5">
        <v>3.69</v>
      </c>
      <c r="M133" s="7">
        <f t="shared" si="9"/>
        <v>153.98133230999997</v>
      </c>
      <c r="N133" s="9">
        <v>0.3</v>
      </c>
      <c r="O133" s="5">
        <v>2.74</v>
      </c>
      <c r="P133" s="7">
        <f t="shared" si="10"/>
        <v>115.45928354348152</v>
      </c>
      <c r="Q133" s="9">
        <v>0</v>
      </c>
      <c r="R133" s="5">
        <v>1.85</v>
      </c>
      <c r="S133" s="7">
        <f t="shared" si="11"/>
        <v>35.947843993574345</v>
      </c>
      <c r="T133" s="9">
        <v>0.6</v>
      </c>
    </row>
    <row r="134" spans="1:20" x14ac:dyDescent="0.3">
      <c r="A134" s="1">
        <v>45990.416674074077</v>
      </c>
      <c r="B134" s="5">
        <v>6.2</v>
      </c>
      <c r="C134" s="5">
        <v>10.64</v>
      </c>
      <c r="D134" s="6">
        <f t="shared" ref="D134:D197" si="12">IF(C134="","",IF((C134+0.56)&gt;4,13.194*(C134+0.56)^2+13.311*(C134+0.56)-0.8227,27.012*(C134+0.56)^1.6477))</f>
        <v>1803.3158600000006</v>
      </c>
      <c r="E134" s="6">
        <v>0</v>
      </c>
      <c r="F134" s="5">
        <v>21.3</v>
      </c>
      <c r="G134" s="7">
        <f t="shared" ref="G134:G197" si="13">IF(F134="","",IF((F134-0.118)&gt;14,9.8381*((F134-0.118)-7.5)^2+42.44*((F134-0.118)-7.5)-16.777,35.535*((F134-0.118)-7.5)^1.5414))</f>
        <v>2405.5511056244004</v>
      </c>
      <c r="H134" s="7">
        <v>0</v>
      </c>
      <c r="I134" s="5">
        <v>3.05</v>
      </c>
      <c r="J134" s="7">
        <f t="shared" ref="J134:J197" si="14">IF(I134="","",IF(I134&lt;=2.23,13.015*(I134-0.345)^3.274,114.59*(I134-0.345)^2-419*(I134-0.345)+487.77))</f>
        <v>192.83289475000004</v>
      </c>
      <c r="K134" s="9">
        <v>0</v>
      </c>
      <c r="L134" s="5">
        <v>3.45</v>
      </c>
      <c r="M134" s="7">
        <f t="shared" ref="M134:M197" si="15">IF(L134="","",IF((L134)&gt;2,8.9271*((L134)^2)+9.2434*(L134)-1.6791,14.51*(((L134)-0.1)^1.846)))</f>
        <v>136.46543775000001</v>
      </c>
      <c r="N134" s="9">
        <v>0</v>
      </c>
      <c r="O134" s="5">
        <v>2.65</v>
      </c>
      <c r="P134" s="7">
        <f t="shared" ref="P134:P197" si="16">IF(O134="","",28.62*(O134)^1.3838)</f>
        <v>110.24458571474146</v>
      </c>
      <c r="Q134" s="9">
        <v>0</v>
      </c>
      <c r="R134" s="5">
        <v>1.82</v>
      </c>
      <c r="S134" s="7">
        <f t="shared" ref="S134:S197" si="17">IF(R134="","",IF(R134&gt;2.5,19.135*(R134+0.5)^2-29.477*(R134+0.5)+32.54,3.0494*((R134+0.5)^2.8875)))</f>
        <v>34.638649582711842</v>
      </c>
      <c r="T134" s="9">
        <v>0</v>
      </c>
    </row>
    <row r="135" spans="1:20" x14ac:dyDescent="0.3">
      <c r="A135" s="1">
        <v>45990.458340798614</v>
      </c>
      <c r="B135" s="5">
        <v>6.2</v>
      </c>
      <c r="C135" s="5">
        <v>10.69</v>
      </c>
      <c r="D135" s="6">
        <f t="shared" si="12"/>
        <v>1818.7916750000002</v>
      </c>
      <c r="E135" s="6">
        <v>0</v>
      </c>
      <c r="F135" s="5">
        <v>21.19</v>
      </c>
      <c r="G135" s="7">
        <f t="shared" si="13"/>
        <v>2371.3886721104009</v>
      </c>
      <c r="H135" s="7">
        <v>0</v>
      </c>
      <c r="I135" s="5">
        <v>3</v>
      </c>
      <c r="J135" s="7">
        <f t="shared" si="14"/>
        <v>183.07277475000001</v>
      </c>
      <c r="K135" s="9">
        <v>0</v>
      </c>
      <c r="L135" s="5">
        <v>3.31</v>
      </c>
      <c r="M135" s="7">
        <f t="shared" si="15"/>
        <v>126.72275431</v>
      </c>
      <c r="N135" s="9">
        <v>0</v>
      </c>
      <c r="O135" s="5">
        <v>2.57</v>
      </c>
      <c r="P135" s="7">
        <f t="shared" si="16"/>
        <v>105.66595572542545</v>
      </c>
      <c r="Q135" s="9">
        <v>0.5</v>
      </c>
      <c r="R135" s="5">
        <v>1.8</v>
      </c>
      <c r="S135" s="7">
        <f t="shared" si="17"/>
        <v>33.783413001313761</v>
      </c>
      <c r="T135" s="9">
        <v>0.5</v>
      </c>
    </row>
    <row r="136" spans="1:20" x14ac:dyDescent="0.3">
      <c r="A136" s="1">
        <v>45990.500007523151</v>
      </c>
      <c r="B136" s="5">
        <v>6.2</v>
      </c>
      <c r="C136" s="5">
        <v>10.72</v>
      </c>
      <c r="D136" s="6">
        <f t="shared" si="12"/>
        <v>1828.1088296000005</v>
      </c>
      <c r="E136" s="6">
        <v>0</v>
      </c>
      <c r="F136" s="5">
        <v>21.08</v>
      </c>
      <c r="G136" s="7">
        <f t="shared" si="13"/>
        <v>2337.4643206164001</v>
      </c>
      <c r="H136" s="7">
        <v>0</v>
      </c>
      <c r="I136" s="5">
        <v>2.9</v>
      </c>
      <c r="J136" s="7">
        <f t="shared" si="14"/>
        <v>165.27138475000004</v>
      </c>
      <c r="K136" s="9">
        <v>0</v>
      </c>
      <c r="L136" s="5">
        <v>3.21</v>
      </c>
      <c r="M136" s="7">
        <f t="shared" si="15"/>
        <v>119.97794510999998</v>
      </c>
      <c r="N136" s="9">
        <v>0</v>
      </c>
      <c r="O136" s="5">
        <v>2.5</v>
      </c>
      <c r="P136" s="7">
        <f t="shared" si="16"/>
        <v>101.70422936799505</v>
      </c>
      <c r="Q136" s="9">
        <v>0</v>
      </c>
      <c r="R136" s="5">
        <v>1.75</v>
      </c>
      <c r="S136" s="7">
        <f t="shared" si="17"/>
        <v>31.705997205410554</v>
      </c>
      <c r="T136" s="9">
        <v>0</v>
      </c>
    </row>
    <row r="137" spans="1:20" x14ac:dyDescent="0.3">
      <c r="A137" s="1">
        <v>45990.541674247688</v>
      </c>
      <c r="B137" s="5">
        <v>6.2</v>
      </c>
      <c r="C137" s="5">
        <v>10.75</v>
      </c>
      <c r="D137" s="6">
        <f t="shared" si="12"/>
        <v>1837.4497334000005</v>
      </c>
      <c r="E137" s="6">
        <v>0</v>
      </c>
      <c r="F137" s="5">
        <v>20.96</v>
      </c>
      <c r="G137" s="7">
        <f t="shared" si="13"/>
        <v>2300.7274687284007</v>
      </c>
      <c r="H137" s="7">
        <v>0</v>
      </c>
      <c r="I137" s="5">
        <v>3.05</v>
      </c>
      <c r="J137" s="7">
        <f t="shared" si="14"/>
        <v>192.83289475000004</v>
      </c>
      <c r="K137" s="9">
        <v>1</v>
      </c>
      <c r="L137" s="5">
        <v>3.06</v>
      </c>
      <c r="M137" s="7">
        <f t="shared" si="15"/>
        <v>110.19549755999998</v>
      </c>
      <c r="N137" s="9">
        <v>0</v>
      </c>
      <c r="O137" s="5">
        <v>2.41</v>
      </c>
      <c r="P137" s="7">
        <f t="shared" si="16"/>
        <v>96.672914726207694</v>
      </c>
      <c r="Q137" s="9">
        <v>0.2</v>
      </c>
      <c r="R137" s="5">
        <v>1.74</v>
      </c>
      <c r="S137" s="7">
        <f t="shared" si="17"/>
        <v>31.30080802307133</v>
      </c>
      <c r="T137" s="9">
        <v>0</v>
      </c>
    </row>
    <row r="138" spans="1:20" x14ac:dyDescent="0.3">
      <c r="A138" s="1">
        <v>45990.583340972225</v>
      </c>
      <c r="B138" s="5">
        <v>6.2</v>
      </c>
      <c r="C138" s="5">
        <v>10.78</v>
      </c>
      <c r="D138" s="6">
        <f t="shared" si="12"/>
        <v>1846.8143864000001</v>
      </c>
      <c r="E138" s="6">
        <v>0</v>
      </c>
      <c r="F138" s="5">
        <v>20.86</v>
      </c>
      <c r="G138" s="7">
        <f t="shared" si="13"/>
        <v>2270.3298636884001</v>
      </c>
      <c r="H138" s="7">
        <v>0</v>
      </c>
      <c r="I138" s="5">
        <v>3</v>
      </c>
      <c r="J138" s="7">
        <f t="shared" si="14"/>
        <v>183.07277475000001</v>
      </c>
      <c r="K138" s="9">
        <v>0</v>
      </c>
      <c r="L138" s="5">
        <v>2.9</v>
      </c>
      <c r="M138" s="7">
        <f t="shared" si="15"/>
        <v>100.20367099999999</v>
      </c>
      <c r="N138" s="9">
        <v>0</v>
      </c>
      <c r="O138" s="5">
        <v>2.42</v>
      </c>
      <c r="P138" s="7">
        <f t="shared" si="16"/>
        <v>97.228443398278458</v>
      </c>
      <c r="Q138" s="9">
        <v>0</v>
      </c>
      <c r="R138" s="5">
        <v>1.72</v>
      </c>
      <c r="S138" s="7">
        <f t="shared" si="17"/>
        <v>30.500615937185078</v>
      </c>
      <c r="T138" s="9">
        <v>0</v>
      </c>
    </row>
    <row r="139" spans="1:20" x14ac:dyDescent="0.3">
      <c r="A139" s="1">
        <v>45990.625007696763</v>
      </c>
      <c r="B139" s="5">
        <v>6.2</v>
      </c>
      <c r="C139" s="5">
        <v>10.81</v>
      </c>
      <c r="D139" s="6">
        <f t="shared" si="12"/>
        <v>1856.2027886000003</v>
      </c>
      <c r="E139" s="6">
        <v>0</v>
      </c>
      <c r="F139" s="5">
        <v>20.75</v>
      </c>
      <c r="G139" s="7">
        <f t="shared" si="13"/>
        <v>2237.1197582544005</v>
      </c>
      <c r="H139" s="7">
        <v>0</v>
      </c>
      <c r="I139" s="5">
        <v>2.85</v>
      </c>
      <c r="J139" s="7">
        <f t="shared" si="14"/>
        <v>157.23011474999987</v>
      </c>
      <c r="K139" s="9">
        <v>0</v>
      </c>
      <c r="L139" s="5">
        <v>2.81</v>
      </c>
      <c r="M139" s="7">
        <f t="shared" si="15"/>
        <v>94.78412831</v>
      </c>
      <c r="N139" s="9">
        <v>0</v>
      </c>
      <c r="O139" s="5">
        <v>2.38</v>
      </c>
      <c r="P139" s="7">
        <f t="shared" si="16"/>
        <v>95.01164176474397</v>
      </c>
      <c r="Q139" s="9">
        <v>0</v>
      </c>
      <c r="R139" s="5">
        <v>1.7</v>
      </c>
      <c r="S139" s="7">
        <f t="shared" si="17"/>
        <v>29.713915695331163</v>
      </c>
      <c r="T139" s="9">
        <v>0</v>
      </c>
    </row>
    <row r="140" spans="1:20" x14ac:dyDescent="0.3">
      <c r="A140" s="1">
        <v>45990.6666744213</v>
      </c>
      <c r="B140" s="5">
        <v>6.25</v>
      </c>
      <c r="C140" s="5">
        <v>10.83</v>
      </c>
      <c r="D140" s="6">
        <f t="shared" si="12"/>
        <v>1862.4749174000003</v>
      </c>
      <c r="E140" s="6">
        <v>0</v>
      </c>
      <c r="F140" s="5">
        <v>20.62</v>
      </c>
      <c r="G140" s="7">
        <f t="shared" si="13"/>
        <v>2198.1784005524009</v>
      </c>
      <c r="H140" s="7">
        <v>0</v>
      </c>
      <c r="I140" s="5">
        <v>2.95</v>
      </c>
      <c r="J140" s="7">
        <f t="shared" si="14"/>
        <v>173.88560475000008</v>
      </c>
      <c r="K140" s="9">
        <v>0</v>
      </c>
      <c r="L140" s="5">
        <v>2.7</v>
      </c>
      <c r="M140" s="7">
        <f t="shared" si="15"/>
        <v>88.356639000000001</v>
      </c>
      <c r="N140" s="9">
        <v>0</v>
      </c>
      <c r="O140" s="5">
        <v>2.33</v>
      </c>
      <c r="P140" s="7">
        <f t="shared" si="16"/>
        <v>92.260701609755003</v>
      </c>
      <c r="Q140" s="9">
        <v>0</v>
      </c>
      <c r="R140" s="5">
        <v>1.68</v>
      </c>
      <c r="S140" s="7">
        <f t="shared" si="17"/>
        <v>28.940599368516832</v>
      </c>
      <c r="T140" s="9">
        <v>0</v>
      </c>
    </row>
    <row r="141" spans="1:20" x14ac:dyDescent="0.3">
      <c r="A141" s="1">
        <v>45990.70834114583</v>
      </c>
      <c r="B141" s="5">
        <v>6.3</v>
      </c>
      <c r="C141" s="5">
        <v>10.85</v>
      </c>
      <c r="D141" s="6">
        <f t="shared" si="12"/>
        <v>1868.7576014000001</v>
      </c>
      <c r="E141" s="6">
        <v>0</v>
      </c>
      <c r="F141" s="5">
        <v>20.46</v>
      </c>
      <c r="G141" s="7">
        <f t="shared" si="13"/>
        <v>2150.7070635284008</v>
      </c>
      <c r="H141" s="7">
        <v>0</v>
      </c>
      <c r="I141" s="5">
        <v>3.3</v>
      </c>
      <c r="J141" s="7">
        <f t="shared" si="14"/>
        <v>250.22774475000006</v>
      </c>
      <c r="K141" s="9">
        <v>0</v>
      </c>
      <c r="L141" s="5">
        <v>2.64</v>
      </c>
      <c r="M141" s="7">
        <f t="shared" si="15"/>
        <v>84.941792159999991</v>
      </c>
      <c r="N141" s="9">
        <v>0</v>
      </c>
      <c r="O141" s="5">
        <v>2.33</v>
      </c>
      <c r="P141" s="7">
        <f t="shared" si="16"/>
        <v>92.260701609755003</v>
      </c>
      <c r="Q141" s="9">
        <v>0</v>
      </c>
      <c r="R141" s="5">
        <v>1.67</v>
      </c>
      <c r="S141" s="7">
        <f t="shared" si="17"/>
        <v>28.558926415271152</v>
      </c>
      <c r="T141" s="9">
        <v>0</v>
      </c>
    </row>
    <row r="142" spans="1:20" x14ac:dyDescent="0.3">
      <c r="A142" s="1">
        <v>45990.750007870367</v>
      </c>
      <c r="B142" s="5">
        <v>6.4</v>
      </c>
      <c r="C142" s="5">
        <v>10.87</v>
      </c>
      <c r="D142" s="6">
        <f t="shared" si="12"/>
        <v>1875.0508406000001</v>
      </c>
      <c r="E142" s="6">
        <v>0</v>
      </c>
      <c r="F142" s="5">
        <v>20.350000000000001</v>
      </c>
      <c r="G142" s="7">
        <f t="shared" si="13"/>
        <v>2118.3627108944006</v>
      </c>
      <c r="H142" s="7">
        <v>0</v>
      </c>
      <c r="I142" s="5">
        <v>3.35</v>
      </c>
      <c r="J142" s="7">
        <f t="shared" si="14"/>
        <v>263.42556474999992</v>
      </c>
      <c r="K142" s="9">
        <v>0</v>
      </c>
      <c r="L142" s="5">
        <v>2.57</v>
      </c>
      <c r="M142" s="7">
        <f t="shared" si="15"/>
        <v>81.039040789999973</v>
      </c>
      <c r="N142" s="9">
        <v>0</v>
      </c>
      <c r="O142" s="5">
        <v>2.27</v>
      </c>
      <c r="P142" s="7">
        <f t="shared" si="16"/>
        <v>88.989386067224999</v>
      </c>
      <c r="Q142" s="9">
        <v>0</v>
      </c>
      <c r="R142" s="5">
        <v>1.65</v>
      </c>
      <c r="S142" s="7">
        <f t="shared" si="17"/>
        <v>27.805483352256143</v>
      </c>
      <c r="T142" s="9">
        <v>0</v>
      </c>
    </row>
    <row r="143" spans="1:20" x14ac:dyDescent="0.3">
      <c r="A143" s="1">
        <v>45990.791674594904</v>
      </c>
      <c r="B143" s="5">
        <v>6.5</v>
      </c>
      <c r="C143" s="5">
        <v>10.89</v>
      </c>
      <c r="D143" s="6">
        <f t="shared" si="12"/>
        <v>1881.3546350000004</v>
      </c>
      <c r="E143" s="6">
        <v>0</v>
      </c>
      <c r="F143" s="5">
        <v>20.2</v>
      </c>
      <c r="G143" s="7">
        <f t="shared" si="13"/>
        <v>2074.6404613844006</v>
      </c>
      <c r="H143" s="7">
        <v>0</v>
      </c>
      <c r="I143" s="5">
        <v>3.25</v>
      </c>
      <c r="J143" s="7">
        <f t="shared" si="14"/>
        <v>237.60287474999996</v>
      </c>
      <c r="K143" s="9">
        <v>0</v>
      </c>
      <c r="L143" s="5">
        <v>2.5</v>
      </c>
      <c r="M143" s="7">
        <f t="shared" si="15"/>
        <v>77.223774999999989</v>
      </c>
      <c r="N143" s="9">
        <v>0</v>
      </c>
      <c r="O143" s="5">
        <v>2.2000000000000002</v>
      </c>
      <c r="P143" s="7">
        <f t="shared" si="16"/>
        <v>85.214624605162825</v>
      </c>
      <c r="Q143" s="9">
        <v>0</v>
      </c>
      <c r="R143" s="5">
        <v>1.63</v>
      </c>
      <c r="S143" s="7">
        <f t="shared" si="17"/>
        <v>27.065153896143574</v>
      </c>
      <c r="T143" s="9">
        <v>1.2</v>
      </c>
    </row>
    <row r="144" spans="1:20" x14ac:dyDescent="0.3">
      <c r="A144" s="1">
        <v>45990.833341319441</v>
      </c>
      <c r="B144" s="5">
        <v>6.6</v>
      </c>
      <c r="C144" s="5">
        <v>10.89</v>
      </c>
      <c r="D144" s="6">
        <f t="shared" si="12"/>
        <v>1881.3546350000004</v>
      </c>
      <c r="E144" s="6">
        <v>0</v>
      </c>
      <c r="F144" s="5">
        <v>20.059999999999999</v>
      </c>
      <c r="G144" s="7">
        <f t="shared" si="13"/>
        <v>2034.2324553684002</v>
      </c>
      <c r="H144" s="7">
        <v>0</v>
      </c>
      <c r="I144" s="5">
        <v>2.8</v>
      </c>
      <c r="J144" s="7">
        <f t="shared" si="14"/>
        <v>149.76179475000004</v>
      </c>
      <c r="K144" s="9">
        <v>0</v>
      </c>
      <c r="L144" s="5">
        <v>2.38</v>
      </c>
      <c r="M144" s="7">
        <f t="shared" si="15"/>
        <v>70.886857239999983</v>
      </c>
      <c r="N144" s="9">
        <v>0</v>
      </c>
      <c r="O144" s="5">
        <v>2.16</v>
      </c>
      <c r="P144" s="7">
        <f t="shared" si="16"/>
        <v>83.078133404737272</v>
      </c>
      <c r="Q144" s="9">
        <v>0</v>
      </c>
      <c r="R144" s="5">
        <v>1.63</v>
      </c>
      <c r="S144" s="7">
        <f t="shared" si="17"/>
        <v>27.065153896143574</v>
      </c>
      <c r="T144" s="9">
        <v>0</v>
      </c>
    </row>
    <row r="145" spans="1:20" x14ac:dyDescent="0.3">
      <c r="A145" s="1">
        <v>45990.875008043979</v>
      </c>
      <c r="B145" s="5">
        <v>6.65</v>
      </c>
      <c r="C145" s="5">
        <v>10.91</v>
      </c>
      <c r="D145" s="6">
        <f t="shared" si="12"/>
        <v>1887.6689846000002</v>
      </c>
      <c r="E145" s="6">
        <v>0</v>
      </c>
      <c r="F145" s="5">
        <v>19.91</v>
      </c>
      <c r="G145" s="7">
        <f t="shared" si="13"/>
        <v>1991.3661205584003</v>
      </c>
      <c r="H145" s="7">
        <v>0</v>
      </c>
      <c r="I145" s="5">
        <v>2.7</v>
      </c>
      <c r="J145" s="7">
        <f t="shared" si="14"/>
        <v>136.54400475</v>
      </c>
      <c r="K145" s="9">
        <v>0</v>
      </c>
      <c r="L145" s="5">
        <v>2.2999999999999998</v>
      </c>
      <c r="M145" s="7">
        <f t="shared" si="15"/>
        <v>66.805078999999978</v>
      </c>
      <c r="N145" s="9">
        <v>0</v>
      </c>
      <c r="O145" s="5">
        <v>2.16</v>
      </c>
      <c r="P145" s="7">
        <f t="shared" si="16"/>
        <v>83.078133404737272</v>
      </c>
      <c r="Q145" s="9">
        <v>0</v>
      </c>
      <c r="R145" s="5">
        <v>1.62</v>
      </c>
      <c r="S145" s="7">
        <f t="shared" si="17"/>
        <v>26.699872924970897</v>
      </c>
      <c r="T145" s="9">
        <v>0</v>
      </c>
    </row>
    <row r="146" spans="1:20" x14ac:dyDescent="0.3">
      <c r="A146" s="1">
        <v>45990.916674768516</v>
      </c>
      <c r="B146" s="5">
        <v>6.75</v>
      </c>
      <c r="C146" s="5">
        <v>10.91</v>
      </c>
      <c r="D146" s="6">
        <f t="shared" si="12"/>
        <v>1887.6689846000002</v>
      </c>
      <c r="E146" s="6">
        <v>0</v>
      </c>
      <c r="F146" s="5">
        <v>19.8</v>
      </c>
      <c r="G146" s="7">
        <f t="shared" si="13"/>
        <v>1960.2121780244006</v>
      </c>
      <c r="H146" s="7">
        <v>0</v>
      </c>
      <c r="I146" s="5">
        <v>2.75</v>
      </c>
      <c r="J146" s="7">
        <f t="shared" si="14"/>
        <v>142.86642475000008</v>
      </c>
      <c r="K146" s="9">
        <v>0</v>
      </c>
      <c r="L146" s="5">
        <v>2.27</v>
      </c>
      <c r="M146" s="7">
        <f t="shared" si="15"/>
        <v>65.303871589999986</v>
      </c>
      <c r="N146" s="9">
        <v>0</v>
      </c>
      <c r="O146" s="5">
        <v>2.1</v>
      </c>
      <c r="P146" s="7">
        <f t="shared" si="16"/>
        <v>79.901823258310188</v>
      </c>
      <c r="Q146" s="9">
        <v>0</v>
      </c>
      <c r="R146" s="5">
        <v>1.62</v>
      </c>
      <c r="S146" s="7">
        <f t="shared" si="17"/>
        <v>26.699872924970897</v>
      </c>
      <c r="T146" s="9">
        <v>0</v>
      </c>
    </row>
    <row r="147" spans="1:20" x14ac:dyDescent="0.3">
      <c r="A147" s="1">
        <v>45990.958341493053</v>
      </c>
      <c r="B147" s="5">
        <v>6.8</v>
      </c>
      <c r="C147" s="5">
        <v>10.93</v>
      </c>
      <c r="D147" s="6">
        <f t="shared" si="12"/>
        <v>1893.9938894000002</v>
      </c>
      <c r="E147" s="6">
        <v>0</v>
      </c>
      <c r="F147" s="5">
        <v>19.670000000000002</v>
      </c>
      <c r="G147" s="7">
        <f t="shared" si="13"/>
        <v>1923.700831022401</v>
      </c>
      <c r="H147" s="7">
        <v>0</v>
      </c>
      <c r="I147" s="5">
        <v>2.8</v>
      </c>
      <c r="J147" s="7">
        <f t="shared" si="14"/>
        <v>149.76179475000004</v>
      </c>
      <c r="K147" s="9">
        <v>0</v>
      </c>
      <c r="L147" s="5">
        <v>2.25</v>
      </c>
      <c r="M147" s="7">
        <f t="shared" si="15"/>
        <v>64.311993749999999</v>
      </c>
      <c r="N147" s="9">
        <v>0</v>
      </c>
      <c r="O147" s="5">
        <v>2.04</v>
      </c>
      <c r="P147" s="7">
        <f t="shared" si="16"/>
        <v>76.760157135565393</v>
      </c>
      <c r="Q147" s="9">
        <v>0</v>
      </c>
      <c r="R147" s="5">
        <v>1.6</v>
      </c>
      <c r="S147" s="7">
        <f t="shared" si="17"/>
        <v>25.979010742504016</v>
      </c>
      <c r="T147" s="9">
        <v>0</v>
      </c>
    </row>
    <row r="148" spans="1:20" x14ac:dyDescent="0.3">
      <c r="A148" s="1">
        <v>45991.00000821759</v>
      </c>
      <c r="B148" s="5">
        <v>6.8</v>
      </c>
      <c r="C148" s="8">
        <v>10.95</v>
      </c>
      <c r="D148" s="6">
        <f t="shared" si="12"/>
        <v>1900.3293494000002</v>
      </c>
      <c r="E148" s="6">
        <v>0</v>
      </c>
      <c r="F148" s="5">
        <v>19.5</v>
      </c>
      <c r="G148" s="7">
        <f t="shared" si="13"/>
        <v>1876.4569665044005</v>
      </c>
      <c r="H148" s="7">
        <v>0</v>
      </c>
      <c r="I148" s="5">
        <v>2.75</v>
      </c>
      <c r="J148" s="7">
        <f t="shared" si="14"/>
        <v>142.86642475000008</v>
      </c>
      <c r="K148" s="9">
        <v>0</v>
      </c>
      <c r="L148" s="5">
        <v>2.2400000000000002</v>
      </c>
      <c r="M148" s="7">
        <f t="shared" si="15"/>
        <v>63.818732960000013</v>
      </c>
      <c r="N148" s="9">
        <v>0</v>
      </c>
      <c r="O148" s="5">
        <v>2.0099999999999998</v>
      </c>
      <c r="P148" s="7">
        <f t="shared" si="16"/>
        <v>75.202509584264433</v>
      </c>
      <c r="Q148" s="9">
        <v>0</v>
      </c>
      <c r="R148" s="5">
        <v>1.58</v>
      </c>
      <c r="S148" s="7">
        <f t="shared" si="17"/>
        <v>25.270991150596057</v>
      </c>
      <c r="T148" s="9">
        <v>0</v>
      </c>
    </row>
    <row r="149" spans="1:20" x14ac:dyDescent="0.3">
      <c r="A149" s="1">
        <v>45991.041674942127</v>
      </c>
      <c r="B149" s="5">
        <v>6.8</v>
      </c>
      <c r="C149" s="5">
        <v>10.92</v>
      </c>
      <c r="D149" s="6">
        <f t="shared" si="12"/>
        <v>1890.8301176000002</v>
      </c>
      <c r="E149" s="6">
        <v>0</v>
      </c>
      <c r="F149" s="5">
        <v>19.350000000000001</v>
      </c>
      <c r="G149" s="7">
        <f t="shared" si="13"/>
        <v>1835.2434324944006</v>
      </c>
      <c r="H149" s="7">
        <v>0</v>
      </c>
      <c r="I149" s="5">
        <v>2.65</v>
      </c>
      <c r="J149" s="7">
        <f t="shared" si="14"/>
        <v>130.79453475000003</v>
      </c>
      <c r="K149" s="9">
        <v>0</v>
      </c>
      <c r="L149" s="5">
        <v>2.2000000000000002</v>
      </c>
      <c r="M149" s="7">
        <f t="shared" si="15"/>
        <v>61.863544000000012</v>
      </c>
      <c r="N149" s="9">
        <v>0</v>
      </c>
      <c r="O149" s="5">
        <v>1.98</v>
      </c>
      <c r="P149" s="7">
        <f t="shared" si="16"/>
        <v>73.65375955463746</v>
      </c>
      <c r="Q149" s="9">
        <v>0</v>
      </c>
      <c r="R149" s="5">
        <v>1.57</v>
      </c>
      <c r="S149" s="7">
        <f t="shared" si="17"/>
        <v>24.921763390362578</v>
      </c>
      <c r="T149" s="9">
        <v>0</v>
      </c>
    </row>
    <row r="150" spans="1:20" x14ac:dyDescent="0.3">
      <c r="A150" s="1">
        <v>45991.083341666665</v>
      </c>
      <c r="B150" s="5">
        <v>6.8</v>
      </c>
      <c r="C150" s="5">
        <v>10.9</v>
      </c>
      <c r="D150" s="6">
        <f t="shared" si="12"/>
        <v>1884.5104904000002</v>
      </c>
      <c r="E150" s="6">
        <v>0</v>
      </c>
      <c r="F150" s="5">
        <v>19.18</v>
      </c>
      <c r="G150" s="7">
        <f t="shared" si="13"/>
        <v>1789.0699532564004</v>
      </c>
      <c r="H150" s="7">
        <v>0</v>
      </c>
      <c r="I150" s="5">
        <v>2.56</v>
      </c>
      <c r="J150" s="7">
        <f t="shared" si="14"/>
        <v>121.88932275000002</v>
      </c>
      <c r="K150" s="9">
        <v>0</v>
      </c>
      <c r="L150" s="5">
        <v>2.16</v>
      </c>
      <c r="M150" s="7">
        <f t="shared" si="15"/>
        <v>59.936921760000004</v>
      </c>
      <c r="N150" s="9">
        <v>0</v>
      </c>
      <c r="O150" s="5">
        <v>1.96</v>
      </c>
      <c r="P150" s="7">
        <f t="shared" si="16"/>
        <v>72.626243425382597</v>
      </c>
      <c r="Q150" s="9">
        <v>0</v>
      </c>
      <c r="R150" s="5">
        <v>1.55</v>
      </c>
      <c r="S150" s="7">
        <f t="shared" si="17"/>
        <v>24.23280400570944</v>
      </c>
      <c r="T150" s="9">
        <v>0</v>
      </c>
    </row>
    <row r="151" spans="1:20" x14ac:dyDescent="0.3">
      <c r="A151" s="1">
        <v>45991.125008391202</v>
      </c>
      <c r="B151" s="5">
        <v>6.85</v>
      </c>
      <c r="C151" s="5">
        <v>10.9</v>
      </c>
      <c r="D151" s="6">
        <f t="shared" si="12"/>
        <v>1884.5104904000002</v>
      </c>
      <c r="E151" s="6">
        <v>0</v>
      </c>
      <c r="F151" s="5">
        <v>19.02</v>
      </c>
      <c r="G151" s="7">
        <f t="shared" si="13"/>
        <v>1746.1320127124004</v>
      </c>
      <c r="H151" s="7">
        <v>0</v>
      </c>
      <c r="I151" s="5">
        <v>2.56</v>
      </c>
      <c r="J151" s="7">
        <f t="shared" si="14"/>
        <v>121.88932275000002</v>
      </c>
      <c r="K151" s="9">
        <v>0</v>
      </c>
      <c r="L151" s="5">
        <v>2.12</v>
      </c>
      <c r="M151" s="7">
        <f t="shared" si="15"/>
        <v>58.038866240000011</v>
      </c>
      <c r="N151" s="9">
        <v>0</v>
      </c>
      <c r="O151" s="5">
        <v>1.92</v>
      </c>
      <c r="P151" s="7">
        <f t="shared" si="16"/>
        <v>70.583285457096224</v>
      </c>
      <c r="Q151" s="9">
        <v>0</v>
      </c>
      <c r="R151" s="5">
        <v>1.55</v>
      </c>
      <c r="S151" s="7">
        <f t="shared" si="17"/>
        <v>24.23280400570944</v>
      </c>
      <c r="T151" s="9">
        <v>0</v>
      </c>
    </row>
    <row r="152" spans="1:20" x14ac:dyDescent="0.3">
      <c r="A152" s="1">
        <v>45991.166675115739</v>
      </c>
      <c r="B152" s="5">
        <v>6.9</v>
      </c>
      <c r="C152" s="5">
        <v>10.9</v>
      </c>
      <c r="D152" s="6">
        <f t="shared" si="12"/>
        <v>1884.5104904000002</v>
      </c>
      <c r="E152" s="6">
        <v>0</v>
      </c>
      <c r="F152" s="5">
        <v>18.850000000000001</v>
      </c>
      <c r="G152" s="7">
        <f t="shared" si="13"/>
        <v>1701.0623682944008</v>
      </c>
      <c r="H152" s="7">
        <v>0</v>
      </c>
      <c r="I152" s="5">
        <v>2.5</v>
      </c>
      <c r="J152" s="7">
        <f t="shared" si="14"/>
        <v>116.98382475000005</v>
      </c>
      <c r="K152" s="9">
        <v>0</v>
      </c>
      <c r="L152" s="5">
        <v>2.08</v>
      </c>
      <c r="M152" s="7">
        <f t="shared" si="15"/>
        <v>56.169377439999998</v>
      </c>
      <c r="N152" s="9">
        <v>0</v>
      </c>
      <c r="O152" s="5">
        <v>1.9</v>
      </c>
      <c r="P152" s="7">
        <f t="shared" si="16"/>
        <v>69.567894974307663</v>
      </c>
      <c r="Q152" s="9">
        <v>0</v>
      </c>
      <c r="R152" s="5">
        <v>1.54</v>
      </c>
      <c r="S152" s="7">
        <f t="shared" si="17"/>
        <v>23.893045184855712</v>
      </c>
      <c r="T152" s="9">
        <v>0</v>
      </c>
    </row>
    <row r="153" spans="1:20" x14ac:dyDescent="0.3">
      <c r="A153" s="1">
        <v>45991.208341840276</v>
      </c>
      <c r="B153" s="5">
        <v>7</v>
      </c>
      <c r="C153" s="5">
        <v>10.88</v>
      </c>
      <c r="D153" s="6">
        <f t="shared" si="12"/>
        <v>1878.2014184000006</v>
      </c>
      <c r="E153" s="6">
        <v>0</v>
      </c>
      <c r="F153" s="5">
        <v>18.7</v>
      </c>
      <c r="G153" s="7">
        <f t="shared" si="13"/>
        <v>1661.7672637844003</v>
      </c>
      <c r="H153" s="7">
        <v>0</v>
      </c>
      <c r="I153" s="5">
        <v>2.5</v>
      </c>
      <c r="J153" s="7">
        <f t="shared" si="14"/>
        <v>116.98382475000005</v>
      </c>
      <c r="K153" s="9">
        <v>0</v>
      </c>
      <c r="L153" s="5">
        <v>2.06</v>
      </c>
      <c r="M153" s="7">
        <f t="shared" si="15"/>
        <v>55.245345559999997</v>
      </c>
      <c r="N153" s="9">
        <v>0</v>
      </c>
      <c r="O153" s="5">
        <v>1.86</v>
      </c>
      <c r="P153" s="7">
        <f t="shared" si="16"/>
        <v>67.549422682075871</v>
      </c>
      <c r="Q153" s="9">
        <v>0</v>
      </c>
      <c r="R153" s="5">
        <v>1.52</v>
      </c>
      <c r="S153" s="7">
        <f t="shared" si="17"/>
        <v>23.222901239069301</v>
      </c>
      <c r="T153" s="9">
        <v>0</v>
      </c>
    </row>
    <row r="154" spans="1:20" x14ac:dyDescent="0.3">
      <c r="A154" s="1">
        <v>45991.250008564813</v>
      </c>
      <c r="B154" s="5">
        <v>7.05</v>
      </c>
      <c r="C154" s="5">
        <v>10.88</v>
      </c>
      <c r="D154" s="6">
        <f t="shared" si="12"/>
        <v>1878.2014184000006</v>
      </c>
      <c r="E154" s="6">
        <v>0</v>
      </c>
      <c r="F154" s="5">
        <v>18.55</v>
      </c>
      <c r="G154" s="7">
        <f t="shared" si="13"/>
        <v>1622.9148737744003</v>
      </c>
      <c r="H154" s="7">
        <v>0</v>
      </c>
      <c r="I154" s="5">
        <v>2.8</v>
      </c>
      <c r="J154" s="7">
        <f t="shared" si="14"/>
        <v>149.76179475000004</v>
      </c>
      <c r="K154" s="9">
        <v>0</v>
      </c>
      <c r="L154" s="5">
        <v>2</v>
      </c>
      <c r="M154" s="7">
        <f t="shared" si="15"/>
        <v>47.451130069104941</v>
      </c>
      <c r="N154" s="9">
        <v>0</v>
      </c>
      <c r="O154" s="5">
        <v>1.83</v>
      </c>
      <c r="P154" s="7">
        <f t="shared" si="16"/>
        <v>66.04644515861574</v>
      </c>
      <c r="Q154" s="9">
        <v>0</v>
      </c>
      <c r="R154" s="5">
        <v>1.51</v>
      </c>
      <c r="S154" s="7">
        <f t="shared" si="17"/>
        <v>22.892488872779989</v>
      </c>
      <c r="T154" s="9">
        <v>0</v>
      </c>
    </row>
    <row r="155" spans="1:20" x14ac:dyDescent="0.3">
      <c r="A155" s="1">
        <v>45991.291675289351</v>
      </c>
      <c r="B155" s="5">
        <v>7.1</v>
      </c>
      <c r="C155" s="5">
        <v>10.87</v>
      </c>
      <c r="D155" s="6">
        <f t="shared" si="12"/>
        <v>1875.0508406000001</v>
      </c>
      <c r="E155" s="6">
        <v>0</v>
      </c>
      <c r="F155" s="5">
        <v>18.36</v>
      </c>
      <c r="G155" s="7">
        <f t="shared" si="13"/>
        <v>1574.3373876884002</v>
      </c>
      <c r="H155" s="7">
        <v>0</v>
      </c>
      <c r="I155" s="5">
        <v>2.79</v>
      </c>
      <c r="J155" s="7">
        <f t="shared" si="14"/>
        <v>148.33688474999997</v>
      </c>
      <c r="K155" s="9">
        <v>0</v>
      </c>
      <c r="L155" s="5">
        <v>2</v>
      </c>
      <c r="M155" s="7">
        <f t="shared" si="15"/>
        <v>47.451130069104941</v>
      </c>
      <c r="N155" s="9">
        <v>0</v>
      </c>
      <c r="O155" s="5">
        <v>1.8</v>
      </c>
      <c r="P155" s="7">
        <f t="shared" si="16"/>
        <v>64.552894727495826</v>
      </c>
      <c r="Q155" s="9">
        <v>0</v>
      </c>
      <c r="R155" s="5">
        <v>1.49</v>
      </c>
      <c r="S155" s="7">
        <f t="shared" si="17"/>
        <v>22.240915193154063</v>
      </c>
      <c r="T155" s="9">
        <v>0</v>
      </c>
    </row>
    <row r="156" spans="1:20" x14ac:dyDescent="0.3">
      <c r="A156" s="1">
        <v>45991.333342013888</v>
      </c>
      <c r="B156" s="5">
        <v>7.2</v>
      </c>
      <c r="C156" s="5">
        <v>10.84</v>
      </c>
      <c r="D156" s="6">
        <f t="shared" si="12"/>
        <v>1865.6149400000004</v>
      </c>
      <c r="E156" s="6">
        <v>0</v>
      </c>
      <c r="F156" s="5">
        <v>18.18</v>
      </c>
      <c r="G156" s="7">
        <f t="shared" si="13"/>
        <v>1528.9718288564002</v>
      </c>
      <c r="H156" s="7">
        <v>0</v>
      </c>
      <c r="I156" s="5">
        <v>2.78</v>
      </c>
      <c r="J156" s="7">
        <f t="shared" si="14"/>
        <v>146.9348927499999</v>
      </c>
      <c r="K156" s="9">
        <v>0</v>
      </c>
      <c r="L156" s="5">
        <v>2</v>
      </c>
      <c r="M156" s="7">
        <f t="shared" si="15"/>
        <v>47.451130069104941</v>
      </c>
      <c r="N156" s="9">
        <v>0</v>
      </c>
      <c r="O156" s="5">
        <v>1.79</v>
      </c>
      <c r="P156" s="7">
        <f t="shared" si="16"/>
        <v>64.057156100172492</v>
      </c>
      <c r="Q156" s="9">
        <v>0</v>
      </c>
      <c r="R156" s="5">
        <v>1.48</v>
      </c>
      <c r="S156" s="7">
        <f t="shared" si="17"/>
        <v>21.919726592793509</v>
      </c>
      <c r="T156" s="9">
        <v>0</v>
      </c>
    </row>
    <row r="157" spans="1:20" x14ac:dyDescent="0.3">
      <c r="A157" s="1">
        <v>45991.375008738425</v>
      </c>
      <c r="B157" s="5">
        <v>7.3</v>
      </c>
      <c r="C157" s="5">
        <v>10.82</v>
      </c>
      <c r="D157" s="6">
        <f t="shared" si="12"/>
        <v>1859.3375336000004</v>
      </c>
      <c r="E157" s="6">
        <v>0</v>
      </c>
      <c r="F157" s="5">
        <v>18.010000000000002</v>
      </c>
      <c r="G157" s="7">
        <f t="shared" si="13"/>
        <v>1486.7119457984008</v>
      </c>
      <c r="H157" s="7">
        <v>0</v>
      </c>
      <c r="I157" s="5">
        <v>2.62</v>
      </c>
      <c r="J157" s="7">
        <f t="shared" si="14"/>
        <v>127.61986875000014</v>
      </c>
      <c r="K157" s="9">
        <v>0</v>
      </c>
      <c r="L157" s="5">
        <v>1.99</v>
      </c>
      <c r="M157" s="7">
        <f t="shared" si="15"/>
        <v>46.991131544451804</v>
      </c>
      <c r="N157" s="9">
        <v>0</v>
      </c>
      <c r="O157" s="5">
        <v>1.78</v>
      </c>
      <c r="P157" s="7">
        <f t="shared" si="16"/>
        <v>63.562479268674039</v>
      </c>
      <c r="Q157" s="9">
        <v>0</v>
      </c>
      <c r="R157" s="5">
        <v>1.48</v>
      </c>
      <c r="S157" s="7">
        <f t="shared" si="17"/>
        <v>21.919726592793509</v>
      </c>
      <c r="T157" s="9">
        <v>0</v>
      </c>
    </row>
    <row r="158" spans="1:20" x14ac:dyDescent="0.3">
      <c r="A158" s="1">
        <v>45991.416675462962</v>
      </c>
      <c r="B158" s="5">
        <v>7.35</v>
      </c>
      <c r="C158" s="5">
        <v>10.8</v>
      </c>
      <c r="D158" s="6">
        <f t="shared" si="12"/>
        <v>1853.0706824000006</v>
      </c>
      <c r="E158" s="6">
        <v>0</v>
      </c>
      <c r="F158" s="5">
        <v>17.82</v>
      </c>
      <c r="G158" s="7">
        <f t="shared" si="13"/>
        <v>1440.1532378324005</v>
      </c>
      <c r="H158" s="7">
        <v>0</v>
      </c>
      <c r="I158" s="5">
        <v>2.5499999999999998</v>
      </c>
      <c r="J158" s="7">
        <f t="shared" si="14"/>
        <v>121.01444475000005</v>
      </c>
      <c r="K158" s="9">
        <v>0</v>
      </c>
      <c r="L158" s="5">
        <v>1.99</v>
      </c>
      <c r="M158" s="7">
        <f t="shared" si="15"/>
        <v>46.991131544451804</v>
      </c>
      <c r="N158" s="9">
        <v>0</v>
      </c>
      <c r="O158" s="5">
        <v>1.6</v>
      </c>
      <c r="P158" s="7">
        <f t="shared" si="16"/>
        <v>54.844219638821464</v>
      </c>
      <c r="Q158" s="9">
        <v>0</v>
      </c>
      <c r="R158" s="5">
        <v>1.47</v>
      </c>
      <c r="S158" s="7">
        <f t="shared" si="17"/>
        <v>21.601585281218121</v>
      </c>
      <c r="T158" s="9">
        <v>0</v>
      </c>
    </row>
    <row r="159" spans="1:20" x14ac:dyDescent="0.3">
      <c r="A159" s="1">
        <v>45991.4583421875</v>
      </c>
      <c r="B159" s="5">
        <v>7.4</v>
      </c>
      <c r="C159" s="5">
        <v>10.77</v>
      </c>
      <c r="D159" s="6">
        <f t="shared" si="12"/>
        <v>1843.6901966000003</v>
      </c>
      <c r="E159" s="6">
        <v>0</v>
      </c>
      <c r="F159" s="5">
        <v>17.66</v>
      </c>
      <c r="G159" s="7">
        <f t="shared" si="13"/>
        <v>1401.4968384084004</v>
      </c>
      <c r="H159" s="7">
        <v>0</v>
      </c>
      <c r="I159" s="5">
        <v>2.52</v>
      </c>
      <c r="J159" s="7">
        <f t="shared" si="14"/>
        <v>118.52731874999995</v>
      </c>
      <c r="K159" s="9">
        <v>0</v>
      </c>
      <c r="L159" s="5">
        <v>1.98</v>
      </c>
      <c r="M159" s="7">
        <f t="shared" si="15"/>
        <v>46.533187464870657</v>
      </c>
      <c r="N159" s="9">
        <v>0</v>
      </c>
      <c r="O159" s="5">
        <v>1.66</v>
      </c>
      <c r="P159" s="7">
        <f t="shared" si="16"/>
        <v>57.710548453220717</v>
      </c>
      <c r="Q159" s="9">
        <v>0</v>
      </c>
      <c r="R159" s="5">
        <v>1.45</v>
      </c>
      <c r="S159" s="7">
        <f t="shared" si="17"/>
        <v>20.974389865308012</v>
      </c>
      <c r="T159" s="9">
        <v>0</v>
      </c>
    </row>
    <row r="160" spans="1:20" x14ac:dyDescent="0.3">
      <c r="A160" s="1">
        <v>45991.500008912037</v>
      </c>
      <c r="B160" s="5">
        <v>7.45</v>
      </c>
      <c r="C160" s="5">
        <v>10.75</v>
      </c>
      <c r="D160" s="6">
        <f t="shared" si="12"/>
        <v>1837.4497334000005</v>
      </c>
      <c r="E160" s="6">
        <v>0</v>
      </c>
      <c r="F160" s="5">
        <v>17.47</v>
      </c>
      <c r="G160" s="7">
        <f t="shared" si="13"/>
        <v>1356.2465977424001</v>
      </c>
      <c r="H160" s="7">
        <v>0</v>
      </c>
      <c r="I160" s="5">
        <v>2.48</v>
      </c>
      <c r="J160" s="7">
        <f t="shared" si="14"/>
        <v>115.53200274999995</v>
      </c>
      <c r="K160" s="9">
        <v>0</v>
      </c>
      <c r="L160" s="5">
        <v>1.98</v>
      </c>
      <c r="M160" s="7">
        <f t="shared" si="15"/>
        <v>46.533187464870657</v>
      </c>
      <c r="N160" s="9">
        <v>0</v>
      </c>
      <c r="O160" s="5">
        <v>1.66</v>
      </c>
      <c r="P160" s="7">
        <f t="shared" si="16"/>
        <v>57.710548453220717</v>
      </c>
      <c r="Q160" s="9">
        <v>0</v>
      </c>
      <c r="R160" s="5">
        <v>1.44</v>
      </c>
      <c r="S160" s="7">
        <f t="shared" si="17"/>
        <v>20.665308411859872</v>
      </c>
      <c r="T160" s="9">
        <v>0</v>
      </c>
    </row>
    <row r="161" spans="1:20" x14ac:dyDescent="0.3">
      <c r="A161" s="1">
        <v>45991.541675636574</v>
      </c>
      <c r="B161" s="5">
        <v>7.45</v>
      </c>
      <c r="C161" s="5">
        <v>10.72</v>
      </c>
      <c r="D161" s="6">
        <f t="shared" si="12"/>
        <v>1828.1088296000005</v>
      </c>
      <c r="E161" s="6">
        <v>0</v>
      </c>
      <c r="F161" s="5">
        <v>17.29</v>
      </c>
      <c r="G161" s="7">
        <f t="shared" si="13"/>
        <v>1314.0331661504001</v>
      </c>
      <c r="H161" s="7">
        <v>0</v>
      </c>
      <c r="I161" s="5">
        <v>2.25</v>
      </c>
      <c r="J161" s="7">
        <f t="shared" si="14"/>
        <v>105.42497474999993</v>
      </c>
      <c r="K161" s="9">
        <v>0</v>
      </c>
      <c r="L161" s="5">
        <v>1.98</v>
      </c>
      <c r="M161" s="7">
        <f t="shared" si="15"/>
        <v>46.533187464870657</v>
      </c>
      <c r="N161" s="9">
        <v>0</v>
      </c>
      <c r="O161" s="5">
        <v>1.65</v>
      </c>
      <c r="P161" s="7">
        <f t="shared" si="16"/>
        <v>57.230021811535892</v>
      </c>
      <c r="Q161" s="9">
        <v>0</v>
      </c>
      <c r="R161" s="5">
        <v>1.43</v>
      </c>
      <c r="S161" s="7">
        <f t="shared" si="17"/>
        <v>20.359219548880962</v>
      </c>
      <c r="T161" s="9">
        <v>0</v>
      </c>
    </row>
    <row r="162" spans="1:20" x14ac:dyDescent="0.3">
      <c r="A162" s="1">
        <v>45991.583342361111</v>
      </c>
      <c r="B162" s="5">
        <v>7.45</v>
      </c>
      <c r="C162" s="5">
        <v>10.69</v>
      </c>
      <c r="D162" s="6">
        <f t="shared" si="12"/>
        <v>1818.7916750000002</v>
      </c>
      <c r="E162" s="6">
        <v>0</v>
      </c>
      <c r="F162" s="5">
        <v>17.09</v>
      </c>
      <c r="G162" s="7">
        <f t="shared" si="13"/>
        <v>1267.8770488704004</v>
      </c>
      <c r="H162" s="7">
        <v>0</v>
      </c>
      <c r="I162" s="5">
        <v>2.29</v>
      </c>
      <c r="J162" s="7">
        <f t="shared" si="14"/>
        <v>106.31183475</v>
      </c>
      <c r="K162" s="9">
        <v>0</v>
      </c>
      <c r="L162" s="5">
        <v>1.98</v>
      </c>
      <c r="M162" s="7">
        <f t="shared" si="15"/>
        <v>46.533187464870657</v>
      </c>
      <c r="N162" s="9">
        <v>0</v>
      </c>
      <c r="O162" s="5">
        <v>1.64</v>
      </c>
      <c r="P162" s="7">
        <f t="shared" si="16"/>
        <v>56.750611610507896</v>
      </c>
      <c r="Q162" s="9">
        <v>0</v>
      </c>
      <c r="R162" s="5">
        <v>1.42</v>
      </c>
      <c r="S162" s="7">
        <f t="shared" si="17"/>
        <v>20.056109582057218</v>
      </c>
      <c r="T162" s="9">
        <v>0</v>
      </c>
    </row>
    <row r="163" spans="1:20" x14ac:dyDescent="0.3">
      <c r="A163" s="1">
        <v>45991.625009085648</v>
      </c>
      <c r="B163" s="5">
        <v>7.5</v>
      </c>
      <c r="C163" s="5">
        <v>10.64</v>
      </c>
      <c r="D163" s="6">
        <f t="shared" si="12"/>
        <v>1803.3158600000006</v>
      </c>
      <c r="E163" s="6">
        <v>0</v>
      </c>
      <c r="F163" s="5">
        <v>16.899999999999999</v>
      </c>
      <c r="G163" s="7">
        <f t="shared" si="13"/>
        <v>1224.7577406644</v>
      </c>
      <c r="H163" s="7">
        <v>0</v>
      </c>
      <c r="I163" s="5">
        <v>2.63</v>
      </c>
      <c r="J163" s="7">
        <f t="shared" si="14"/>
        <v>128.65517275000002</v>
      </c>
      <c r="K163" s="9">
        <v>0</v>
      </c>
      <c r="L163" s="5">
        <v>1.82</v>
      </c>
      <c r="M163" s="7">
        <f t="shared" si="15"/>
        <v>39.486889592392245</v>
      </c>
      <c r="N163" s="9">
        <v>0</v>
      </c>
      <c r="O163" s="5">
        <v>1.62</v>
      </c>
      <c r="P163" s="7">
        <f t="shared" si="16"/>
        <v>55.795157331793753</v>
      </c>
      <c r="Q163" s="9">
        <v>0</v>
      </c>
      <c r="R163" s="5">
        <v>1.42</v>
      </c>
      <c r="S163" s="7">
        <f t="shared" si="17"/>
        <v>20.056109582057218</v>
      </c>
      <c r="T163" s="9">
        <v>0</v>
      </c>
    </row>
    <row r="164" spans="1:20" x14ac:dyDescent="0.3">
      <c r="A164" s="1">
        <v>45991.666675810186</v>
      </c>
      <c r="B164" s="5">
        <v>7.5</v>
      </c>
      <c r="C164" s="5">
        <v>10.6</v>
      </c>
      <c r="D164" s="6">
        <f t="shared" si="12"/>
        <v>1790.9827064000003</v>
      </c>
      <c r="E164" s="6">
        <v>0</v>
      </c>
      <c r="F164" s="5">
        <v>16.68</v>
      </c>
      <c r="G164" s="7">
        <f t="shared" si="13"/>
        <v>1175.7175172564002</v>
      </c>
      <c r="H164" s="7">
        <v>0</v>
      </c>
      <c r="I164" s="5">
        <v>2.66</v>
      </c>
      <c r="J164" s="7">
        <f t="shared" si="14"/>
        <v>131.89859275000015</v>
      </c>
      <c r="K164" s="9">
        <v>0</v>
      </c>
      <c r="L164" s="5">
        <v>1.67</v>
      </c>
      <c r="M164" s="7">
        <f t="shared" si="15"/>
        <v>33.365540980474748</v>
      </c>
      <c r="N164" s="9">
        <v>0</v>
      </c>
      <c r="O164" s="5">
        <v>1.59</v>
      </c>
      <c r="P164" s="7">
        <f t="shared" si="16"/>
        <v>54.370455330676243</v>
      </c>
      <c r="Q164" s="9">
        <v>0</v>
      </c>
      <c r="R164" s="5">
        <v>1.4</v>
      </c>
      <c r="S164" s="7">
        <f t="shared" si="17"/>
        <v>19.458771519648565</v>
      </c>
      <c r="T164" s="9">
        <v>0</v>
      </c>
    </row>
    <row r="165" spans="1:20" x14ac:dyDescent="0.3">
      <c r="A165" s="1">
        <v>45991.708342534723</v>
      </c>
      <c r="B165" s="5">
        <v>7.55</v>
      </c>
      <c r="C165" s="5">
        <v>10.55</v>
      </c>
      <c r="D165" s="6">
        <f t="shared" si="12"/>
        <v>1775.6256374000006</v>
      </c>
      <c r="E165" s="6">
        <v>0</v>
      </c>
      <c r="F165" s="5">
        <v>16.48</v>
      </c>
      <c r="G165" s="7">
        <f t="shared" si="13"/>
        <v>1131.9618963764003</v>
      </c>
      <c r="H165" s="7">
        <v>0</v>
      </c>
      <c r="I165" s="5">
        <v>2.59</v>
      </c>
      <c r="J165" s="7">
        <f t="shared" si="14"/>
        <v>124.65146475000006</v>
      </c>
      <c r="K165" s="9">
        <v>0</v>
      </c>
      <c r="L165" s="5">
        <v>1.67</v>
      </c>
      <c r="M165" s="7">
        <f t="shared" si="15"/>
        <v>33.365540980474748</v>
      </c>
      <c r="N165" s="9">
        <v>0</v>
      </c>
      <c r="O165" s="5">
        <v>1.5</v>
      </c>
      <c r="P165" s="7">
        <f t="shared" si="16"/>
        <v>50.158520021124403</v>
      </c>
      <c r="Q165" s="9">
        <v>0</v>
      </c>
      <c r="R165" s="5">
        <v>1.4</v>
      </c>
      <c r="S165" s="7">
        <f t="shared" si="17"/>
        <v>19.458771519648565</v>
      </c>
      <c r="T165" s="9">
        <v>0</v>
      </c>
    </row>
    <row r="166" spans="1:20" x14ac:dyDescent="0.3">
      <c r="A166" s="1">
        <v>45991.75000925926</v>
      </c>
      <c r="B166" s="5">
        <v>7.6</v>
      </c>
      <c r="C166" s="5">
        <v>10.51</v>
      </c>
      <c r="D166" s="6">
        <f t="shared" si="12"/>
        <v>1763.3874806000003</v>
      </c>
      <c r="E166" s="6">
        <v>0</v>
      </c>
      <c r="F166" s="5">
        <v>16.25</v>
      </c>
      <c r="G166" s="7">
        <f t="shared" si="13"/>
        <v>1082.6159204544003</v>
      </c>
      <c r="H166" s="7">
        <v>0</v>
      </c>
      <c r="I166" s="5">
        <v>2.5499999999999998</v>
      </c>
      <c r="J166" s="7">
        <f t="shared" si="14"/>
        <v>121.01444475000005</v>
      </c>
      <c r="K166" s="9">
        <v>0</v>
      </c>
      <c r="L166" s="5">
        <v>1.81</v>
      </c>
      <c r="M166" s="7">
        <f t="shared" si="15"/>
        <v>39.064136806532986</v>
      </c>
      <c r="N166" s="9">
        <v>0</v>
      </c>
      <c r="O166" s="5">
        <v>1.54</v>
      </c>
      <c r="P166" s="7">
        <f t="shared" si="16"/>
        <v>52.01885671479063</v>
      </c>
      <c r="Q166" s="9">
        <v>0</v>
      </c>
      <c r="R166" s="5">
        <v>1.38</v>
      </c>
      <c r="S166" s="7">
        <f t="shared" si="17"/>
        <v>18.87318450958804</v>
      </c>
      <c r="T166" s="9">
        <v>0</v>
      </c>
    </row>
    <row r="167" spans="1:20" x14ac:dyDescent="0.3">
      <c r="A167" s="1">
        <v>45991.791675983797</v>
      </c>
      <c r="B167" s="5">
        <v>7.65</v>
      </c>
      <c r="C167" s="5">
        <v>10.46</v>
      </c>
      <c r="D167" s="6">
        <f t="shared" si="12"/>
        <v>1748.1491576000005</v>
      </c>
      <c r="E167" s="6">
        <v>0</v>
      </c>
      <c r="F167" s="5">
        <v>16.05</v>
      </c>
      <c r="G167" s="7">
        <f t="shared" si="13"/>
        <v>1040.5524527744001</v>
      </c>
      <c r="H167" s="7">
        <v>0</v>
      </c>
      <c r="I167" s="5">
        <v>2.72</v>
      </c>
      <c r="J167" s="7">
        <f t="shared" si="14"/>
        <v>139.00421874999995</v>
      </c>
      <c r="K167" s="9">
        <v>0</v>
      </c>
      <c r="L167" s="5">
        <v>1.83</v>
      </c>
      <c r="M167" s="7">
        <f t="shared" si="15"/>
        <v>39.911726861017094</v>
      </c>
      <c r="N167" s="9">
        <v>0</v>
      </c>
      <c r="O167" s="5">
        <v>1.58</v>
      </c>
      <c r="P167" s="7">
        <f t="shared" si="16"/>
        <v>53.897833239068568</v>
      </c>
      <c r="Q167" s="9">
        <v>0</v>
      </c>
      <c r="R167" s="5">
        <v>1.38</v>
      </c>
      <c r="S167" s="7">
        <f t="shared" si="17"/>
        <v>18.87318450958804</v>
      </c>
      <c r="T167" s="9">
        <v>0</v>
      </c>
    </row>
    <row r="168" spans="1:20" x14ac:dyDescent="0.3">
      <c r="A168" s="1">
        <v>45991.833342708334</v>
      </c>
      <c r="B168" s="5">
        <v>7.8</v>
      </c>
      <c r="C168" s="5">
        <v>10.4</v>
      </c>
      <c r="D168" s="6">
        <f t="shared" si="12"/>
        <v>1729.9502504000004</v>
      </c>
      <c r="E168" s="6">
        <v>0</v>
      </c>
      <c r="F168" s="5">
        <v>15.8</v>
      </c>
      <c r="G168" s="7">
        <f t="shared" si="13"/>
        <v>989.07990442440018</v>
      </c>
      <c r="H168" s="7">
        <v>0</v>
      </c>
      <c r="I168" s="5">
        <v>2.69</v>
      </c>
      <c r="J168" s="7">
        <f t="shared" si="14"/>
        <v>135.34827474999986</v>
      </c>
      <c r="K168" s="9">
        <v>0</v>
      </c>
      <c r="L168" s="5">
        <v>1.78</v>
      </c>
      <c r="M168" s="7">
        <f t="shared" si="15"/>
        <v>37.808404135499359</v>
      </c>
      <c r="N168" s="9">
        <v>0</v>
      </c>
      <c r="O168" s="5">
        <v>1.68</v>
      </c>
      <c r="P168" s="7">
        <f t="shared" si="16"/>
        <v>58.674934502256299</v>
      </c>
      <c r="Q168" s="9">
        <v>0</v>
      </c>
      <c r="R168" s="5">
        <v>1.36</v>
      </c>
      <c r="S168" s="7">
        <f t="shared" si="17"/>
        <v>18.299238706821864</v>
      </c>
      <c r="T168" s="9">
        <v>0</v>
      </c>
    </row>
    <row r="169" spans="1:20" x14ac:dyDescent="0.3">
      <c r="A169" s="1">
        <v>45991.875009432872</v>
      </c>
      <c r="B169" s="5">
        <v>7.9</v>
      </c>
      <c r="C169" s="5">
        <v>10.35</v>
      </c>
      <c r="D169" s="6">
        <f t="shared" si="12"/>
        <v>1714.8570614000002</v>
      </c>
      <c r="E169" s="6">
        <v>0</v>
      </c>
      <c r="F169" s="5">
        <v>15.56</v>
      </c>
      <c r="G169" s="7">
        <f t="shared" si="13"/>
        <v>940.82321856840008</v>
      </c>
      <c r="H169" s="7">
        <v>0</v>
      </c>
      <c r="I169" s="5">
        <v>2.65</v>
      </c>
      <c r="J169" s="7">
        <f t="shared" si="14"/>
        <v>130.79453475000003</v>
      </c>
      <c r="K169" s="9">
        <v>0</v>
      </c>
      <c r="L169" s="5">
        <v>1.69</v>
      </c>
      <c r="M169" s="7">
        <f t="shared" si="15"/>
        <v>34.154387697765088</v>
      </c>
      <c r="N169" s="9">
        <v>0</v>
      </c>
      <c r="O169" s="5">
        <v>1.57</v>
      </c>
      <c r="P169" s="7">
        <f t="shared" si="16"/>
        <v>53.426357813296043</v>
      </c>
      <c r="Q169" s="9">
        <v>0</v>
      </c>
      <c r="R169" s="5">
        <v>1.36</v>
      </c>
      <c r="S169" s="7">
        <f t="shared" si="17"/>
        <v>18.299238706821864</v>
      </c>
      <c r="T169" s="9">
        <v>0</v>
      </c>
    </row>
    <row r="170" spans="1:20" x14ac:dyDescent="0.3">
      <c r="A170" s="1">
        <v>45991.916676157409</v>
      </c>
      <c r="B170" s="5">
        <v>8</v>
      </c>
      <c r="C170" s="5">
        <v>10.29</v>
      </c>
      <c r="D170" s="6">
        <f t="shared" si="12"/>
        <v>1696.8323150000001</v>
      </c>
      <c r="E170" s="6">
        <v>0</v>
      </c>
      <c r="F170" s="5">
        <v>15.35</v>
      </c>
      <c r="G170" s="7">
        <f t="shared" si="13"/>
        <v>899.52831889439972</v>
      </c>
      <c r="H170" s="7">
        <v>0</v>
      </c>
      <c r="I170" s="5">
        <v>2.39</v>
      </c>
      <c r="J170" s="7">
        <f t="shared" si="14"/>
        <v>110.1332447499999</v>
      </c>
      <c r="K170" s="9">
        <v>0</v>
      </c>
      <c r="L170" s="5">
        <v>1.63</v>
      </c>
      <c r="M170" s="7">
        <f t="shared" si="15"/>
        <v>31.813232082183543</v>
      </c>
      <c r="N170" s="9">
        <v>0</v>
      </c>
      <c r="O170" s="5">
        <v>1.52</v>
      </c>
      <c r="P170" s="7">
        <f t="shared" si="16"/>
        <v>51.086339643104594</v>
      </c>
      <c r="Q170" s="9">
        <v>0</v>
      </c>
      <c r="R170" s="5">
        <v>1.35</v>
      </c>
      <c r="S170" s="7">
        <f t="shared" si="17"/>
        <v>18.016596895667625</v>
      </c>
      <c r="T170" s="9">
        <v>0</v>
      </c>
    </row>
    <row r="171" spans="1:20" x14ac:dyDescent="0.3">
      <c r="A171" s="1">
        <v>45991.958342881946</v>
      </c>
      <c r="B171" s="5">
        <v>8.1</v>
      </c>
      <c r="C171" s="5">
        <v>10.23</v>
      </c>
      <c r="D171" s="6">
        <f t="shared" si="12"/>
        <v>1678.9025654000006</v>
      </c>
      <c r="E171" s="6">
        <v>0</v>
      </c>
      <c r="F171" s="5">
        <v>15.11</v>
      </c>
      <c r="G171" s="7">
        <f t="shared" si="13"/>
        <v>853.39666263839979</v>
      </c>
      <c r="H171" s="7">
        <v>0</v>
      </c>
      <c r="I171" s="5">
        <v>2.4900000000000002</v>
      </c>
      <c r="J171" s="7">
        <f t="shared" si="14"/>
        <v>116.24645475</v>
      </c>
      <c r="K171" s="9">
        <v>0</v>
      </c>
      <c r="L171" s="5">
        <v>1.57</v>
      </c>
      <c r="M171" s="7">
        <f t="shared" si="15"/>
        <v>29.548484564258974</v>
      </c>
      <c r="N171" s="9">
        <v>0</v>
      </c>
      <c r="O171" s="5">
        <v>1.49</v>
      </c>
      <c r="P171" s="7">
        <f t="shared" si="16"/>
        <v>49.696383751957796</v>
      </c>
      <c r="Q171" s="9">
        <v>0</v>
      </c>
      <c r="R171" s="5">
        <v>1.35</v>
      </c>
      <c r="S171" s="7">
        <f t="shared" si="17"/>
        <v>18.016596895667625</v>
      </c>
      <c r="T171" s="9">
        <v>0</v>
      </c>
    </row>
    <row r="172" spans="1:20" x14ac:dyDescent="0.3">
      <c r="A172" s="1">
        <v>45992.000009606483</v>
      </c>
      <c r="B172" s="5">
        <v>8.25</v>
      </c>
      <c r="C172" s="5">
        <v>10.18</v>
      </c>
      <c r="D172" s="6">
        <f t="shared" si="12"/>
        <v>1664.0336744000001</v>
      </c>
      <c r="E172" s="6">
        <v>0</v>
      </c>
      <c r="F172" s="5">
        <v>14.9</v>
      </c>
      <c r="G172" s="7">
        <f t="shared" si="13"/>
        <v>813.96116386439985</v>
      </c>
      <c r="H172" s="7">
        <v>0</v>
      </c>
      <c r="I172" s="5">
        <v>2.35</v>
      </c>
      <c r="J172" s="7">
        <f t="shared" si="14"/>
        <v>108.32966475000001</v>
      </c>
      <c r="K172" s="9">
        <v>0</v>
      </c>
      <c r="L172" s="5">
        <v>1.51</v>
      </c>
      <c r="M172" s="7">
        <f t="shared" si="15"/>
        <v>27.360617479645626</v>
      </c>
      <c r="N172" s="9">
        <v>0</v>
      </c>
      <c r="O172" s="5">
        <v>1.48</v>
      </c>
      <c r="P172" s="7">
        <f t="shared" si="16"/>
        <v>49.23543634677646</v>
      </c>
      <c r="Q172" s="9">
        <v>0</v>
      </c>
      <c r="R172" s="5">
        <v>1.35</v>
      </c>
      <c r="S172" s="7">
        <f t="shared" si="17"/>
        <v>18.016596895667625</v>
      </c>
      <c r="T172" s="9">
        <v>0</v>
      </c>
    </row>
    <row r="173" spans="1:20" x14ac:dyDescent="0.3">
      <c r="A173" s="1">
        <v>45992.04167633102</v>
      </c>
      <c r="B173" s="5">
        <v>8.3000000000000007</v>
      </c>
      <c r="C173" s="5">
        <v>10.1</v>
      </c>
      <c r="D173" s="6">
        <f t="shared" si="12"/>
        <v>1640.3806664000001</v>
      </c>
      <c r="E173" s="6">
        <v>0</v>
      </c>
      <c r="F173" s="5">
        <v>14.68</v>
      </c>
      <c r="G173" s="7">
        <f t="shared" si="13"/>
        <v>773.57846845639983</v>
      </c>
      <c r="H173" s="7">
        <v>0</v>
      </c>
      <c r="I173" s="5">
        <v>2.35</v>
      </c>
      <c r="J173" s="7">
        <f t="shared" si="14"/>
        <v>108.32966475000001</v>
      </c>
      <c r="K173" s="9">
        <v>0</v>
      </c>
      <c r="L173" s="5">
        <v>1.47</v>
      </c>
      <c r="M173" s="7">
        <f t="shared" si="15"/>
        <v>25.944994287458943</v>
      </c>
      <c r="N173" s="9">
        <v>0</v>
      </c>
      <c r="O173" s="5">
        <v>1.45</v>
      </c>
      <c r="P173" s="7">
        <f t="shared" si="16"/>
        <v>47.859777022662598</v>
      </c>
      <c r="Q173" s="9">
        <v>0</v>
      </c>
      <c r="R173" s="5">
        <v>1.34</v>
      </c>
      <c r="S173" s="7">
        <f t="shared" si="17"/>
        <v>17.736824134748694</v>
      </c>
      <c r="T173" s="9">
        <v>0</v>
      </c>
    </row>
    <row r="174" spans="1:20" x14ac:dyDescent="0.3">
      <c r="A174" s="1">
        <v>45992.083343055558</v>
      </c>
      <c r="B174" s="5">
        <v>8.3000000000000007</v>
      </c>
      <c r="C174" s="5">
        <v>10.039999999999999</v>
      </c>
      <c r="D174" s="6">
        <f t="shared" si="12"/>
        <v>1622.7517400000002</v>
      </c>
      <c r="E174" s="6">
        <v>0</v>
      </c>
      <c r="F174" s="5">
        <v>14.46</v>
      </c>
      <c r="G174" s="7">
        <f t="shared" si="13"/>
        <v>734.14810112840007</v>
      </c>
      <c r="H174" s="7">
        <v>0</v>
      </c>
      <c r="I174" s="5">
        <v>2.39</v>
      </c>
      <c r="J174" s="7">
        <f t="shared" si="14"/>
        <v>110.1332447499999</v>
      </c>
      <c r="K174" s="9">
        <v>0</v>
      </c>
      <c r="L174" s="5">
        <v>1.45</v>
      </c>
      <c r="M174" s="7">
        <f t="shared" si="15"/>
        <v>25.250125968475022</v>
      </c>
      <c r="N174" s="9">
        <v>0</v>
      </c>
      <c r="O174" s="5">
        <v>1.45</v>
      </c>
      <c r="P174" s="7">
        <f t="shared" si="16"/>
        <v>47.859777022662598</v>
      </c>
      <c r="Q174" s="9">
        <v>0</v>
      </c>
      <c r="R174" s="5">
        <v>1.36</v>
      </c>
      <c r="S174" s="7">
        <f t="shared" si="17"/>
        <v>18.299238706821864</v>
      </c>
      <c r="T174" s="9">
        <v>0</v>
      </c>
    </row>
    <row r="175" spans="1:20" x14ac:dyDescent="0.3">
      <c r="A175" s="1">
        <v>45992.125009780095</v>
      </c>
      <c r="B175" s="5">
        <v>8.3000000000000007</v>
      </c>
      <c r="C175" s="5">
        <v>9.9499999999999993</v>
      </c>
      <c r="D175" s="6">
        <f t="shared" si="12"/>
        <v>1596.4864694</v>
      </c>
      <c r="E175" s="6">
        <v>0</v>
      </c>
      <c r="F175" s="5">
        <v>14.21</v>
      </c>
      <c r="G175" s="7">
        <f t="shared" si="13"/>
        <v>690.49684227839998</v>
      </c>
      <c r="H175" s="7">
        <v>0</v>
      </c>
      <c r="I175" s="5">
        <v>2.35</v>
      </c>
      <c r="J175" s="7">
        <f t="shared" si="14"/>
        <v>108.32966475000001</v>
      </c>
      <c r="K175" s="9">
        <v>0</v>
      </c>
      <c r="L175" s="5">
        <v>1.42</v>
      </c>
      <c r="M175" s="7">
        <f t="shared" si="15"/>
        <v>24.22405754179384</v>
      </c>
      <c r="N175" s="9">
        <v>0</v>
      </c>
      <c r="O175" s="5">
        <v>1.43</v>
      </c>
      <c r="P175" s="7">
        <f t="shared" si="16"/>
        <v>46.948707224072329</v>
      </c>
      <c r="Q175" s="9">
        <v>0</v>
      </c>
      <c r="R175" s="5">
        <v>1.33</v>
      </c>
      <c r="S175" s="7">
        <f t="shared" si="17"/>
        <v>17.459906656177232</v>
      </c>
      <c r="T175" s="9">
        <v>0</v>
      </c>
    </row>
    <row r="176" spans="1:20" x14ac:dyDescent="0.3">
      <c r="A176" s="1">
        <v>45992.166676504632</v>
      </c>
      <c r="B176" s="5">
        <v>8.35</v>
      </c>
      <c r="C176" s="5">
        <v>9.8800000000000008</v>
      </c>
      <c r="D176" s="6">
        <f t="shared" si="12"/>
        <v>1576.2056984000005</v>
      </c>
      <c r="E176" s="6">
        <v>0</v>
      </c>
      <c r="F176" s="5">
        <v>13.98</v>
      </c>
      <c r="G176" s="7">
        <f t="shared" si="13"/>
        <v>615.62407409248988</v>
      </c>
      <c r="H176" s="7">
        <v>0</v>
      </c>
      <c r="I176" s="5">
        <v>2.29</v>
      </c>
      <c r="J176" s="7">
        <f t="shared" si="14"/>
        <v>106.31183475</v>
      </c>
      <c r="K176" s="9">
        <v>0</v>
      </c>
      <c r="L176" s="5">
        <v>1.4</v>
      </c>
      <c r="M176" s="7">
        <f t="shared" si="15"/>
        <v>23.550863797828864</v>
      </c>
      <c r="N176" s="9">
        <v>0</v>
      </c>
      <c r="O176" s="5" t="e">
        <v>#N/A</v>
      </c>
      <c r="P176" s="7" t="e">
        <f t="shared" si="16"/>
        <v>#N/A</v>
      </c>
      <c r="Q176" s="9">
        <v>0</v>
      </c>
      <c r="R176" s="5">
        <v>1.32</v>
      </c>
      <c r="S176" s="7">
        <f t="shared" si="17"/>
        <v>17.185830683644909</v>
      </c>
      <c r="T176" s="9">
        <v>0</v>
      </c>
    </row>
    <row r="177" spans="1:20" x14ac:dyDescent="0.3">
      <c r="A177" s="1">
        <v>45992.208343229169</v>
      </c>
      <c r="B177" s="5">
        <v>8.35</v>
      </c>
      <c r="C177" s="5">
        <v>9.7799999999999994</v>
      </c>
      <c r="D177" s="6">
        <f t="shared" si="12"/>
        <v>1547.4574664000002</v>
      </c>
      <c r="E177" s="6">
        <v>0</v>
      </c>
      <c r="F177" s="5">
        <v>13.75</v>
      </c>
      <c r="G177" s="7">
        <f t="shared" si="13"/>
        <v>581.65607438660413</v>
      </c>
      <c r="H177" s="7">
        <v>0</v>
      </c>
      <c r="I177" s="5">
        <v>2.2799999999999998</v>
      </c>
      <c r="J177" s="7">
        <f t="shared" si="14"/>
        <v>106.05574275000004</v>
      </c>
      <c r="K177" s="9">
        <v>0</v>
      </c>
      <c r="L177" s="5">
        <v>1.4</v>
      </c>
      <c r="M177" s="7">
        <f t="shared" si="15"/>
        <v>23.550863797828864</v>
      </c>
      <c r="N177" s="9">
        <v>0</v>
      </c>
      <c r="O177" s="5">
        <v>1.41</v>
      </c>
      <c r="P177" s="7">
        <f t="shared" si="16"/>
        <v>46.042514921256419</v>
      </c>
      <c r="Q177" s="9">
        <v>0</v>
      </c>
      <c r="R177" s="5">
        <v>1.3</v>
      </c>
      <c r="S177" s="7">
        <f t="shared" si="17"/>
        <v>16.64614810905373</v>
      </c>
      <c r="T177" s="9">
        <v>0</v>
      </c>
    </row>
    <row r="178" spans="1:20" x14ac:dyDescent="0.3">
      <c r="A178" s="1">
        <v>45992.250009953706</v>
      </c>
      <c r="B178" s="5">
        <v>8.4</v>
      </c>
      <c r="C178" s="5">
        <v>9.69</v>
      </c>
      <c r="D178" s="6">
        <f t="shared" si="12"/>
        <v>1521.8096750000002</v>
      </c>
      <c r="E178" s="6">
        <v>0</v>
      </c>
      <c r="F178" s="5">
        <v>13.58</v>
      </c>
      <c r="G178" s="7">
        <f t="shared" si="13"/>
        <v>556.98757204216622</v>
      </c>
      <c r="H178" s="7">
        <v>0</v>
      </c>
      <c r="I178" s="5">
        <v>2.25</v>
      </c>
      <c r="J178" s="7">
        <f t="shared" si="14"/>
        <v>105.42497474999993</v>
      </c>
      <c r="K178" s="9">
        <v>0</v>
      </c>
      <c r="L178" s="5">
        <v>1.37</v>
      </c>
      <c r="M178" s="7">
        <f t="shared" si="15"/>
        <v>22.55740210693612</v>
      </c>
      <c r="N178" s="9">
        <v>0</v>
      </c>
      <c r="O178" s="5">
        <v>1.39</v>
      </c>
      <c r="P178" s="7">
        <f t="shared" si="16"/>
        <v>45.141242632596466</v>
      </c>
      <c r="Q178" s="9">
        <v>0</v>
      </c>
      <c r="R178" s="5">
        <v>1.29</v>
      </c>
      <c r="S178" s="7">
        <f t="shared" si="17"/>
        <v>16.380513911811676</v>
      </c>
      <c r="T178" s="9">
        <v>0</v>
      </c>
    </row>
    <row r="179" spans="1:20" x14ac:dyDescent="0.3">
      <c r="A179" s="1">
        <v>45992.291676678244</v>
      </c>
      <c r="B179" s="5">
        <v>8.4499999999999993</v>
      </c>
      <c r="C179" s="5">
        <v>9.6</v>
      </c>
      <c r="D179" s="6">
        <f t="shared" si="12"/>
        <v>1496.3756264000001</v>
      </c>
      <c r="E179" s="6">
        <v>0</v>
      </c>
      <c r="F179" s="5">
        <v>13.38</v>
      </c>
      <c r="G179" s="7">
        <f t="shared" si="13"/>
        <v>528.45003792940952</v>
      </c>
      <c r="H179" s="7">
        <v>0</v>
      </c>
      <c r="I179" s="5">
        <v>2.58</v>
      </c>
      <c r="J179" s="7">
        <f t="shared" si="14"/>
        <v>123.70783274999997</v>
      </c>
      <c r="K179" s="9">
        <v>0</v>
      </c>
      <c r="L179" s="5">
        <v>1.37</v>
      </c>
      <c r="M179" s="7">
        <f t="shared" si="15"/>
        <v>22.55740210693612</v>
      </c>
      <c r="N179" s="9">
        <v>0</v>
      </c>
      <c r="O179" s="5">
        <v>1.37</v>
      </c>
      <c r="P179" s="7">
        <f t="shared" si="16"/>
        <v>44.244933862607056</v>
      </c>
      <c r="Q179" s="9">
        <v>0</v>
      </c>
      <c r="R179" s="5">
        <v>1.28</v>
      </c>
      <c r="S179" s="7">
        <f t="shared" si="17"/>
        <v>16.117666030136917</v>
      </c>
      <c r="T179" s="9">
        <v>0</v>
      </c>
    </row>
    <row r="180" spans="1:20" x14ac:dyDescent="0.3">
      <c r="A180" s="1">
        <v>45992.333343402781</v>
      </c>
      <c r="B180" s="5">
        <v>8.4499999999999993</v>
      </c>
      <c r="C180" s="5">
        <v>9.5</v>
      </c>
      <c r="D180" s="6">
        <f t="shared" si="12"/>
        <v>1468.3662584000003</v>
      </c>
      <c r="E180" s="6">
        <v>0</v>
      </c>
      <c r="F180" s="5">
        <v>13.2</v>
      </c>
      <c r="G180" s="7">
        <f t="shared" si="13"/>
        <v>503.22031708878615</v>
      </c>
      <c r="H180" s="7">
        <v>0</v>
      </c>
      <c r="I180" s="5">
        <v>2.58</v>
      </c>
      <c r="J180" s="7">
        <f t="shared" si="14"/>
        <v>123.70783274999997</v>
      </c>
      <c r="K180" s="9">
        <v>0</v>
      </c>
      <c r="L180" s="5">
        <v>1.47</v>
      </c>
      <c r="M180" s="7">
        <f t="shared" si="15"/>
        <v>25.944994287458943</v>
      </c>
      <c r="N180" s="9">
        <v>0</v>
      </c>
      <c r="O180" s="5">
        <v>1.34</v>
      </c>
      <c r="P180" s="7">
        <f t="shared" si="16"/>
        <v>42.909875000203407</v>
      </c>
      <c r="Q180" s="9">
        <v>0</v>
      </c>
      <c r="R180" s="5">
        <v>1.28</v>
      </c>
      <c r="S180" s="7">
        <f t="shared" si="17"/>
        <v>16.117666030136917</v>
      </c>
      <c r="T180" s="9">
        <v>0</v>
      </c>
    </row>
    <row r="181" spans="1:20" x14ac:dyDescent="0.3">
      <c r="A181" s="1">
        <v>45992.375010127318</v>
      </c>
      <c r="B181" s="5">
        <v>8.4499999999999993</v>
      </c>
      <c r="C181" s="5">
        <v>9.42</v>
      </c>
      <c r="D181" s="6">
        <f t="shared" si="12"/>
        <v>1446.1487576000002</v>
      </c>
      <c r="E181" s="6">
        <v>0</v>
      </c>
      <c r="F181" s="5">
        <v>13.05</v>
      </c>
      <c r="G181" s="7">
        <f t="shared" si="13"/>
        <v>482.5288624890174</v>
      </c>
      <c r="H181" s="7">
        <v>0</v>
      </c>
      <c r="I181" s="5">
        <v>2.58</v>
      </c>
      <c r="J181" s="7">
        <f t="shared" si="14"/>
        <v>123.70783274999997</v>
      </c>
      <c r="K181" s="9">
        <v>0</v>
      </c>
      <c r="L181" s="5">
        <v>1.5</v>
      </c>
      <c r="M181" s="7">
        <f t="shared" si="15"/>
        <v>27.003481866240183</v>
      </c>
      <c r="N181" s="9">
        <v>0</v>
      </c>
      <c r="O181" s="5">
        <v>1.33</v>
      </c>
      <c r="P181" s="7">
        <f t="shared" si="16"/>
        <v>42.467386054750776</v>
      </c>
      <c r="Q181" s="9">
        <v>0</v>
      </c>
      <c r="R181" s="5">
        <v>1.27</v>
      </c>
      <c r="S181" s="7">
        <f t="shared" si="17"/>
        <v>15.85759064483829</v>
      </c>
      <c r="T181" s="9">
        <v>0</v>
      </c>
    </row>
    <row r="182" spans="1:20" x14ac:dyDescent="0.3">
      <c r="A182" s="1">
        <v>45992.416676851855</v>
      </c>
      <c r="B182" s="8">
        <v>8.5</v>
      </c>
      <c r="C182" s="5">
        <v>9.31</v>
      </c>
      <c r="D182" s="6">
        <f t="shared" si="12"/>
        <v>1415.8754486000005</v>
      </c>
      <c r="E182" s="6">
        <v>0</v>
      </c>
      <c r="F182" s="5">
        <v>12.89</v>
      </c>
      <c r="G182" s="7">
        <f t="shared" si="13"/>
        <v>460.79653401440078</v>
      </c>
      <c r="H182" s="7">
        <v>0</v>
      </c>
      <c r="I182" s="5">
        <v>2.35</v>
      </c>
      <c r="J182" s="7">
        <f t="shared" si="14"/>
        <v>108.32966475000001</v>
      </c>
      <c r="K182" s="9">
        <v>0</v>
      </c>
      <c r="L182" s="5">
        <v>1.49</v>
      </c>
      <c r="M182" s="7">
        <f t="shared" si="15"/>
        <v>26.648497875362867</v>
      </c>
      <c r="N182" s="9">
        <v>0</v>
      </c>
      <c r="O182" s="5">
        <v>1.37</v>
      </c>
      <c r="P182" s="7">
        <f t="shared" si="16"/>
        <v>44.244933862607056</v>
      </c>
      <c r="Q182" s="9">
        <v>0</v>
      </c>
      <c r="R182" s="5">
        <v>1.27</v>
      </c>
      <c r="S182" s="7">
        <f t="shared" si="17"/>
        <v>15.85759064483829</v>
      </c>
      <c r="T182" s="9">
        <v>0</v>
      </c>
    </row>
    <row r="183" spans="1:20" x14ac:dyDescent="0.3">
      <c r="A183" s="1">
        <v>45992.458343576393</v>
      </c>
      <c r="B183" s="5">
        <v>8.5</v>
      </c>
      <c r="C183" s="5">
        <v>9.2100000000000009</v>
      </c>
      <c r="D183" s="6">
        <f t="shared" si="12"/>
        <v>1388.6313326000004</v>
      </c>
      <c r="E183" s="6">
        <v>0</v>
      </c>
      <c r="F183" s="5">
        <v>12.79</v>
      </c>
      <c r="G183" s="7">
        <f t="shared" si="13"/>
        <v>447.39338312323832</v>
      </c>
      <c r="H183" s="7">
        <v>0</v>
      </c>
      <c r="I183" s="5">
        <v>2.25</v>
      </c>
      <c r="J183" s="7">
        <f t="shared" si="14"/>
        <v>105.42497474999993</v>
      </c>
      <c r="K183" s="9">
        <v>0</v>
      </c>
      <c r="L183" s="5">
        <v>1.49</v>
      </c>
      <c r="M183" s="7">
        <f t="shared" si="15"/>
        <v>26.648497875362867</v>
      </c>
      <c r="N183" s="9">
        <v>0</v>
      </c>
      <c r="O183" s="5">
        <v>1.32</v>
      </c>
      <c r="P183" s="7">
        <f t="shared" si="16"/>
        <v>42.026172175055144</v>
      </c>
      <c r="Q183" s="9">
        <v>0</v>
      </c>
      <c r="R183" s="5">
        <v>1.26</v>
      </c>
      <c r="S183" s="7">
        <f t="shared" si="17"/>
        <v>15.600273927987743</v>
      </c>
      <c r="T183" s="9">
        <v>0</v>
      </c>
    </row>
    <row r="184" spans="1:20" x14ac:dyDescent="0.3">
      <c r="A184" s="1">
        <v>45992.500010300922</v>
      </c>
      <c r="B184" s="5">
        <v>8.5</v>
      </c>
      <c r="C184" s="5">
        <v>9.1199999999999992</v>
      </c>
      <c r="D184" s="6">
        <f t="shared" si="12"/>
        <v>1364.3372456000002</v>
      </c>
      <c r="E184" s="6">
        <v>0</v>
      </c>
      <c r="F184" s="5">
        <v>12.71</v>
      </c>
      <c r="G184" s="7">
        <f t="shared" si="13"/>
        <v>436.77129840952568</v>
      </c>
      <c r="H184" s="7">
        <v>0</v>
      </c>
      <c r="I184" s="5">
        <v>2.2000000000000002</v>
      </c>
      <c r="J184" s="7">
        <f t="shared" si="14"/>
        <v>98.401596974779181</v>
      </c>
      <c r="K184" s="9">
        <v>0</v>
      </c>
      <c r="L184" s="5">
        <v>1.49</v>
      </c>
      <c r="M184" s="7">
        <f t="shared" si="15"/>
        <v>26.648497875362867</v>
      </c>
      <c r="N184" s="9">
        <v>0</v>
      </c>
      <c r="O184" s="5">
        <v>1.28</v>
      </c>
      <c r="P184" s="7">
        <f t="shared" si="16"/>
        <v>40.274187295225744</v>
      </c>
      <c r="Q184" s="9">
        <v>0</v>
      </c>
      <c r="R184" s="5">
        <v>1.26</v>
      </c>
      <c r="S184" s="7">
        <f t="shared" si="17"/>
        <v>15.600273927987743</v>
      </c>
      <c r="T184" s="9">
        <v>0</v>
      </c>
    </row>
    <row r="185" spans="1:20" x14ac:dyDescent="0.3">
      <c r="A185" s="1">
        <v>45992.54167702546</v>
      </c>
      <c r="B185" s="5">
        <v>8.5</v>
      </c>
      <c r="C185" s="5">
        <v>9.0299999999999994</v>
      </c>
      <c r="D185" s="6">
        <f t="shared" si="12"/>
        <v>1340.2569014000001</v>
      </c>
      <c r="E185" s="6">
        <v>0</v>
      </c>
      <c r="F185" s="5">
        <v>12.65</v>
      </c>
      <c r="G185" s="7">
        <f t="shared" si="13"/>
        <v>428.8637419648079</v>
      </c>
      <c r="H185" s="7">
        <v>0</v>
      </c>
      <c r="I185" s="5">
        <v>2.0499999999999998</v>
      </c>
      <c r="J185" s="7">
        <f t="shared" si="14"/>
        <v>74.663750826566528</v>
      </c>
      <c r="K185" s="9">
        <v>0</v>
      </c>
      <c r="L185" s="5">
        <v>1.47</v>
      </c>
      <c r="M185" s="7">
        <f t="shared" si="15"/>
        <v>25.944994287458943</v>
      </c>
      <c r="N185" s="9">
        <v>0</v>
      </c>
      <c r="O185" s="5">
        <v>1.31</v>
      </c>
      <c r="P185" s="7">
        <f t="shared" si="16"/>
        <v>41.586239304823508</v>
      </c>
      <c r="Q185" s="9">
        <v>0</v>
      </c>
      <c r="R185" s="5">
        <v>1.24</v>
      </c>
      <c r="S185" s="7">
        <f t="shared" si="17"/>
        <v>15.093861143903904</v>
      </c>
      <c r="T185" s="9">
        <v>0</v>
      </c>
    </row>
    <row r="186" spans="1:20" x14ac:dyDescent="0.3">
      <c r="A186" s="1">
        <v>45992.583343749997</v>
      </c>
      <c r="B186" s="5">
        <v>8.4499999999999993</v>
      </c>
      <c r="C186" s="5">
        <v>8.94</v>
      </c>
      <c r="D186" s="6">
        <f t="shared" si="12"/>
        <v>1316.3903000000003</v>
      </c>
      <c r="E186" s="6">
        <v>0</v>
      </c>
      <c r="F186" s="5">
        <v>12.58</v>
      </c>
      <c r="G186" s="7">
        <f t="shared" si="13"/>
        <v>419.70259026791837</v>
      </c>
      <c r="H186" s="7">
        <v>0</v>
      </c>
      <c r="I186" s="5">
        <v>2.25</v>
      </c>
      <c r="J186" s="7">
        <f t="shared" si="14"/>
        <v>105.42497474999993</v>
      </c>
      <c r="K186" s="9">
        <v>0</v>
      </c>
      <c r="L186" s="5">
        <v>1.45</v>
      </c>
      <c r="M186" s="7">
        <f t="shared" si="15"/>
        <v>25.250125968475022</v>
      </c>
      <c r="N186" s="9">
        <v>0</v>
      </c>
      <c r="O186" s="5">
        <v>1.26</v>
      </c>
      <c r="P186" s="7">
        <f t="shared" si="16"/>
        <v>39.406003334680214</v>
      </c>
      <c r="Q186" s="9">
        <v>0</v>
      </c>
      <c r="R186" s="5">
        <v>1.24</v>
      </c>
      <c r="S186" s="7">
        <f t="shared" si="17"/>
        <v>15.093861143903904</v>
      </c>
      <c r="T186" s="9">
        <v>0</v>
      </c>
    </row>
    <row r="187" spans="1:20" x14ac:dyDescent="0.3">
      <c r="A187" s="1">
        <v>45992.625010474534</v>
      </c>
      <c r="B187" s="5">
        <v>8.4</v>
      </c>
      <c r="C187" s="5">
        <v>8.86</v>
      </c>
      <c r="D187" s="6">
        <f t="shared" si="12"/>
        <v>1295.3549816000002</v>
      </c>
      <c r="E187" s="6">
        <v>0</v>
      </c>
      <c r="F187" s="5">
        <v>12.51</v>
      </c>
      <c r="G187" s="7">
        <f t="shared" si="13"/>
        <v>410.61114336275813</v>
      </c>
      <c r="H187" s="7">
        <v>0</v>
      </c>
      <c r="I187" s="5">
        <v>2.25</v>
      </c>
      <c r="J187" s="7">
        <f t="shared" si="14"/>
        <v>105.42497474999993</v>
      </c>
      <c r="K187" s="9">
        <v>0</v>
      </c>
      <c r="L187" s="5">
        <v>1.43</v>
      </c>
      <c r="M187" s="7">
        <f t="shared" si="15"/>
        <v>24.563912498085521</v>
      </c>
      <c r="N187" s="9">
        <v>0</v>
      </c>
      <c r="O187" s="5">
        <v>1.3</v>
      </c>
      <c r="P187" s="7">
        <f t="shared" si="16"/>
        <v>41.147593460987736</v>
      </c>
      <c r="Q187" s="9">
        <v>0</v>
      </c>
      <c r="R187" s="5">
        <v>1.23</v>
      </c>
      <c r="S187" s="7">
        <f t="shared" si="17"/>
        <v>14.844737376632303</v>
      </c>
      <c r="T187" s="9">
        <v>0</v>
      </c>
    </row>
    <row r="188" spans="1:20" x14ac:dyDescent="0.3">
      <c r="A188" s="1">
        <v>45992.666677199071</v>
      </c>
      <c r="B188" s="5">
        <v>8.35</v>
      </c>
      <c r="C188" s="5">
        <v>8.77</v>
      </c>
      <c r="D188" s="6">
        <f t="shared" si="12"/>
        <v>1271.8921166000002</v>
      </c>
      <c r="E188" s="6">
        <v>0</v>
      </c>
      <c r="F188" s="5">
        <v>12.41</v>
      </c>
      <c r="G188" s="7">
        <f t="shared" si="13"/>
        <v>397.74518396013042</v>
      </c>
      <c r="H188" s="7">
        <v>0</v>
      </c>
      <c r="I188" s="5">
        <v>2.2000000000000002</v>
      </c>
      <c r="J188" s="7">
        <f t="shared" si="14"/>
        <v>98.401596974779181</v>
      </c>
      <c r="K188" s="9">
        <v>0</v>
      </c>
      <c r="L188" s="5">
        <v>1.38</v>
      </c>
      <c r="M188" s="7">
        <f t="shared" si="15"/>
        <v>22.886375353209669</v>
      </c>
      <c r="N188" s="9">
        <v>0</v>
      </c>
      <c r="O188" s="5">
        <v>1.29</v>
      </c>
      <c r="P188" s="7">
        <f t="shared" si="16"/>
        <v>40.71024073517605</v>
      </c>
      <c r="Q188" s="9">
        <v>0</v>
      </c>
      <c r="R188" s="5">
        <v>1.22</v>
      </c>
      <c r="S188" s="7">
        <f t="shared" si="17"/>
        <v>14.598316877618933</v>
      </c>
      <c r="T188" s="9">
        <v>0</v>
      </c>
    </row>
    <row r="189" spans="1:20" x14ac:dyDescent="0.3">
      <c r="A189" s="1">
        <v>45992.708343923608</v>
      </c>
      <c r="B189" s="5">
        <v>8.3000000000000007</v>
      </c>
      <c r="C189" s="5">
        <v>8.6999999999999993</v>
      </c>
      <c r="D189" s="6">
        <f t="shared" si="12"/>
        <v>1253.7909944</v>
      </c>
      <c r="E189" s="6">
        <v>0</v>
      </c>
      <c r="F189" s="5">
        <v>12.31</v>
      </c>
      <c r="G189" s="7">
        <f t="shared" si="13"/>
        <v>385.02377368035991</v>
      </c>
      <c r="H189" s="7">
        <v>0</v>
      </c>
      <c r="I189" s="5">
        <v>2</v>
      </c>
      <c r="J189" s="7">
        <f t="shared" si="14"/>
        <v>67.731207509734261</v>
      </c>
      <c r="K189" s="9">
        <v>0</v>
      </c>
      <c r="L189" s="5">
        <v>1.29</v>
      </c>
      <c r="M189" s="7">
        <f t="shared" si="15"/>
        <v>20.004472465838667</v>
      </c>
      <c r="N189" s="9">
        <v>0</v>
      </c>
      <c r="O189" s="5">
        <v>1.26</v>
      </c>
      <c r="P189" s="7">
        <f t="shared" si="16"/>
        <v>39.406003334680214</v>
      </c>
      <c r="Q189" s="9">
        <v>0</v>
      </c>
      <c r="R189" s="5">
        <v>1.22</v>
      </c>
      <c r="S189" s="7">
        <f t="shared" si="17"/>
        <v>14.598316877618933</v>
      </c>
      <c r="T189" s="9">
        <v>0</v>
      </c>
    </row>
    <row r="190" spans="1:20" x14ac:dyDescent="0.3">
      <c r="A190" s="1">
        <v>45992.750010648146</v>
      </c>
      <c r="B190" s="5">
        <v>8.1999999999999993</v>
      </c>
      <c r="C190" s="5">
        <v>8.61</v>
      </c>
      <c r="D190" s="6">
        <f t="shared" si="12"/>
        <v>1230.7081166</v>
      </c>
      <c r="E190" s="6">
        <v>0</v>
      </c>
      <c r="F190" s="5">
        <v>12.22</v>
      </c>
      <c r="G190" s="7">
        <f t="shared" si="13"/>
        <v>373.6992541926939</v>
      </c>
      <c r="H190" s="7">
        <v>0</v>
      </c>
      <c r="I190" s="5">
        <v>2.2000000000000002</v>
      </c>
      <c r="J190" s="7">
        <f t="shared" si="14"/>
        <v>98.401596974779181</v>
      </c>
      <c r="K190" s="9">
        <v>0</v>
      </c>
      <c r="L190" s="5">
        <v>1.32</v>
      </c>
      <c r="M190" s="7">
        <f t="shared" si="15"/>
        <v>20.945351831633381</v>
      </c>
      <c r="N190" s="9">
        <v>0</v>
      </c>
      <c r="O190" s="5">
        <v>1.25</v>
      </c>
      <c r="P190" s="7">
        <f t="shared" si="16"/>
        <v>38.97388554502605</v>
      </c>
      <c r="Q190" s="9">
        <v>0</v>
      </c>
      <c r="R190" s="5">
        <v>1.22</v>
      </c>
      <c r="S190" s="7">
        <f t="shared" si="17"/>
        <v>14.598316877618933</v>
      </c>
      <c r="T190" s="9">
        <v>0</v>
      </c>
    </row>
    <row r="191" spans="1:20" x14ac:dyDescent="0.3">
      <c r="A191" s="1">
        <v>45992.791677372683</v>
      </c>
      <c r="B191" s="5">
        <v>8.1</v>
      </c>
      <c r="C191" s="5">
        <v>8.5299999999999994</v>
      </c>
      <c r="D191" s="6">
        <f t="shared" si="12"/>
        <v>1210.3694414000004</v>
      </c>
      <c r="E191" s="6">
        <v>0</v>
      </c>
      <c r="F191" s="5">
        <v>12.13</v>
      </c>
      <c r="G191" s="7">
        <f t="shared" si="13"/>
        <v>362.49401175444433</v>
      </c>
      <c r="H191" s="7">
        <v>0</v>
      </c>
      <c r="I191" s="5">
        <v>2.2999999999999998</v>
      </c>
      <c r="J191" s="7">
        <f t="shared" si="14"/>
        <v>106.59084474999997</v>
      </c>
      <c r="K191" s="9">
        <v>0</v>
      </c>
      <c r="L191" s="5">
        <v>1.36</v>
      </c>
      <c r="M191" s="7">
        <f t="shared" si="15"/>
        <v>22.230613018895308</v>
      </c>
      <c r="N191" s="9">
        <v>0</v>
      </c>
      <c r="O191" s="5">
        <v>1.22</v>
      </c>
      <c r="P191" s="7">
        <f t="shared" si="16"/>
        <v>37.685507061282884</v>
      </c>
      <c r="Q191" s="9">
        <v>0</v>
      </c>
      <c r="R191" s="5">
        <v>1.25</v>
      </c>
      <c r="S191" s="7">
        <f t="shared" si="17"/>
        <v>15.345702042865385</v>
      </c>
      <c r="T191" s="9">
        <v>0</v>
      </c>
    </row>
    <row r="192" spans="1:20" x14ac:dyDescent="0.3">
      <c r="A192" s="1">
        <v>45992.83334409722</v>
      </c>
      <c r="B192" s="5">
        <v>8.1</v>
      </c>
      <c r="C192" s="5">
        <v>8.44</v>
      </c>
      <c r="D192" s="6">
        <f t="shared" si="12"/>
        <v>1187.6903000000002</v>
      </c>
      <c r="E192" s="6">
        <v>0</v>
      </c>
      <c r="F192" s="5">
        <v>12.05</v>
      </c>
      <c r="G192" s="7">
        <f t="shared" si="13"/>
        <v>352.63480678966494</v>
      </c>
      <c r="H192" s="7">
        <v>0</v>
      </c>
      <c r="I192" s="5">
        <v>2.1800000000000002</v>
      </c>
      <c r="J192" s="7">
        <f t="shared" si="14"/>
        <v>94.970486118870411</v>
      </c>
      <c r="K192" s="9">
        <v>0</v>
      </c>
      <c r="L192" s="5">
        <v>1.36</v>
      </c>
      <c r="M192" s="7">
        <f t="shared" si="15"/>
        <v>22.230613018895308</v>
      </c>
      <c r="N192" s="9">
        <v>0</v>
      </c>
      <c r="O192" s="5">
        <v>1.23</v>
      </c>
      <c r="P192" s="7">
        <f t="shared" si="16"/>
        <v>38.113630792085843</v>
      </c>
      <c r="Q192" s="9">
        <v>0</v>
      </c>
      <c r="R192" s="5">
        <v>1.23</v>
      </c>
      <c r="S192" s="7">
        <f t="shared" si="17"/>
        <v>14.844737376632303</v>
      </c>
      <c r="T192" s="9">
        <v>0</v>
      </c>
    </row>
    <row r="193" spans="1:20" x14ac:dyDescent="0.3">
      <c r="A193" s="1">
        <v>45992.875010821757</v>
      </c>
      <c r="B193" s="5">
        <v>8.1</v>
      </c>
      <c r="C193" s="5">
        <v>8.33</v>
      </c>
      <c r="D193" s="6">
        <f t="shared" si="12"/>
        <v>1160.2616174000004</v>
      </c>
      <c r="E193" s="6">
        <v>0</v>
      </c>
      <c r="F193" s="5">
        <v>11.98</v>
      </c>
      <c r="G193" s="7">
        <f t="shared" si="13"/>
        <v>344.08663018220744</v>
      </c>
      <c r="H193" s="7">
        <v>0</v>
      </c>
      <c r="I193" s="5">
        <v>2.15</v>
      </c>
      <c r="J193" s="7">
        <f t="shared" si="14"/>
        <v>89.980944123439784</v>
      </c>
      <c r="K193" s="9">
        <v>0</v>
      </c>
      <c r="L193" s="5">
        <v>1.36</v>
      </c>
      <c r="M193" s="7">
        <f t="shared" si="15"/>
        <v>22.230613018895308</v>
      </c>
      <c r="N193" s="9">
        <v>0</v>
      </c>
      <c r="O193" s="5">
        <v>1.22</v>
      </c>
      <c r="P193" s="7">
        <f t="shared" si="16"/>
        <v>37.685507061282884</v>
      </c>
      <c r="Q193" s="9">
        <v>0</v>
      </c>
      <c r="R193" s="5">
        <v>1.22</v>
      </c>
      <c r="S193" s="7">
        <f t="shared" si="17"/>
        <v>14.598316877618933</v>
      </c>
      <c r="T193" s="9">
        <v>0</v>
      </c>
    </row>
    <row r="194" spans="1:20" x14ac:dyDescent="0.3">
      <c r="A194" s="1">
        <v>45992.916677546295</v>
      </c>
      <c r="B194" s="5">
        <v>8.1999999999999993</v>
      </c>
      <c r="C194" s="5">
        <v>8.27</v>
      </c>
      <c r="D194" s="6">
        <f t="shared" si="12"/>
        <v>1145.4350966000002</v>
      </c>
      <c r="E194" s="6">
        <v>0</v>
      </c>
      <c r="F194" s="5">
        <v>11.92</v>
      </c>
      <c r="G194" s="7">
        <f t="shared" si="13"/>
        <v>336.81845830976573</v>
      </c>
      <c r="H194" s="7">
        <v>0</v>
      </c>
      <c r="I194" s="5">
        <v>2.0499999999999998</v>
      </c>
      <c r="J194" s="7">
        <f t="shared" si="14"/>
        <v>74.663750826566528</v>
      </c>
      <c r="K194" s="9">
        <v>0</v>
      </c>
      <c r="L194" s="5">
        <v>1.34</v>
      </c>
      <c r="M194" s="7">
        <f t="shared" si="15"/>
        <v>21.583597984553961</v>
      </c>
      <c r="N194" s="9">
        <v>0</v>
      </c>
      <c r="O194" s="5">
        <v>1.2</v>
      </c>
      <c r="P194" s="7">
        <f t="shared" si="16"/>
        <v>36.833300630139185</v>
      </c>
      <c r="Q194" s="9">
        <v>0</v>
      </c>
      <c r="R194" s="5">
        <v>1.22</v>
      </c>
      <c r="S194" s="7">
        <f t="shared" si="17"/>
        <v>14.598316877618933</v>
      </c>
      <c r="T194" s="9">
        <v>0</v>
      </c>
    </row>
    <row r="195" spans="1:20" x14ac:dyDescent="0.3">
      <c r="A195" s="1">
        <v>45992.958344270832</v>
      </c>
      <c r="B195" s="5">
        <v>8.1</v>
      </c>
      <c r="C195" s="5">
        <v>8.2100000000000009</v>
      </c>
      <c r="D195" s="6">
        <f t="shared" si="12"/>
        <v>1130.7035726000004</v>
      </c>
      <c r="E195" s="6">
        <v>0</v>
      </c>
      <c r="F195" s="5">
        <v>11.88</v>
      </c>
      <c r="G195" s="7">
        <f t="shared" si="13"/>
        <v>332.00336422988755</v>
      </c>
      <c r="H195" s="7">
        <v>0</v>
      </c>
      <c r="I195" s="5">
        <v>2.0499999999999998</v>
      </c>
      <c r="J195" s="7">
        <f t="shared" si="14"/>
        <v>74.663750826566528</v>
      </c>
      <c r="K195" s="9">
        <v>0</v>
      </c>
      <c r="L195" s="5">
        <v>1.3</v>
      </c>
      <c r="M195" s="7">
        <f t="shared" si="15"/>
        <v>20.315896547102565</v>
      </c>
      <c r="N195" s="9">
        <v>0</v>
      </c>
      <c r="O195" s="5">
        <v>1.19</v>
      </c>
      <c r="P195" s="7">
        <f t="shared" si="16"/>
        <v>36.409231696606547</v>
      </c>
      <c r="Q195" s="9">
        <v>0</v>
      </c>
      <c r="R195" s="5">
        <v>1.21</v>
      </c>
      <c r="S195" s="7">
        <f t="shared" si="17"/>
        <v>14.354585774413879</v>
      </c>
      <c r="T195" s="9">
        <v>0</v>
      </c>
    </row>
    <row r="196" spans="1:20" x14ac:dyDescent="0.3">
      <c r="A196" s="1">
        <v>45993.000010995369</v>
      </c>
      <c r="B196" s="5">
        <v>8.1</v>
      </c>
      <c r="C196" s="5">
        <v>8.14</v>
      </c>
      <c r="D196" s="6">
        <f t="shared" si="12"/>
        <v>1113.6368600000003</v>
      </c>
      <c r="E196" s="6">
        <v>0</v>
      </c>
      <c r="F196" s="5">
        <v>11.85</v>
      </c>
      <c r="G196" s="7">
        <f t="shared" si="13"/>
        <v>328.40805341555961</v>
      </c>
      <c r="H196" s="7">
        <v>0</v>
      </c>
      <c r="I196" s="5">
        <v>2.0499999999999998</v>
      </c>
      <c r="J196" s="7">
        <f t="shared" si="14"/>
        <v>74.663750826566528</v>
      </c>
      <c r="K196" s="9">
        <v>0</v>
      </c>
      <c r="L196" s="5">
        <v>1.25</v>
      </c>
      <c r="M196" s="7">
        <f t="shared" si="15"/>
        <v>18.780866505536594</v>
      </c>
      <c r="N196" s="9">
        <v>0</v>
      </c>
      <c r="O196" s="5">
        <v>1.17</v>
      </c>
      <c r="P196" s="7">
        <f t="shared" si="16"/>
        <v>35.565197512399145</v>
      </c>
      <c r="Q196" s="9">
        <v>0</v>
      </c>
      <c r="R196" s="5">
        <v>1.21</v>
      </c>
      <c r="S196" s="7">
        <f t="shared" si="17"/>
        <v>14.354585774413879</v>
      </c>
      <c r="T196" s="9">
        <v>0</v>
      </c>
    </row>
    <row r="197" spans="1:20" x14ac:dyDescent="0.3">
      <c r="A197" s="1">
        <v>45993.041677719906</v>
      </c>
      <c r="B197" s="5">
        <v>8.1</v>
      </c>
      <c r="C197" s="5">
        <v>8.07</v>
      </c>
      <c r="D197" s="6">
        <f t="shared" si="12"/>
        <v>1096.6994486000003</v>
      </c>
      <c r="E197" s="6">
        <v>0</v>
      </c>
      <c r="F197" s="5">
        <v>11.81</v>
      </c>
      <c r="G197" s="7">
        <f t="shared" si="13"/>
        <v>323.63573667755196</v>
      </c>
      <c r="H197" s="7">
        <v>0</v>
      </c>
      <c r="I197" s="5">
        <v>2.15</v>
      </c>
      <c r="J197" s="7">
        <f t="shared" si="14"/>
        <v>89.980944123439784</v>
      </c>
      <c r="K197" s="9">
        <v>0</v>
      </c>
      <c r="L197" s="5">
        <v>1.21</v>
      </c>
      <c r="M197" s="7">
        <f t="shared" si="15"/>
        <v>17.592745950605821</v>
      </c>
      <c r="N197" s="9">
        <v>0</v>
      </c>
      <c r="O197" s="5">
        <v>1.18</v>
      </c>
      <c r="P197" s="7">
        <f t="shared" si="16"/>
        <v>35.986528284232129</v>
      </c>
      <c r="Q197" s="9">
        <v>0</v>
      </c>
      <c r="R197" s="5">
        <v>1.2</v>
      </c>
      <c r="S197" s="7">
        <f t="shared" si="17"/>
        <v>14.113530185490607</v>
      </c>
      <c r="T197" s="9">
        <v>0</v>
      </c>
    </row>
    <row r="198" spans="1:20" x14ac:dyDescent="0.3">
      <c r="A198" s="1">
        <v>45993.083344444443</v>
      </c>
      <c r="B198" s="5">
        <v>8</v>
      </c>
      <c r="C198" s="5">
        <v>8</v>
      </c>
      <c r="D198" s="6">
        <f t="shared" ref="D198:D261" si="18">IF(C198="","",IF((C198+0.56)&gt;4,13.194*(C198+0.56)^2+13.311*(C198+0.56)-0.8227,27.012*(C198+0.56)^1.6477))</f>
        <v>1079.8913384000002</v>
      </c>
      <c r="E198" s="6">
        <v>0</v>
      </c>
      <c r="F198" s="5">
        <v>11.76</v>
      </c>
      <c r="G198" s="7">
        <f t="shared" ref="G198:G261" si="19">IF(F198="","",IF((F198-0.118)&gt;14,9.8381*((F198-0.118)-7.5)^2+42.44*((F198-0.118)-7.5)-16.777,35.535*((F198-0.118)-7.5)^1.5414))</f>
        <v>317.70493399892069</v>
      </c>
      <c r="H198" s="7">
        <v>0</v>
      </c>
      <c r="I198" s="5">
        <v>2.15</v>
      </c>
      <c r="J198" s="7">
        <f t="shared" ref="J198:J261" si="20">IF(I198="","",IF(I198&lt;=2.23,13.015*(I198-0.345)^3.274,114.59*(I198-0.345)^2-419*(I198-0.345)+487.77))</f>
        <v>89.980944123439784</v>
      </c>
      <c r="K198" s="9">
        <v>0</v>
      </c>
      <c r="L198" s="5">
        <v>1.19</v>
      </c>
      <c r="M198" s="7">
        <f t="shared" ref="M198:M261" si="21">IF(L198="","",IF((L198)&gt;2,8.9271*((L198)^2)+9.2434*(L198)-1.6791,14.51*(((L198)-0.1)^1.846)))</f>
        <v>17.012053022500577</v>
      </c>
      <c r="N198" s="9">
        <v>0</v>
      </c>
      <c r="O198" s="5">
        <v>1.17</v>
      </c>
      <c r="P198" s="7">
        <f t="shared" ref="P198:P261" si="22">IF(O198="","",28.62*(O198)^1.3838)</f>
        <v>35.565197512399145</v>
      </c>
      <c r="Q198" s="9">
        <v>0</v>
      </c>
      <c r="R198" s="5">
        <v>1.2</v>
      </c>
      <c r="S198" s="7">
        <f t="shared" ref="S198:S261" si="23">IF(R198="","",IF(R198&gt;2.5,19.135*(R198+0.5)^2-29.477*(R198+0.5)+32.54,3.0494*((R198+0.5)^2.8875)))</f>
        <v>14.113530185490607</v>
      </c>
      <c r="T198" s="9">
        <v>0</v>
      </c>
    </row>
    <row r="199" spans="1:20" x14ac:dyDescent="0.3">
      <c r="A199" s="1">
        <v>45993.125011168981</v>
      </c>
      <c r="B199" s="5">
        <v>7.9</v>
      </c>
      <c r="C199" s="5">
        <v>7.93</v>
      </c>
      <c r="D199" s="6">
        <f t="shared" si="18"/>
        <v>1063.2125294000002</v>
      </c>
      <c r="E199" s="6">
        <v>0</v>
      </c>
      <c r="F199" s="5">
        <v>11.71</v>
      </c>
      <c r="G199" s="7">
        <f t="shared" si="19"/>
        <v>311.81276631997224</v>
      </c>
      <c r="H199" s="7">
        <v>0</v>
      </c>
      <c r="I199" s="5">
        <v>2.15</v>
      </c>
      <c r="J199" s="7">
        <f t="shared" si="20"/>
        <v>89.980944123439784</v>
      </c>
      <c r="K199" s="9">
        <v>0</v>
      </c>
      <c r="L199" s="5">
        <v>1.18</v>
      </c>
      <c r="M199" s="7">
        <f t="shared" si="21"/>
        <v>16.72505925375436</v>
      </c>
      <c r="N199" s="9">
        <v>0</v>
      </c>
      <c r="O199" s="5">
        <v>1.1599999999999999</v>
      </c>
      <c r="P199" s="7">
        <f t="shared" si="22"/>
        <v>35.145246598678284</v>
      </c>
      <c r="Q199" s="9">
        <v>0</v>
      </c>
      <c r="R199" s="5">
        <v>1.19</v>
      </c>
      <c r="S199" s="7">
        <f t="shared" si="23"/>
        <v>13.875136220186866</v>
      </c>
      <c r="T199" s="9">
        <v>0</v>
      </c>
    </row>
    <row r="200" spans="1:20" x14ac:dyDescent="0.3">
      <c r="A200" s="1">
        <v>45993.166677893518</v>
      </c>
      <c r="B200" s="5">
        <v>7.75</v>
      </c>
      <c r="C200" s="5">
        <v>7.87</v>
      </c>
      <c r="D200" s="6">
        <f t="shared" si="18"/>
        <v>1049.0193206000001</v>
      </c>
      <c r="E200" s="6">
        <v>0</v>
      </c>
      <c r="F200" s="5">
        <v>11.66</v>
      </c>
      <c r="G200" s="7">
        <f t="shared" si="19"/>
        <v>305.95944943256382</v>
      </c>
      <c r="H200" s="7">
        <v>0</v>
      </c>
      <c r="I200" s="5">
        <v>2</v>
      </c>
      <c r="J200" s="7">
        <f t="shared" si="20"/>
        <v>67.731207509734261</v>
      </c>
      <c r="K200" s="9">
        <v>0</v>
      </c>
      <c r="L200" s="5">
        <v>1.18</v>
      </c>
      <c r="M200" s="7">
        <f t="shared" si="21"/>
        <v>16.72505925375436</v>
      </c>
      <c r="N200" s="9">
        <v>0</v>
      </c>
      <c r="O200" s="5">
        <v>1.1599999999999999</v>
      </c>
      <c r="P200" s="7">
        <f t="shared" si="22"/>
        <v>35.145246598678284</v>
      </c>
      <c r="Q200" s="9">
        <v>0</v>
      </c>
      <c r="R200" s="5">
        <v>1.18</v>
      </c>
      <c r="S200" s="7">
        <f t="shared" si="23"/>
        <v>13.639389978644896</v>
      </c>
      <c r="T200" s="9">
        <v>0</v>
      </c>
    </row>
    <row r="201" spans="1:20" x14ac:dyDescent="0.3">
      <c r="A201" s="1">
        <v>45993.208344618055</v>
      </c>
      <c r="B201" s="5">
        <v>7.6</v>
      </c>
      <c r="C201" s="5">
        <v>7.8</v>
      </c>
      <c r="D201" s="6">
        <f t="shared" si="18"/>
        <v>1032.5806424</v>
      </c>
      <c r="E201" s="6">
        <v>0</v>
      </c>
      <c r="F201" s="5">
        <v>11.6</v>
      </c>
      <c r="G201" s="7">
        <f t="shared" si="19"/>
        <v>298.98706179189918</v>
      </c>
      <c r="H201" s="7">
        <v>0</v>
      </c>
      <c r="I201" s="5">
        <v>2</v>
      </c>
      <c r="J201" s="7">
        <f t="shared" si="20"/>
        <v>67.731207509734261</v>
      </c>
      <c r="K201" s="9">
        <v>0</v>
      </c>
      <c r="L201" s="5">
        <v>1.17</v>
      </c>
      <c r="M201" s="7">
        <f t="shared" si="21"/>
        <v>16.440304839072116</v>
      </c>
      <c r="N201" s="9">
        <v>0</v>
      </c>
      <c r="O201" s="5">
        <v>1.1599999999999999</v>
      </c>
      <c r="P201" s="7">
        <f t="shared" si="22"/>
        <v>35.145246598678284</v>
      </c>
      <c r="Q201" s="9">
        <v>0</v>
      </c>
      <c r="R201" s="5">
        <v>1.18</v>
      </c>
      <c r="S201" s="7">
        <f t="shared" si="23"/>
        <v>13.639389978644896</v>
      </c>
      <c r="T201" s="9">
        <v>0</v>
      </c>
    </row>
    <row r="202" spans="1:20" x14ac:dyDescent="0.3">
      <c r="A202" s="1">
        <v>45993.250011342592</v>
      </c>
      <c r="B202" s="5">
        <v>7.5</v>
      </c>
      <c r="C202" s="5">
        <v>7.73</v>
      </c>
      <c r="D202" s="6">
        <f t="shared" si="18"/>
        <v>1016.2712654000003</v>
      </c>
      <c r="E202" s="6">
        <v>0</v>
      </c>
      <c r="F202" s="5">
        <v>11.56</v>
      </c>
      <c r="G202" s="7">
        <f t="shared" si="19"/>
        <v>294.37025072317988</v>
      </c>
      <c r="H202" s="7">
        <v>0</v>
      </c>
      <c r="I202" s="5">
        <v>2.15</v>
      </c>
      <c r="J202" s="7">
        <f t="shared" si="20"/>
        <v>89.980944123439784</v>
      </c>
      <c r="K202" s="9">
        <v>0</v>
      </c>
      <c r="L202" s="5">
        <v>1.25</v>
      </c>
      <c r="M202" s="7">
        <f t="shared" si="21"/>
        <v>18.780866505536594</v>
      </c>
      <c r="N202" s="9">
        <v>0</v>
      </c>
      <c r="O202" s="5">
        <v>1.1499999999999999</v>
      </c>
      <c r="P202" s="7">
        <f t="shared" si="22"/>
        <v>34.726682861038668</v>
      </c>
      <c r="Q202" s="9">
        <v>0</v>
      </c>
      <c r="R202" s="5">
        <v>1.18</v>
      </c>
      <c r="S202" s="7">
        <f t="shared" si="23"/>
        <v>13.639389978644896</v>
      </c>
      <c r="T202" s="9">
        <v>0</v>
      </c>
    </row>
    <row r="203" spans="1:20" x14ac:dyDescent="0.3">
      <c r="A203" s="1">
        <v>45993.291678067129</v>
      </c>
      <c r="B203" s="5">
        <v>7.4</v>
      </c>
      <c r="C203" s="5">
        <v>7.64</v>
      </c>
      <c r="D203" s="6">
        <f t="shared" si="18"/>
        <v>995.49205999999992</v>
      </c>
      <c r="E203" s="6">
        <v>0</v>
      </c>
      <c r="F203" s="5">
        <v>11.52</v>
      </c>
      <c r="G203" s="7">
        <f t="shared" si="19"/>
        <v>289.77873361049387</v>
      </c>
      <c r="H203" s="7">
        <v>0</v>
      </c>
      <c r="I203" s="5">
        <v>2.1</v>
      </c>
      <c r="J203" s="7">
        <f t="shared" si="20"/>
        <v>82.074352644841866</v>
      </c>
      <c r="K203" s="9">
        <v>0</v>
      </c>
      <c r="L203" s="5">
        <v>1.58</v>
      </c>
      <c r="M203" s="7">
        <f t="shared" si="21"/>
        <v>29.920616592458135</v>
      </c>
      <c r="N203" s="9">
        <v>0</v>
      </c>
      <c r="O203" s="5">
        <v>1.1399999999999999</v>
      </c>
      <c r="P203" s="7">
        <f t="shared" si="22"/>
        <v>34.309513720128187</v>
      </c>
      <c r="Q203" s="9">
        <v>0</v>
      </c>
      <c r="R203" s="5">
        <v>1.17</v>
      </c>
      <c r="S203" s="7">
        <f t="shared" si="23"/>
        <v>13.406277551750891</v>
      </c>
      <c r="T203" s="9">
        <v>0</v>
      </c>
    </row>
    <row r="204" spans="1:20" x14ac:dyDescent="0.3">
      <c r="A204" s="1">
        <v>45993.333344733794</v>
      </c>
      <c r="B204" s="5">
        <v>7.35</v>
      </c>
      <c r="C204" s="5">
        <v>7.58</v>
      </c>
      <c r="D204" s="6">
        <f t="shared" si="18"/>
        <v>981.75800240000012</v>
      </c>
      <c r="E204" s="6">
        <v>0</v>
      </c>
      <c r="F204" s="5">
        <v>11.47</v>
      </c>
      <c r="G204" s="7">
        <f t="shared" si="19"/>
        <v>284.07508767338481</v>
      </c>
      <c r="H204" s="7">
        <v>0</v>
      </c>
      <c r="I204" s="5">
        <v>2.1800000000000002</v>
      </c>
      <c r="J204" s="7">
        <f t="shared" si="20"/>
        <v>94.970486118870411</v>
      </c>
      <c r="K204" s="9">
        <v>0</v>
      </c>
      <c r="L204" s="5">
        <v>1.28</v>
      </c>
      <c r="M204" s="7">
        <f t="shared" si="21"/>
        <v>19.695254537910998</v>
      </c>
      <c r="N204" s="9">
        <v>0</v>
      </c>
      <c r="O204" s="5">
        <v>1.1299999999999999</v>
      </c>
      <c r="P204" s="7">
        <f t="shared" si="22"/>
        <v>33.89374670162605</v>
      </c>
      <c r="Q204" s="9">
        <v>0</v>
      </c>
      <c r="R204" s="5">
        <v>1.1599999999999999</v>
      </c>
      <c r="S204" s="7">
        <f t="shared" si="23"/>
        <v>13.175785021073656</v>
      </c>
      <c r="T204" s="9">
        <v>0</v>
      </c>
    </row>
    <row r="205" spans="1:20" x14ac:dyDescent="0.3">
      <c r="A205" s="1">
        <v>45993.375011458331</v>
      </c>
      <c r="B205" s="5">
        <v>7.3</v>
      </c>
      <c r="C205" s="5">
        <v>7.5</v>
      </c>
      <c r="D205" s="6">
        <f t="shared" si="18"/>
        <v>963.59369840000022</v>
      </c>
      <c r="E205" s="6">
        <v>0</v>
      </c>
      <c r="F205" s="5">
        <v>11.45</v>
      </c>
      <c r="G205" s="7">
        <f t="shared" si="19"/>
        <v>281.80479993624766</v>
      </c>
      <c r="H205" s="7">
        <v>0</v>
      </c>
      <c r="I205" s="5">
        <v>2.12</v>
      </c>
      <c r="J205" s="7">
        <f t="shared" si="20"/>
        <v>85.176461578381364</v>
      </c>
      <c r="K205" s="9">
        <v>0</v>
      </c>
      <c r="L205" s="5">
        <v>1.28</v>
      </c>
      <c r="M205" s="7">
        <f t="shared" si="21"/>
        <v>19.695254537910998</v>
      </c>
      <c r="N205" s="9">
        <v>0</v>
      </c>
      <c r="O205" s="5">
        <v>1.1200000000000001</v>
      </c>
      <c r="P205" s="7">
        <f t="shared" si="22"/>
        <v>33.479389438670509</v>
      </c>
      <c r="Q205" s="9">
        <v>0</v>
      </c>
      <c r="R205" s="5">
        <v>1.1499999999999999</v>
      </c>
      <c r="S205" s="7">
        <f t="shared" si="23"/>
        <v>12.947898458802527</v>
      </c>
      <c r="T205" s="9">
        <v>0</v>
      </c>
    </row>
    <row r="206" spans="1:20" x14ac:dyDescent="0.3">
      <c r="A206" s="1">
        <v>45993.416678182868</v>
      </c>
      <c r="B206" s="5">
        <v>7.2</v>
      </c>
      <c r="C206" s="5">
        <v>7.43</v>
      </c>
      <c r="D206" s="6">
        <f t="shared" si="18"/>
        <v>947.83846940000001</v>
      </c>
      <c r="E206" s="6">
        <v>0</v>
      </c>
      <c r="F206" s="5">
        <v>11.41</v>
      </c>
      <c r="G206" s="7">
        <f t="shared" si="19"/>
        <v>277.28345806212616</v>
      </c>
      <c r="H206" s="7">
        <v>0</v>
      </c>
      <c r="I206" s="5">
        <v>1.9</v>
      </c>
      <c r="J206" s="7">
        <f t="shared" si="20"/>
        <v>55.229292559593233</v>
      </c>
      <c r="K206" s="9">
        <v>0</v>
      </c>
      <c r="L206" s="5">
        <v>1.26</v>
      </c>
      <c r="M206" s="7">
        <f t="shared" si="21"/>
        <v>19.083448646215508</v>
      </c>
      <c r="N206" s="9">
        <v>0</v>
      </c>
      <c r="O206" s="5">
        <v>1.1200000000000001</v>
      </c>
      <c r="P206" s="7">
        <f t="shared" si="22"/>
        <v>33.479389438670509</v>
      </c>
      <c r="Q206" s="9">
        <v>0</v>
      </c>
      <c r="R206" s="5">
        <v>1.1499999999999999</v>
      </c>
      <c r="S206" s="7">
        <f t="shared" si="23"/>
        <v>12.947898458802527</v>
      </c>
      <c r="T206" s="9">
        <v>0</v>
      </c>
    </row>
    <row r="207" spans="1:20" x14ac:dyDescent="0.3">
      <c r="A207" s="1">
        <v>45993.458344907405</v>
      </c>
      <c r="B207" s="5">
        <v>7.2</v>
      </c>
      <c r="C207" s="5">
        <v>7.36</v>
      </c>
      <c r="D207" s="6">
        <f t="shared" si="18"/>
        <v>932.21254160000001</v>
      </c>
      <c r="E207" s="6">
        <v>0</v>
      </c>
      <c r="F207" s="5">
        <v>11.39</v>
      </c>
      <c r="G207" s="7">
        <f t="shared" si="19"/>
        <v>275.03243482703346</v>
      </c>
      <c r="H207" s="7">
        <v>0</v>
      </c>
      <c r="I207" s="5">
        <v>2.1800000000000002</v>
      </c>
      <c r="J207" s="7">
        <f t="shared" si="20"/>
        <v>94.970486118870411</v>
      </c>
      <c r="K207" s="9">
        <v>0</v>
      </c>
      <c r="L207" s="5">
        <v>1.25</v>
      </c>
      <c r="M207" s="7">
        <f t="shared" si="21"/>
        <v>18.780866505536594</v>
      </c>
      <c r="N207" s="9">
        <v>0</v>
      </c>
      <c r="O207" s="5">
        <v>1.1100000000000001</v>
      </c>
      <c r="P207" s="7">
        <f t="shared" si="22"/>
        <v>33.066449674364797</v>
      </c>
      <c r="Q207" s="9">
        <v>0</v>
      </c>
      <c r="R207" s="5">
        <v>1.1399999999999999</v>
      </c>
      <c r="S207" s="7">
        <f t="shared" si="23"/>
        <v>12.722603927684492</v>
      </c>
      <c r="T207" s="9">
        <v>0</v>
      </c>
    </row>
    <row r="208" spans="1:20" x14ac:dyDescent="0.3">
      <c r="A208" s="1">
        <v>45993.500011631942</v>
      </c>
      <c r="B208" s="5">
        <v>7.1</v>
      </c>
      <c r="C208" s="5">
        <v>7.29</v>
      </c>
      <c r="D208" s="6">
        <f t="shared" si="18"/>
        <v>916.715915</v>
      </c>
      <c r="E208" s="6">
        <v>0</v>
      </c>
      <c r="F208" s="5">
        <v>11.37</v>
      </c>
      <c r="G208" s="7">
        <f t="shared" si="19"/>
        <v>272.78786419312439</v>
      </c>
      <c r="H208" s="7">
        <v>0</v>
      </c>
      <c r="I208" s="5">
        <v>1.98</v>
      </c>
      <c r="J208" s="7">
        <f t="shared" si="20"/>
        <v>65.088057242302639</v>
      </c>
      <c r="K208" s="9">
        <v>0</v>
      </c>
      <c r="L208" s="5">
        <v>1.24</v>
      </c>
      <c r="M208" s="7">
        <f t="shared" si="21"/>
        <v>18.480502165429399</v>
      </c>
      <c r="N208" s="9">
        <v>0</v>
      </c>
      <c r="O208" s="5">
        <v>1.0900000000000001</v>
      </c>
      <c r="P208" s="7">
        <f t="shared" si="22"/>
        <v>32.244854179550821</v>
      </c>
      <c r="Q208" s="9">
        <v>0</v>
      </c>
      <c r="R208" s="5">
        <v>1.1299999999999999</v>
      </c>
      <c r="S208" s="7">
        <f t="shared" si="23"/>
        <v>12.499887480960505</v>
      </c>
      <c r="T208" s="9">
        <v>0</v>
      </c>
    </row>
    <row r="209" spans="1:20" x14ac:dyDescent="0.3">
      <c r="A209" s="1">
        <v>45993.54167835648</v>
      </c>
      <c r="B209" s="5">
        <v>7</v>
      </c>
      <c r="C209" s="5">
        <v>7.22</v>
      </c>
      <c r="D209" s="6">
        <f t="shared" si="18"/>
        <v>901.34858959999985</v>
      </c>
      <c r="E209" s="6">
        <v>0</v>
      </c>
      <c r="F209" s="5">
        <v>11.35</v>
      </c>
      <c r="G209" s="7">
        <f t="shared" si="19"/>
        <v>270.54976191159818</v>
      </c>
      <c r="H209" s="7">
        <v>0</v>
      </c>
      <c r="I209" s="5">
        <v>1.98</v>
      </c>
      <c r="J209" s="7">
        <f t="shared" si="20"/>
        <v>65.088057242302639</v>
      </c>
      <c r="K209" s="9">
        <v>0</v>
      </c>
      <c r="L209" s="5">
        <v>1.24</v>
      </c>
      <c r="M209" s="7">
        <f t="shared" si="21"/>
        <v>18.480502165429399</v>
      </c>
      <c r="N209" s="9">
        <v>0</v>
      </c>
      <c r="O209" s="5">
        <v>1.0900000000000001</v>
      </c>
      <c r="P209" s="7">
        <f t="shared" si="22"/>
        <v>32.244854179550821</v>
      </c>
      <c r="Q209" s="9">
        <v>0</v>
      </c>
      <c r="R209" s="5">
        <v>1.1299999999999999</v>
      </c>
      <c r="S209" s="7">
        <f t="shared" si="23"/>
        <v>12.499887480960505</v>
      </c>
      <c r="T209" s="9">
        <v>0</v>
      </c>
    </row>
    <row r="210" spans="1:20" x14ac:dyDescent="0.3">
      <c r="A210" s="1">
        <v>45993.583345081017</v>
      </c>
      <c r="B210" s="5">
        <v>6.9</v>
      </c>
      <c r="C210" s="5">
        <v>7.14</v>
      </c>
      <c r="D210" s="6">
        <f t="shared" si="18"/>
        <v>883.94425999999987</v>
      </c>
      <c r="E210" s="6">
        <v>0</v>
      </c>
      <c r="F210" s="5">
        <v>11.32</v>
      </c>
      <c r="G210" s="7">
        <f t="shared" si="19"/>
        <v>267.20477140873692</v>
      </c>
      <c r="H210" s="7">
        <v>0</v>
      </c>
      <c r="I210" s="5">
        <v>1.98</v>
      </c>
      <c r="J210" s="7">
        <f t="shared" si="20"/>
        <v>65.088057242302639</v>
      </c>
      <c r="K210" s="9">
        <v>0</v>
      </c>
      <c r="L210" s="5">
        <v>1.24</v>
      </c>
      <c r="M210" s="7">
        <f t="shared" si="21"/>
        <v>18.480502165429399</v>
      </c>
      <c r="N210" s="9">
        <v>0</v>
      </c>
      <c r="O210" s="5">
        <v>1.08</v>
      </c>
      <c r="P210" s="7">
        <f t="shared" si="22"/>
        <v>31.836214508789663</v>
      </c>
      <c r="Q210" s="9">
        <v>0</v>
      </c>
      <c r="R210" s="5">
        <v>1.1200000000000001</v>
      </c>
      <c r="S210" s="7">
        <f t="shared" si="23"/>
        <v>12.279735162300968</v>
      </c>
      <c r="T210" s="9">
        <v>0</v>
      </c>
    </row>
    <row r="211" spans="1:20" x14ac:dyDescent="0.3">
      <c r="A211" s="1">
        <v>45993.625011805554</v>
      </c>
      <c r="B211" s="5">
        <v>6.75</v>
      </c>
      <c r="C211" s="5">
        <v>7.07</v>
      </c>
      <c r="D211" s="6">
        <f t="shared" si="18"/>
        <v>868.85400860000016</v>
      </c>
      <c r="E211" s="6">
        <v>0</v>
      </c>
      <c r="F211" s="5">
        <v>11.27</v>
      </c>
      <c r="G211" s="7">
        <f t="shared" si="19"/>
        <v>261.66235567078252</v>
      </c>
      <c r="H211" s="7">
        <v>0</v>
      </c>
      <c r="I211" s="5">
        <v>1.98</v>
      </c>
      <c r="J211" s="7">
        <f t="shared" si="20"/>
        <v>65.088057242302639</v>
      </c>
      <c r="K211" s="9">
        <v>0</v>
      </c>
      <c r="L211" s="5">
        <v>1.24</v>
      </c>
      <c r="M211" s="7">
        <f t="shared" si="21"/>
        <v>18.480502165429399</v>
      </c>
      <c r="N211" s="9">
        <v>0</v>
      </c>
      <c r="O211" s="5">
        <v>1.07</v>
      </c>
      <c r="P211" s="7">
        <f t="shared" si="22"/>
        <v>31.429024461786675</v>
      </c>
      <c r="Q211" s="9">
        <v>0</v>
      </c>
      <c r="R211" s="5">
        <v>1.1100000000000001</v>
      </c>
      <c r="S211" s="7">
        <f t="shared" si="23"/>
        <v>12.062133005740378</v>
      </c>
      <c r="T211" s="9">
        <v>0</v>
      </c>
    </row>
    <row r="212" spans="1:20" x14ac:dyDescent="0.3">
      <c r="A212" s="1">
        <v>45993.666678530091</v>
      </c>
      <c r="B212" s="5">
        <v>6.6</v>
      </c>
      <c r="C212" s="5">
        <v>7</v>
      </c>
      <c r="D212" s="6">
        <f t="shared" si="18"/>
        <v>853.89305840000009</v>
      </c>
      <c r="E212" s="6">
        <v>0</v>
      </c>
      <c r="F212" s="5">
        <v>11.23</v>
      </c>
      <c r="G212" s="7">
        <f t="shared" si="19"/>
        <v>257.25788138833599</v>
      </c>
      <c r="H212" s="7">
        <v>0</v>
      </c>
      <c r="I212" s="5">
        <v>2.04</v>
      </c>
      <c r="J212" s="7">
        <f t="shared" si="20"/>
        <v>73.239568773344132</v>
      </c>
      <c r="K212" s="9">
        <v>0</v>
      </c>
      <c r="L212" s="5">
        <v>1.22</v>
      </c>
      <c r="M212" s="7">
        <f t="shared" si="21"/>
        <v>17.886438857153347</v>
      </c>
      <c r="N212" s="9">
        <v>0</v>
      </c>
      <c r="O212" s="5">
        <v>1.07</v>
      </c>
      <c r="P212" s="7">
        <f t="shared" si="22"/>
        <v>31.429024461786675</v>
      </c>
      <c r="Q212" s="9">
        <v>0</v>
      </c>
      <c r="R212" s="5">
        <v>1.1000000000000001</v>
      </c>
      <c r="S212" s="7">
        <f t="shared" si="23"/>
        <v>11.847067035611163</v>
      </c>
      <c r="T212" s="9">
        <v>0</v>
      </c>
    </row>
    <row r="213" spans="1:20" x14ac:dyDescent="0.3">
      <c r="A213" s="1">
        <v>45993.708345254629</v>
      </c>
      <c r="B213" s="5">
        <v>6.45</v>
      </c>
      <c r="C213" s="5">
        <v>6.9</v>
      </c>
      <c r="D213" s="6">
        <f t="shared" si="18"/>
        <v>832.74457040000027</v>
      </c>
      <c r="E213" s="6">
        <v>0</v>
      </c>
      <c r="F213" s="5">
        <v>11.21</v>
      </c>
      <c r="G213" s="7">
        <f t="shared" si="19"/>
        <v>255.06550914334974</v>
      </c>
      <c r="H213" s="7">
        <v>0</v>
      </c>
      <c r="I213" s="5">
        <v>2.1</v>
      </c>
      <c r="J213" s="7">
        <f t="shared" si="20"/>
        <v>82.074352644841866</v>
      </c>
      <c r="K213" s="9">
        <v>0</v>
      </c>
      <c r="L213" s="5">
        <v>1.2</v>
      </c>
      <c r="M213" s="7">
        <f t="shared" si="21"/>
        <v>17.30128296905302</v>
      </c>
      <c r="N213" s="9">
        <v>0</v>
      </c>
      <c r="O213" s="5">
        <v>1.06</v>
      </c>
      <c r="P213" s="7">
        <f t="shared" si="22"/>
        <v>31.023292372035812</v>
      </c>
      <c r="Q213" s="9">
        <v>0</v>
      </c>
      <c r="R213" s="5">
        <v>1.0900000000000001</v>
      </c>
      <c r="S213" s="7">
        <f t="shared" si="23"/>
        <v>11.634523266476585</v>
      </c>
      <c r="T213" s="9">
        <v>0</v>
      </c>
    </row>
    <row r="214" spans="1:20" x14ac:dyDescent="0.3">
      <c r="A214" s="1">
        <v>45993.750011979166</v>
      </c>
      <c r="B214" s="4">
        <v>6.3</v>
      </c>
      <c r="C214" s="12">
        <v>6.8</v>
      </c>
      <c r="D214" s="6">
        <f t="shared" si="18"/>
        <v>811.85996239999986</v>
      </c>
      <c r="E214" s="6">
        <v>0</v>
      </c>
      <c r="F214" s="4">
        <v>11.15</v>
      </c>
      <c r="G214" s="7">
        <f t="shared" si="19"/>
        <v>248.52805379423552</v>
      </c>
      <c r="H214" s="7">
        <v>0</v>
      </c>
      <c r="I214" s="4">
        <v>2.1800000000000002</v>
      </c>
      <c r="J214" s="7">
        <f t="shared" si="20"/>
        <v>94.970486118870411</v>
      </c>
      <c r="K214" s="9">
        <v>0</v>
      </c>
      <c r="L214" s="4">
        <v>1.2</v>
      </c>
      <c r="M214" s="7">
        <f t="shared" si="21"/>
        <v>17.30128296905302</v>
      </c>
      <c r="N214" s="9">
        <v>0</v>
      </c>
      <c r="O214" s="12">
        <v>1.05</v>
      </c>
      <c r="P214" s="7">
        <f t="shared" si="22"/>
        <v>30.619026699869394</v>
      </c>
      <c r="Q214" s="9">
        <v>0</v>
      </c>
      <c r="R214" s="4">
        <v>1.07</v>
      </c>
      <c r="S214" s="7">
        <f t="shared" si="23"/>
        <v>11.216946340190008</v>
      </c>
      <c r="T214" s="9">
        <v>0</v>
      </c>
    </row>
    <row r="215" spans="1:20" x14ac:dyDescent="0.3">
      <c r="A215" s="1">
        <v>45993.791678703703</v>
      </c>
      <c r="B215" s="4">
        <v>6.25</v>
      </c>
      <c r="C215" s="12">
        <v>6.74</v>
      </c>
      <c r="D215" s="6">
        <f t="shared" si="18"/>
        <v>799.45586000000014</v>
      </c>
      <c r="E215" s="6">
        <v>0</v>
      </c>
      <c r="F215" s="4">
        <v>11.1</v>
      </c>
      <c r="G215" s="7">
        <f t="shared" si="19"/>
        <v>243.1258745603364</v>
      </c>
      <c r="H215" s="7">
        <v>0</v>
      </c>
      <c r="I215" s="4">
        <v>2.2000000000000002</v>
      </c>
      <c r="J215" s="7">
        <f t="shared" si="20"/>
        <v>98.401596974779181</v>
      </c>
      <c r="K215" s="9">
        <v>0</v>
      </c>
      <c r="L215" s="4">
        <v>1.18</v>
      </c>
      <c r="M215" s="7">
        <f t="shared" si="21"/>
        <v>16.72505925375436</v>
      </c>
      <c r="N215" s="9">
        <v>0</v>
      </c>
      <c r="O215" s="12">
        <v>1.05</v>
      </c>
      <c r="P215" s="7">
        <f t="shared" si="22"/>
        <v>30.619026699869394</v>
      </c>
      <c r="Q215" s="9">
        <v>0</v>
      </c>
      <c r="R215" s="4">
        <v>1.06</v>
      </c>
      <c r="S215" s="7">
        <f t="shared" si="23"/>
        <v>11.011885162702667</v>
      </c>
      <c r="T215" s="9">
        <v>0</v>
      </c>
    </row>
    <row r="216" spans="1:20" x14ac:dyDescent="0.3">
      <c r="A216" s="1">
        <v>45993.83334542824</v>
      </c>
      <c r="B216" s="4">
        <v>6.2</v>
      </c>
      <c r="C216" s="12">
        <v>6.65</v>
      </c>
      <c r="D216" s="6">
        <f t="shared" si="18"/>
        <v>781.0278254000001</v>
      </c>
      <c r="E216" s="6">
        <v>0</v>
      </c>
      <c r="F216" s="4">
        <v>11.1</v>
      </c>
      <c r="G216" s="7">
        <f t="shared" si="19"/>
        <v>243.1258745603364</v>
      </c>
      <c r="H216" s="7">
        <v>0</v>
      </c>
      <c r="I216" s="4">
        <v>2.1800000000000002</v>
      </c>
      <c r="J216" s="7">
        <f t="shared" si="20"/>
        <v>94.970486118870411</v>
      </c>
      <c r="K216" s="9">
        <v>0</v>
      </c>
      <c r="L216" s="4">
        <v>1.1200000000000001</v>
      </c>
      <c r="M216" s="7">
        <f t="shared" si="21"/>
        <v>15.050236673494812</v>
      </c>
      <c r="N216" s="9">
        <v>0</v>
      </c>
      <c r="O216" s="12">
        <v>1.04</v>
      </c>
      <c r="P216" s="7">
        <f t="shared" si="22"/>
        <v>30.216236035612905</v>
      </c>
      <c r="Q216" s="9">
        <v>0</v>
      </c>
      <c r="R216" s="4">
        <v>1.1000000000000001</v>
      </c>
      <c r="S216" s="7">
        <f t="shared" si="23"/>
        <v>11.847067035611163</v>
      </c>
      <c r="T216" s="9">
        <v>0</v>
      </c>
    </row>
    <row r="217" spans="1:20" x14ac:dyDescent="0.3">
      <c r="A217" s="1">
        <v>45993.875012152777</v>
      </c>
      <c r="B217" s="4">
        <v>6.15</v>
      </c>
      <c r="C217" s="12">
        <v>6.56</v>
      </c>
      <c r="D217" s="6">
        <f t="shared" si="18"/>
        <v>762.8135335999998</v>
      </c>
      <c r="E217" s="6">
        <v>0</v>
      </c>
      <c r="F217" s="4">
        <v>11.09</v>
      </c>
      <c r="G217" s="7">
        <f t="shared" si="19"/>
        <v>242.05045023223866</v>
      </c>
      <c r="H217" s="7">
        <v>0</v>
      </c>
      <c r="I217" s="4">
        <v>2.1800000000000002</v>
      </c>
      <c r="J217" s="7">
        <f t="shared" si="20"/>
        <v>94.970486118870411</v>
      </c>
      <c r="K217" s="9">
        <v>0</v>
      </c>
      <c r="L217" s="4">
        <v>1.0900000000000001</v>
      </c>
      <c r="M217" s="7">
        <f t="shared" si="21"/>
        <v>14.24327900826272</v>
      </c>
      <c r="N217" s="9">
        <v>0</v>
      </c>
      <c r="O217" s="12">
        <v>1.03</v>
      </c>
      <c r="P217" s="7">
        <f t="shared" si="22"/>
        <v>29.814929102849248</v>
      </c>
      <c r="Q217" s="9">
        <v>0</v>
      </c>
      <c r="R217" s="4">
        <v>1.1000000000000001</v>
      </c>
      <c r="S217" s="7">
        <f t="shared" si="23"/>
        <v>11.847067035611163</v>
      </c>
      <c r="T217" s="9">
        <v>0</v>
      </c>
    </row>
    <row r="218" spans="1:20" x14ac:dyDescent="0.3">
      <c r="A218" s="1">
        <v>45993.916678877315</v>
      </c>
      <c r="B218" s="4">
        <v>6.2</v>
      </c>
      <c r="C218" s="12">
        <v>6.46</v>
      </c>
      <c r="D218" s="6">
        <f t="shared" si="18"/>
        <v>742.82611759999986</v>
      </c>
      <c r="E218" s="6">
        <v>0</v>
      </c>
      <c r="F218" s="4">
        <v>11.08</v>
      </c>
      <c r="G218" s="7">
        <f t="shared" si="19"/>
        <v>240.97670154240316</v>
      </c>
      <c r="H218" s="7">
        <v>0</v>
      </c>
      <c r="I218" s="4">
        <v>2.15</v>
      </c>
      <c r="J218" s="7">
        <f t="shared" si="20"/>
        <v>89.980944123439784</v>
      </c>
      <c r="K218" s="9">
        <v>0</v>
      </c>
      <c r="L218" s="4">
        <v>1.08</v>
      </c>
      <c r="M218" s="7">
        <f t="shared" si="21"/>
        <v>13.978827579869165</v>
      </c>
      <c r="N218" s="9">
        <v>0</v>
      </c>
      <c r="O218" s="12">
        <v>1.03</v>
      </c>
      <c r="P218" s="7">
        <f t="shared" si="22"/>
        <v>29.814929102849248</v>
      </c>
      <c r="Q218" s="9">
        <v>0</v>
      </c>
      <c r="R218" s="4">
        <v>1.0900000000000001</v>
      </c>
      <c r="S218" s="7">
        <f t="shared" si="23"/>
        <v>11.634523266476585</v>
      </c>
      <c r="T218" s="9">
        <v>0</v>
      </c>
    </row>
    <row r="219" spans="1:20" x14ac:dyDescent="0.3">
      <c r="A219" s="1">
        <v>45993.958345601852</v>
      </c>
      <c r="B219" s="4">
        <v>6.2</v>
      </c>
      <c r="C219" s="12">
        <v>6.37</v>
      </c>
      <c r="D219" s="6">
        <f t="shared" si="18"/>
        <v>725.06306059999997</v>
      </c>
      <c r="E219" s="6">
        <v>0</v>
      </c>
      <c r="F219" s="4">
        <v>11.08</v>
      </c>
      <c r="G219" s="7">
        <f t="shared" si="19"/>
        <v>240.97670154240316</v>
      </c>
      <c r="H219" s="7">
        <v>0</v>
      </c>
      <c r="I219" s="4">
        <v>2.12</v>
      </c>
      <c r="J219" s="7">
        <f t="shared" si="20"/>
        <v>85.176461578381364</v>
      </c>
      <c r="K219" s="9">
        <v>0</v>
      </c>
      <c r="L219" s="4">
        <v>1.08</v>
      </c>
      <c r="M219" s="7">
        <f t="shared" si="21"/>
        <v>13.978827579869165</v>
      </c>
      <c r="N219" s="9">
        <v>0</v>
      </c>
      <c r="O219" s="12">
        <v>1.04</v>
      </c>
      <c r="P219" s="7">
        <f t="shared" si="22"/>
        <v>30.216236035612905</v>
      </c>
      <c r="Q219" s="9">
        <v>0</v>
      </c>
      <c r="R219" s="4">
        <v>1.0900000000000001</v>
      </c>
      <c r="S219" s="7">
        <f t="shared" si="23"/>
        <v>11.634523266476585</v>
      </c>
      <c r="T219" s="9">
        <v>0</v>
      </c>
    </row>
    <row r="220" spans="1:20" x14ac:dyDescent="0.3">
      <c r="A220" s="1">
        <v>45994.000012326389</v>
      </c>
      <c r="B220" s="4">
        <v>6.2</v>
      </c>
      <c r="C220" s="12">
        <v>6.26</v>
      </c>
      <c r="D220" s="6">
        <f t="shared" si="18"/>
        <v>703.64292560000013</v>
      </c>
      <c r="E220" s="6">
        <v>0</v>
      </c>
      <c r="F220" s="4">
        <v>11.1</v>
      </c>
      <c r="G220" s="7">
        <f t="shared" si="19"/>
        <v>243.1258745603364</v>
      </c>
      <c r="H220" s="7">
        <v>0</v>
      </c>
      <c r="I220" s="4">
        <v>2.0499999999999998</v>
      </c>
      <c r="J220" s="7">
        <f t="shared" si="20"/>
        <v>74.663750826566528</v>
      </c>
      <c r="K220" s="9">
        <v>0</v>
      </c>
      <c r="L220" s="4">
        <v>1.08</v>
      </c>
      <c r="M220" s="7">
        <f t="shared" si="21"/>
        <v>13.978827579869165</v>
      </c>
      <c r="N220" s="9">
        <v>0</v>
      </c>
      <c r="O220" s="12">
        <v>1.06</v>
      </c>
      <c r="P220" s="7">
        <f t="shared" si="22"/>
        <v>31.023292372035812</v>
      </c>
      <c r="Q220" s="9">
        <v>0</v>
      </c>
      <c r="R220" s="4">
        <v>1.08</v>
      </c>
      <c r="S220" s="7">
        <f t="shared" si="23"/>
        <v>11.4244877030628</v>
      </c>
      <c r="T220" s="9">
        <v>0</v>
      </c>
    </row>
    <row r="221" spans="1:20" x14ac:dyDescent="0.3">
      <c r="A221" s="1">
        <v>45994.041679108799</v>
      </c>
      <c r="B221" s="4">
        <v>6.1</v>
      </c>
      <c r="C221" s="12">
        <v>6.16</v>
      </c>
      <c r="D221" s="6">
        <f t="shared" si="18"/>
        <v>684.4471496000001</v>
      </c>
      <c r="E221" s="6">
        <v>0</v>
      </c>
      <c r="F221" s="4">
        <v>11.09</v>
      </c>
      <c r="G221" s="7">
        <f t="shared" si="19"/>
        <v>242.05045023223866</v>
      </c>
      <c r="H221" s="7">
        <v>0</v>
      </c>
      <c r="I221" s="4">
        <v>2.2999999999999998</v>
      </c>
      <c r="J221" s="7">
        <f t="shared" si="20"/>
        <v>106.59084474999997</v>
      </c>
      <c r="K221" s="9">
        <v>0</v>
      </c>
      <c r="L221" s="4">
        <v>1.07</v>
      </c>
      <c r="M221" s="7">
        <f t="shared" si="21"/>
        <v>13.716649266048448</v>
      </c>
      <c r="N221" s="9">
        <v>0</v>
      </c>
      <c r="O221" s="12">
        <v>1.04</v>
      </c>
      <c r="P221" s="7">
        <f t="shared" si="22"/>
        <v>30.216236035612905</v>
      </c>
      <c r="Q221" s="9">
        <v>0</v>
      </c>
      <c r="R221" s="4">
        <v>1.0900000000000001</v>
      </c>
      <c r="S221" s="7">
        <f t="shared" si="23"/>
        <v>11.634523266476585</v>
      </c>
      <c r="T221" s="9">
        <v>0</v>
      </c>
    </row>
    <row r="222" spans="1:20" x14ac:dyDescent="0.3">
      <c r="A222" s="1">
        <v>45994.083345891202</v>
      </c>
      <c r="B222" s="4">
        <v>6</v>
      </c>
      <c r="C222" s="12">
        <v>6.02</v>
      </c>
      <c r="D222" s="6">
        <f t="shared" si="18"/>
        <v>658.01638159999993</v>
      </c>
      <c r="E222" s="6">
        <v>0</v>
      </c>
      <c r="F222" s="4">
        <v>11.08</v>
      </c>
      <c r="G222" s="7">
        <f t="shared" si="19"/>
        <v>240.97670154240316</v>
      </c>
      <c r="H222" s="7">
        <v>0</v>
      </c>
      <c r="I222" s="4">
        <v>2.17</v>
      </c>
      <c r="J222" s="7">
        <f t="shared" si="20"/>
        <v>93.286501226443377</v>
      </c>
      <c r="K222" s="9">
        <v>0</v>
      </c>
      <c r="L222" s="4">
        <v>1.07</v>
      </c>
      <c r="M222" s="7">
        <f t="shared" si="21"/>
        <v>13.716649266048448</v>
      </c>
      <c r="N222" s="9">
        <v>0</v>
      </c>
      <c r="O222" s="12">
        <v>1.02</v>
      </c>
      <c r="P222" s="7">
        <f t="shared" si="22"/>
        <v>29.415114761797401</v>
      </c>
      <c r="Q222" s="9">
        <v>0</v>
      </c>
      <c r="R222" s="4">
        <v>1.07</v>
      </c>
      <c r="S222" s="7">
        <f t="shared" si="23"/>
        <v>11.216946340190008</v>
      </c>
      <c r="T222" s="9">
        <v>0</v>
      </c>
    </row>
    <row r="223" spans="1:20" x14ac:dyDescent="0.3">
      <c r="A223" s="1">
        <v>45994.125012673612</v>
      </c>
      <c r="B223" s="4">
        <v>5.7</v>
      </c>
      <c r="C223" s="12">
        <v>5.95</v>
      </c>
      <c r="D223" s="6">
        <f t="shared" si="18"/>
        <v>644.99494939999988</v>
      </c>
      <c r="E223" s="6">
        <v>0</v>
      </c>
      <c r="F223" s="4">
        <v>11.07</v>
      </c>
      <c r="G223" s="7">
        <f t="shared" si="19"/>
        <v>239.90463070876561</v>
      </c>
      <c r="H223" s="7">
        <v>0</v>
      </c>
      <c r="I223" s="4">
        <v>2.0499999999999998</v>
      </c>
      <c r="J223" s="7">
        <f t="shared" si="20"/>
        <v>74.663750826566528</v>
      </c>
      <c r="K223" s="9">
        <v>0</v>
      </c>
      <c r="L223" s="4">
        <v>1.07</v>
      </c>
      <c r="M223" s="7">
        <f t="shared" si="21"/>
        <v>13.716649266048448</v>
      </c>
      <c r="N223" s="9">
        <v>0</v>
      </c>
      <c r="O223" s="12">
        <v>1</v>
      </c>
      <c r="P223" s="7">
        <f t="shared" si="22"/>
        <v>28.62</v>
      </c>
      <c r="Q223" s="9">
        <v>0</v>
      </c>
      <c r="R223" s="4">
        <v>1.08</v>
      </c>
      <c r="S223" s="7">
        <f t="shared" si="23"/>
        <v>11.4244877030628</v>
      </c>
      <c r="T223" s="9">
        <v>0</v>
      </c>
    </row>
    <row r="224" spans="1:20" x14ac:dyDescent="0.3">
      <c r="A224" s="1">
        <v>45994.166679456015</v>
      </c>
      <c r="B224" s="4">
        <v>5.5</v>
      </c>
      <c r="C224" s="12">
        <v>5.91</v>
      </c>
      <c r="D224" s="6">
        <f t="shared" si="18"/>
        <v>637.61218460000009</v>
      </c>
      <c r="E224" s="6">
        <v>0</v>
      </c>
      <c r="F224" s="4">
        <v>11.04</v>
      </c>
      <c r="G224" s="7">
        <f t="shared" si="19"/>
        <v>236.69850766526204</v>
      </c>
      <c r="H224" s="7">
        <v>0</v>
      </c>
      <c r="I224" s="4">
        <v>2</v>
      </c>
      <c r="J224" s="7">
        <f t="shared" si="20"/>
        <v>67.731207509734261</v>
      </c>
      <c r="K224" s="9">
        <v>0</v>
      </c>
      <c r="L224" s="4">
        <v>1.08</v>
      </c>
      <c r="M224" s="7">
        <f t="shared" si="21"/>
        <v>13.978827579869165</v>
      </c>
      <c r="N224" s="9">
        <v>0</v>
      </c>
      <c r="O224" s="12">
        <v>0.98</v>
      </c>
      <c r="P224" s="7">
        <f t="shared" si="22"/>
        <v>27.830965500799426</v>
      </c>
      <c r="Q224" s="9">
        <v>0</v>
      </c>
      <c r="R224" s="4">
        <v>1.0900000000000001</v>
      </c>
      <c r="S224" s="7">
        <f t="shared" si="23"/>
        <v>11.634523266476585</v>
      </c>
      <c r="T224" s="9">
        <v>0</v>
      </c>
    </row>
    <row r="225" spans="1:20" x14ac:dyDescent="0.3">
      <c r="A225" s="1">
        <v>45994.208346238425</v>
      </c>
      <c r="B225" s="4">
        <v>5.3</v>
      </c>
      <c r="C225" s="12">
        <v>5.84</v>
      </c>
      <c r="D225" s="6">
        <f t="shared" si="18"/>
        <v>624.79394000000013</v>
      </c>
      <c r="E225" s="6">
        <v>0</v>
      </c>
      <c r="F225" s="4">
        <v>11.02</v>
      </c>
      <c r="G225" s="7">
        <f t="shared" si="19"/>
        <v>234.56952267055405</v>
      </c>
      <c r="H225" s="7">
        <v>0</v>
      </c>
      <c r="I225" s="4">
        <v>2.15</v>
      </c>
      <c r="J225" s="7">
        <f t="shared" si="20"/>
        <v>89.980944123439784</v>
      </c>
      <c r="K225" s="9">
        <v>0</v>
      </c>
      <c r="L225" s="4">
        <v>1.08</v>
      </c>
      <c r="M225" s="7">
        <f t="shared" si="21"/>
        <v>13.978827579869165</v>
      </c>
      <c r="N225" s="9">
        <v>0</v>
      </c>
      <c r="O225" s="12">
        <v>0.98</v>
      </c>
      <c r="P225" s="7">
        <f t="shared" si="22"/>
        <v>27.830965500799426</v>
      </c>
      <c r="Q225" s="9">
        <v>0</v>
      </c>
      <c r="R225" s="4">
        <v>1.07</v>
      </c>
      <c r="S225" s="7">
        <f t="shared" si="23"/>
        <v>11.216946340190008</v>
      </c>
      <c r="T225" s="9">
        <v>0</v>
      </c>
    </row>
    <row r="226" spans="1:20" x14ac:dyDescent="0.3">
      <c r="A226" s="1">
        <v>45994.250012962963</v>
      </c>
      <c r="B226" s="4">
        <v>5</v>
      </c>
      <c r="C226" s="12">
        <v>5.76</v>
      </c>
      <c r="D226" s="6">
        <f t="shared" si="18"/>
        <v>610.30284560000007</v>
      </c>
      <c r="E226" s="6">
        <v>0</v>
      </c>
      <c r="F226" s="4">
        <v>11.04</v>
      </c>
      <c r="G226" s="7">
        <f t="shared" si="19"/>
        <v>236.69850766526204</v>
      </c>
      <c r="H226" s="7">
        <v>0</v>
      </c>
      <c r="I226" s="4">
        <v>2.15</v>
      </c>
      <c r="J226" s="7">
        <f t="shared" si="20"/>
        <v>89.980944123439784</v>
      </c>
      <c r="K226" s="9">
        <v>0</v>
      </c>
      <c r="L226" s="4">
        <v>1.1299999999999999</v>
      </c>
      <c r="M226" s="7">
        <f t="shared" si="21"/>
        <v>15.323745455082468</v>
      </c>
      <c r="N226" s="9">
        <v>0</v>
      </c>
      <c r="O226" s="12">
        <v>0.97</v>
      </c>
      <c r="P226" s="7">
        <f t="shared" si="22"/>
        <v>27.438752055896515</v>
      </c>
      <c r="Q226" s="9">
        <v>0</v>
      </c>
      <c r="R226" s="4">
        <v>1.07</v>
      </c>
      <c r="S226" s="7">
        <f t="shared" si="23"/>
        <v>11.216946340190008</v>
      </c>
      <c r="T226" s="9">
        <v>0</v>
      </c>
    </row>
    <row r="227" spans="1:20" x14ac:dyDescent="0.3">
      <c r="A227" s="1">
        <v>45994.291679745373</v>
      </c>
      <c r="B227" s="4">
        <v>4.8499999999999996</v>
      </c>
      <c r="C227" s="12">
        <v>5.68</v>
      </c>
      <c r="D227" s="6">
        <f t="shared" si="18"/>
        <v>595.9806344000001</v>
      </c>
      <c r="E227" s="6">
        <v>0</v>
      </c>
      <c r="F227" s="4">
        <v>11.03</v>
      </c>
      <c r="G227" s="7">
        <f t="shared" si="19"/>
        <v>235.63317062406446</v>
      </c>
      <c r="H227" s="7">
        <v>0</v>
      </c>
      <c r="I227" s="4">
        <v>2.16</v>
      </c>
      <c r="J227" s="7">
        <f t="shared" si="20"/>
        <v>91.623369047786454</v>
      </c>
      <c r="K227" s="9">
        <v>0</v>
      </c>
      <c r="L227" s="4">
        <v>1.1599999999999999</v>
      </c>
      <c r="M227" s="7">
        <f t="shared" si="21"/>
        <v>16.157792988834309</v>
      </c>
      <c r="N227" s="9">
        <v>0</v>
      </c>
      <c r="O227" s="12">
        <v>0.99</v>
      </c>
      <c r="P227" s="7">
        <f t="shared" si="22"/>
        <v>28.224718014987882</v>
      </c>
      <c r="Q227" s="9">
        <v>0</v>
      </c>
      <c r="R227" s="4">
        <v>1.06</v>
      </c>
      <c r="S227" s="7">
        <f t="shared" si="23"/>
        <v>11.011885162702667</v>
      </c>
      <c r="T227" s="9">
        <v>0</v>
      </c>
    </row>
    <row r="228" spans="1:20" x14ac:dyDescent="0.3">
      <c r="A228" s="1">
        <v>45994.333346527776</v>
      </c>
      <c r="B228" s="4">
        <v>4.75</v>
      </c>
      <c r="C228" s="12">
        <v>5.59</v>
      </c>
      <c r="D228" s="6">
        <f t="shared" si="18"/>
        <v>580.07001500000001</v>
      </c>
      <c r="E228" s="6">
        <v>0</v>
      </c>
      <c r="F228" s="4">
        <v>11.03</v>
      </c>
      <c r="G228" s="7">
        <f t="shared" si="19"/>
        <v>235.63317062406446</v>
      </c>
      <c r="H228" s="7">
        <v>0</v>
      </c>
      <c r="I228" s="4">
        <v>2.11</v>
      </c>
      <c r="J228" s="7">
        <f t="shared" si="20"/>
        <v>83.615415478514194</v>
      </c>
      <c r="K228" s="9">
        <v>0</v>
      </c>
      <c r="L228" s="4">
        <v>1.18</v>
      </c>
      <c r="M228" s="7">
        <f t="shared" si="21"/>
        <v>16.72505925375436</v>
      </c>
      <c r="N228" s="9">
        <v>0</v>
      </c>
      <c r="O228" s="12">
        <v>0.98</v>
      </c>
      <c r="P228" s="7">
        <f t="shared" si="22"/>
        <v>27.830965500799426</v>
      </c>
      <c r="Q228" s="9">
        <v>0</v>
      </c>
      <c r="R228" s="4">
        <v>1.06</v>
      </c>
      <c r="S228" s="7">
        <f t="shared" si="23"/>
        <v>11.011885162702667</v>
      </c>
      <c r="T228" s="9">
        <v>0</v>
      </c>
    </row>
    <row r="229" spans="1:20" x14ac:dyDescent="0.3">
      <c r="A229" s="1">
        <v>45994.375013310186</v>
      </c>
      <c r="B229" s="4">
        <v>4.7</v>
      </c>
      <c r="C229" s="12">
        <v>5.51</v>
      </c>
      <c r="D229" s="6">
        <f t="shared" si="18"/>
        <v>566.1066806</v>
      </c>
      <c r="E229" s="6">
        <v>0</v>
      </c>
      <c r="F229" s="4">
        <v>11.02</v>
      </c>
      <c r="G229" s="7">
        <f t="shared" si="19"/>
        <v>234.56952267055405</v>
      </c>
      <c r="H229" s="7">
        <v>0</v>
      </c>
      <c r="I229" s="4">
        <v>2.11</v>
      </c>
      <c r="J229" s="7">
        <f t="shared" si="20"/>
        <v>83.615415478514194</v>
      </c>
      <c r="K229" s="9">
        <v>0</v>
      </c>
      <c r="L229" s="4">
        <v>1.18</v>
      </c>
      <c r="M229" s="7">
        <f t="shared" si="21"/>
        <v>16.72505925375436</v>
      </c>
      <c r="N229" s="9">
        <v>0</v>
      </c>
      <c r="O229" s="12">
        <v>0.92</v>
      </c>
      <c r="P229" s="7">
        <f t="shared" si="22"/>
        <v>25.501118238126711</v>
      </c>
      <c r="Q229" s="9">
        <v>0</v>
      </c>
      <c r="R229" s="4">
        <v>1.06</v>
      </c>
      <c r="S229" s="7">
        <f t="shared" si="23"/>
        <v>11.011885162702667</v>
      </c>
      <c r="T229" s="9">
        <v>0</v>
      </c>
    </row>
    <row r="230" spans="1:20" x14ac:dyDescent="0.3">
      <c r="A230" s="1">
        <v>45994.416680092596</v>
      </c>
      <c r="B230" s="4">
        <v>4.6500000000000004</v>
      </c>
      <c r="C230" s="12">
        <v>5.44</v>
      </c>
      <c r="D230" s="6">
        <f t="shared" si="18"/>
        <v>554.02729999999997</v>
      </c>
      <c r="E230" s="6">
        <v>0</v>
      </c>
      <c r="F230" s="4">
        <v>11.01</v>
      </c>
      <c r="G230" s="7">
        <f t="shared" si="19"/>
        <v>233.50756607986841</v>
      </c>
      <c r="H230" s="7">
        <v>0</v>
      </c>
      <c r="I230" s="4">
        <v>2.0499999999999998</v>
      </c>
      <c r="J230" s="7">
        <f t="shared" si="20"/>
        <v>74.663750826566528</v>
      </c>
      <c r="K230" s="9">
        <v>0</v>
      </c>
      <c r="L230" s="4">
        <v>1.1599999999999999</v>
      </c>
      <c r="M230" s="7">
        <f t="shared" si="21"/>
        <v>16.157792988834309</v>
      </c>
      <c r="N230" s="9">
        <v>0</v>
      </c>
      <c r="O230" s="12">
        <v>0.97</v>
      </c>
      <c r="P230" s="7">
        <f t="shared" si="22"/>
        <v>27.438752055896515</v>
      </c>
      <c r="Q230" s="9">
        <v>0</v>
      </c>
      <c r="R230" s="4">
        <v>1.06</v>
      </c>
      <c r="S230" s="7">
        <f t="shared" si="23"/>
        <v>11.011885162702667</v>
      </c>
      <c r="T230" s="9">
        <v>0</v>
      </c>
    </row>
    <row r="231" spans="1:20" x14ac:dyDescent="0.3">
      <c r="A231" s="1">
        <v>45994.458346874999</v>
      </c>
      <c r="B231" s="4">
        <v>4.6500000000000004</v>
      </c>
      <c r="C231" s="12">
        <v>5.36</v>
      </c>
      <c r="D231" s="6">
        <f t="shared" si="18"/>
        <v>540.38062159999993</v>
      </c>
      <c r="E231" s="6">
        <v>0</v>
      </c>
      <c r="F231" s="4">
        <v>10.99</v>
      </c>
      <c r="G231" s="7">
        <f t="shared" si="19"/>
        <v>231.38873613647064</v>
      </c>
      <c r="H231" s="7">
        <v>0</v>
      </c>
      <c r="I231" s="4">
        <v>2.0699999999999998</v>
      </c>
      <c r="J231" s="7">
        <f t="shared" si="20"/>
        <v>77.569623571245657</v>
      </c>
      <c r="K231" s="9">
        <v>0</v>
      </c>
      <c r="L231" s="4">
        <v>1.1599999999999999</v>
      </c>
      <c r="M231" s="7">
        <f t="shared" si="21"/>
        <v>16.157792988834309</v>
      </c>
      <c r="N231" s="9">
        <v>0</v>
      </c>
      <c r="O231" s="12">
        <v>0.98</v>
      </c>
      <c r="P231" s="7">
        <f t="shared" si="22"/>
        <v>27.830965500799426</v>
      </c>
      <c r="Q231" s="9">
        <v>0</v>
      </c>
      <c r="R231" s="4">
        <v>1.05</v>
      </c>
      <c r="S231" s="7">
        <f t="shared" si="23"/>
        <v>10.809290145398775</v>
      </c>
      <c r="T231" s="9">
        <v>0</v>
      </c>
    </row>
    <row r="232" spans="1:20" x14ac:dyDescent="0.3">
      <c r="A232" s="1">
        <v>45994.500013657409</v>
      </c>
      <c r="B232" s="4">
        <v>4.6500000000000004</v>
      </c>
      <c r="C232" s="12">
        <v>5.28</v>
      </c>
      <c r="D232" s="6">
        <f t="shared" si="18"/>
        <v>526.90282639999987</v>
      </c>
      <c r="E232" s="6">
        <v>0</v>
      </c>
      <c r="F232" s="4">
        <v>10.98</v>
      </c>
      <c r="G232" s="7">
        <f t="shared" si="19"/>
        <v>230.33186738319637</v>
      </c>
      <c r="H232" s="7">
        <v>0</v>
      </c>
      <c r="I232" s="4">
        <v>2.0499999999999998</v>
      </c>
      <c r="J232" s="7">
        <f t="shared" si="20"/>
        <v>74.663750826566528</v>
      </c>
      <c r="K232" s="9">
        <v>0</v>
      </c>
      <c r="L232" s="4">
        <v>1.1499999999999999</v>
      </c>
      <c r="M232" s="7">
        <f t="shared" si="21"/>
        <v>15.877526948234776</v>
      </c>
      <c r="N232" s="9">
        <v>0</v>
      </c>
      <c r="O232" s="12">
        <v>0.93</v>
      </c>
      <c r="P232" s="7">
        <f t="shared" si="22"/>
        <v>25.885486617455022</v>
      </c>
      <c r="Q232" s="9">
        <v>0</v>
      </c>
      <c r="R232" s="4">
        <v>1.04</v>
      </c>
      <c r="S232" s="7">
        <f t="shared" si="23"/>
        <v>10.609147252958214</v>
      </c>
      <c r="T232" s="9">
        <v>0</v>
      </c>
    </row>
    <row r="233" spans="1:20" x14ac:dyDescent="0.3">
      <c r="A233" s="1">
        <v>45994.541680439812</v>
      </c>
      <c r="B233" s="4">
        <v>4.5999999999999996</v>
      </c>
      <c r="C233" s="12">
        <v>5.21</v>
      </c>
      <c r="D233" s="6">
        <f t="shared" si="18"/>
        <v>515.2482925999999</v>
      </c>
      <c r="E233" s="6">
        <v>0</v>
      </c>
      <c r="F233" s="4">
        <v>10.95</v>
      </c>
      <c r="G233" s="7">
        <f t="shared" si="19"/>
        <v>227.1714738035119</v>
      </c>
      <c r="H233" s="7">
        <v>0</v>
      </c>
      <c r="I233" s="4">
        <v>1.98</v>
      </c>
      <c r="J233" s="7">
        <f t="shared" si="20"/>
        <v>65.088057242302639</v>
      </c>
      <c r="K233" s="9">
        <v>0</v>
      </c>
      <c r="L233" s="4">
        <v>1.1399999999999999</v>
      </c>
      <c r="M233" s="7">
        <f t="shared" si="21"/>
        <v>15.599509997992106</v>
      </c>
      <c r="N233" s="9">
        <v>0</v>
      </c>
      <c r="O233" s="12">
        <v>0.91</v>
      </c>
      <c r="P233" s="7">
        <f t="shared" si="22"/>
        <v>25.118350028803569</v>
      </c>
      <c r="Q233" s="9">
        <v>0</v>
      </c>
      <c r="R233" s="4">
        <v>1.04</v>
      </c>
      <c r="S233" s="7">
        <f t="shared" si="23"/>
        <v>10.609147252958214</v>
      </c>
      <c r="T233" s="9">
        <v>0</v>
      </c>
    </row>
    <row r="234" spans="1:20" x14ac:dyDescent="0.3">
      <c r="A234" s="1">
        <v>45994.583347222222</v>
      </c>
      <c r="B234" s="4">
        <v>4.5</v>
      </c>
      <c r="C234" s="12">
        <v>5.14</v>
      </c>
      <c r="D234" s="6">
        <f t="shared" si="18"/>
        <v>503.72305999999998</v>
      </c>
      <c r="E234" s="6">
        <v>0</v>
      </c>
      <c r="F234" s="4">
        <v>10.93</v>
      </c>
      <c r="G234" s="7">
        <f t="shared" si="19"/>
        <v>225.07307869167539</v>
      </c>
      <c r="H234" s="7">
        <v>0</v>
      </c>
      <c r="I234" s="4">
        <v>1.97</v>
      </c>
      <c r="J234" s="7">
        <f t="shared" si="20"/>
        <v>63.793743885123483</v>
      </c>
      <c r="K234" s="9">
        <v>0</v>
      </c>
      <c r="L234" s="4">
        <v>1.1200000000000001</v>
      </c>
      <c r="M234" s="7">
        <f t="shared" si="21"/>
        <v>15.050236673494812</v>
      </c>
      <c r="N234" s="9">
        <v>0</v>
      </c>
      <c r="O234" s="12">
        <v>0.91</v>
      </c>
      <c r="P234" s="7">
        <f t="shared" si="22"/>
        <v>25.118350028803569</v>
      </c>
      <c r="Q234" s="9">
        <v>0</v>
      </c>
      <c r="R234" s="4">
        <v>1.04</v>
      </c>
      <c r="S234" s="7">
        <f t="shared" si="23"/>
        <v>10.609147252958214</v>
      </c>
      <c r="T234" s="9">
        <v>0</v>
      </c>
    </row>
    <row r="235" spans="1:20" x14ac:dyDescent="0.3">
      <c r="A235" s="1">
        <v>45994.625014004632</v>
      </c>
      <c r="B235" s="4">
        <v>4.3</v>
      </c>
      <c r="C235" s="12">
        <v>5.0599999999999996</v>
      </c>
      <c r="D235" s="6">
        <f t="shared" si="18"/>
        <v>490.70969359999992</v>
      </c>
      <c r="E235" s="6">
        <v>0</v>
      </c>
      <c r="F235" s="4">
        <v>10.91</v>
      </c>
      <c r="G235" s="7">
        <f t="shared" si="19"/>
        <v>222.98153274084549</v>
      </c>
      <c r="H235" s="7">
        <v>0</v>
      </c>
      <c r="I235" s="4">
        <v>1.88</v>
      </c>
      <c r="J235" s="7">
        <f t="shared" si="20"/>
        <v>52.937448838920183</v>
      </c>
      <c r="K235" s="9">
        <v>0</v>
      </c>
      <c r="L235" s="4">
        <v>1.1000000000000001</v>
      </c>
      <c r="M235" s="7">
        <f t="shared" si="21"/>
        <v>14.51</v>
      </c>
      <c r="N235" s="9">
        <v>0</v>
      </c>
      <c r="O235" s="12">
        <v>0.93</v>
      </c>
      <c r="P235" s="7">
        <f t="shared" si="22"/>
        <v>25.885486617455022</v>
      </c>
      <c r="Q235" s="9">
        <v>0</v>
      </c>
      <c r="R235" s="4">
        <v>1.03</v>
      </c>
      <c r="S235" s="7">
        <f t="shared" si="23"/>
        <v>10.411442439870079</v>
      </c>
      <c r="T235" s="9">
        <v>0</v>
      </c>
    </row>
    <row r="236" spans="1:20" x14ac:dyDescent="0.3">
      <c r="A236" s="1">
        <v>45994.666680787035</v>
      </c>
      <c r="B236" s="4">
        <v>4.05</v>
      </c>
      <c r="C236" s="12">
        <v>5</v>
      </c>
      <c r="D236" s="6">
        <f t="shared" si="18"/>
        <v>481.06049840000014</v>
      </c>
      <c r="E236" s="6">
        <v>0</v>
      </c>
      <c r="F236" s="4">
        <v>10.9</v>
      </c>
      <c r="G236" s="7">
        <f t="shared" si="19"/>
        <v>221.93833414785794</v>
      </c>
      <c r="H236" s="7">
        <v>0</v>
      </c>
      <c r="I236" s="4">
        <v>1.95</v>
      </c>
      <c r="J236" s="7">
        <f t="shared" si="20"/>
        <v>61.258935071009347</v>
      </c>
      <c r="K236" s="9">
        <v>0</v>
      </c>
      <c r="L236" s="4">
        <v>1.05</v>
      </c>
      <c r="M236" s="7">
        <f t="shared" si="21"/>
        <v>13.199126398319068</v>
      </c>
      <c r="N236" s="9">
        <v>0</v>
      </c>
      <c r="O236" s="12">
        <v>0.91</v>
      </c>
      <c r="P236" s="7">
        <f t="shared" si="22"/>
        <v>25.118350028803569</v>
      </c>
      <c r="Q236" s="9">
        <v>0</v>
      </c>
      <c r="R236" s="4">
        <v>1.03</v>
      </c>
      <c r="S236" s="7">
        <f t="shared" si="23"/>
        <v>10.411442439870079</v>
      </c>
      <c r="T236" s="9">
        <v>0</v>
      </c>
    </row>
    <row r="237" spans="1:20" x14ac:dyDescent="0.3">
      <c r="A237" s="1">
        <v>45994.708347569445</v>
      </c>
      <c r="B237" s="4">
        <v>3.8</v>
      </c>
      <c r="C237" s="12">
        <v>4.93</v>
      </c>
      <c r="D237" s="6">
        <f t="shared" si="18"/>
        <v>469.92316940000006</v>
      </c>
      <c r="E237" s="6">
        <v>0</v>
      </c>
      <c r="F237" s="4">
        <v>10.85</v>
      </c>
      <c r="G237" s="7">
        <f t="shared" si="19"/>
        <v>216.74818122148065</v>
      </c>
      <c r="H237" s="7">
        <v>0</v>
      </c>
      <c r="I237" s="4">
        <v>1.85</v>
      </c>
      <c r="J237" s="7">
        <f t="shared" si="20"/>
        <v>49.624789002328875</v>
      </c>
      <c r="K237" s="9">
        <v>0</v>
      </c>
      <c r="L237" s="4">
        <v>1</v>
      </c>
      <c r="M237" s="7">
        <f t="shared" si="21"/>
        <v>11.945355658280643</v>
      </c>
      <c r="N237" s="9">
        <v>0</v>
      </c>
      <c r="O237" s="12">
        <v>0.87</v>
      </c>
      <c r="P237" s="7">
        <f t="shared" si="22"/>
        <v>23.60349809359256</v>
      </c>
      <c r="Q237" s="9">
        <v>0</v>
      </c>
      <c r="R237" s="4">
        <v>1.03</v>
      </c>
      <c r="S237" s="7">
        <f t="shared" si="23"/>
        <v>10.411442439870079</v>
      </c>
      <c r="T237" s="9">
        <v>0</v>
      </c>
    </row>
    <row r="238" spans="1:20" x14ac:dyDescent="0.3">
      <c r="A238" s="1">
        <v>45994.750014351848</v>
      </c>
      <c r="B238" s="4">
        <v>3.7</v>
      </c>
      <c r="C238" s="12">
        <v>4.8600000000000003</v>
      </c>
      <c r="D238" s="6">
        <f t="shared" si="18"/>
        <v>458.91514160000003</v>
      </c>
      <c r="E238" s="6">
        <v>0</v>
      </c>
      <c r="F238" s="4">
        <v>10.79</v>
      </c>
      <c r="G238" s="7">
        <f t="shared" si="19"/>
        <v>210.5771683256323</v>
      </c>
      <c r="H238" s="7">
        <v>0</v>
      </c>
      <c r="I238" s="4">
        <v>1.91</v>
      </c>
      <c r="J238" s="7">
        <f t="shared" si="20"/>
        <v>56.400652421642071</v>
      </c>
      <c r="K238" s="9">
        <v>0</v>
      </c>
      <c r="L238" s="4">
        <v>1</v>
      </c>
      <c r="M238" s="7">
        <f t="shared" si="21"/>
        <v>11.945355658280643</v>
      </c>
      <c r="N238" s="9">
        <v>0</v>
      </c>
      <c r="O238" s="12">
        <v>0.95</v>
      </c>
      <c r="P238" s="7">
        <f t="shared" si="22"/>
        <v>26.658981570242144</v>
      </c>
      <c r="Q238" s="9">
        <v>0</v>
      </c>
      <c r="R238" s="4">
        <v>1.02</v>
      </c>
      <c r="S238" s="7">
        <f t="shared" si="23"/>
        <v>10.216161650359053</v>
      </c>
      <c r="T238" s="9">
        <v>0</v>
      </c>
    </row>
    <row r="239" spans="1:20" x14ac:dyDescent="0.3">
      <c r="A239" s="1">
        <v>45994.791681134258</v>
      </c>
      <c r="B239" s="4">
        <v>3.6</v>
      </c>
      <c r="C239" s="12">
        <v>4.78</v>
      </c>
      <c r="D239" s="6">
        <f t="shared" si="18"/>
        <v>446.49286640000003</v>
      </c>
      <c r="E239" s="6">
        <v>0</v>
      </c>
      <c r="F239" s="4">
        <v>10.74</v>
      </c>
      <c r="G239" s="7">
        <f t="shared" si="19"/>
        <v>205.48266510404326</v>
      </c>
      <c r="H239" s="7">
        <v>0</v>
      </c>
      <c r="I239" s="4">
        <v>1.91</v>
      </c>
      <c r="J239" s="7">
        <f t="shared" si="20"/>
        <v>56.400652421642071</v>
      </c>
      <c r="K239" s="9">
        <v>0</v>
      </c>
      <c r="L239" s="4">
        <v>1</v>
      </c>
      <c r="M239" s="7">
        <f t="shared" si="21"/>
        <v>11.945355658280643</v>
      </c>
      <c r="N239" s="9">
        <v>0</v>
      </c>
      <c r="O239" s="12">
        <v>0.91</v>
      </c>
      <c r="P239" s="7">
        <f t="shared" si="22"/>
        <v>25.118350028803569</v>
      </c>
      <c r="Q239" s="9">
        <v>0</v>
      </c>
      <c r="R239" s="4">
        <v>1.02</v>
      </c>
      <c r="S239" s="7">
        <f t="shared" si="23"/>
        <v>10.216161650359053</v>
      </c>
      <c r="T239" s="9">
        <v>0</v>
      </c>
    </row>
    <row r="240" spans="1:20" x14ac:dyDescent="0.3">
      <c r="A240" s="1">
        <v>45994.833347916669</v>
      </c>
      <c r="B240" s="4">
        <v>3.55</v>
      </c>
      <c r="C240" s="12">
        <v>4.7</v>
      </c>
      <c r="D240" s="6">
        <f t="shared" si="18"/>
        <v>434.23947440000001</v>
      </c>
      <c r="E240" s="6">
        <v>0</v>
      </c>
      <c r="F240" s="4">
        <v>10.7</v>
      </c>
      <c r="G240" s="7">
        <f t="shared" si="19"/>
        <v>201.43871502584832</v>
      </c>
      <c r="H240" s="7">
        <v>0</v>
      </c>
      <c r="I240" s="4">
        <v>1.95</v>
      </c>
      <c r="J240" s="7">
        <f t="shared" si="20"/>
        <v>61.258935071009347</v>
      </c>
      <c r="K240" s="9">
        <v>0</v>
      </c>
      <c r="L240" s="4">
        <v>1</v>
      </c>
      <c r="M240" s="7">
        <f t="shared" si="21"/>
        <v>11.945355658280643</v>
      </c>
      <c r="N240" s="9">
        <v>0</v>
      </c>
      <c r="O240" s="12">
        <v>0.91</v>
      </c>
      <c r="P240" s="7">
        <f t="shared" si="22"/>
        <v>25.118350028803569</v>
      </c>
      <c r="Q240" s="9">
        <v>0</v>
      </c>
      <c r="R240" s="4">
        <v>1.03</v>
      </c>
      <c r="S240" s="7">
        <f t="shared" si="23"/>
        <v>10.411442439870079</v>
      </c>
      <c r="T240" s="9">
        <v>0</v>
      </c>
    </row>
    <row r="241" spans="1:20" x14ac:dyDescent="0.3">
      <c r="A241" s="1">
        <v>45994.875014699071</v>
      </c>
      <c r="B241" s="4">
        <v>3.5</v>
      </c>
      <c r="C241" s="12">
        <v>4.62</v>
      </c>
      <c r="D241" s="6">
        <f t="shared" si="18"/>
        <v>422.15496559999997</v>
      </c>
      <c r="E241" s="6">
        <v>0</v>
      </c>
      <c r="F241" s="4">
        <v>10.65</v>
      </c>
      <c r="G241" s="7">
        <f t="shared" si="19"/>
        <v>196.4236169869051</v>
      </c>
      <c r="H241" s="7">
        <v>0</v>
      </c>
      <c r="I241" s="4">
        <v>1.98</v>
      </c>
      <c r="J241" s="7">
        <f t="shared" si="20"/>
        <v>65.088057242302639</v>
      </c>
      <c r="K241" s="9">
        <v>0</v>
      </c>
      <c r="L241" s="4">
        <v>1</v>
      </c>
      <c r="M241" s="7">
        <f t="shared" si="21"/>
        <v>11.945355658280643</v>
      </c>
      <c r="N241" s="9">
        <v>0</v>
      </c>
      <c r="O241" s="12">
        <v>0.87</v>
      </c>
      <c r="P241" s="7">
        <f t="shared" si="22"/>
        <v>23.60349809359256</v>
      </c>
      <c r="Q241" s="9">
        <v>0</v>
      </c>
      <c r="R241" s="4">
        <v>1.03</v>
      </c>
      <c r="S241" s="7">
        <f t="shared" si="23"/>
        <v>10.411442439870079</v>
      </c>
      <c r="T241" s="9">
        <v>0</v>
      </c>
    </row>
    <row r="242" spans="1:20" x14ac:dyDescent="0.3">
      <c r="A242" s="1">
        <v>45994.916681481482</v>
      </c>
      <c r="B242" s="4">
        <v>3.5</v>
      </c>
      <c r="C242" s="12">
        <v>4.54</v>
      </c>
      <c r="D242" s="6">
        <f t="shared" si="18"/>
        <v>410.23933999999997</v>
      </c>
      <c r="E242" s="6">
        <v>0</v>
      </c>
      <c r="F242" s="4">
        <v>10.6</v>
      </c>
      <c r="G242" s="7">
        <f t="shared" si="19"/>
        <v>191.45309642743908</v>
      </c>
      <c r="H242" s="7">
        <v>0</v>
      </c>
      <c r="I242" s="4">
        <v>1.98</v>
      </c>
      <c r="J242" s="7">
        <f t="shared" si="20"/>
        <v>65.088057242302639</v>
      </c>
      <c r="K242" s="9">
        <v>0</v>
      </c>
      <c r="L242" s="4">
        <v>1</v>
      </c>
      <c r="M242" s="7">
        <f t="shared" si="21"/>
        <v>11.945355658280643</v>
      </c>
      <c r="N242" s="9">
        <v>0</v>
      </c>
      <c r="O242" s="12">
        <v>0.87</v>
      </c>
      <c r="P242" s="7">
        <f t="shared" si="22"/>
        <v>23.60349809359256</v>
      </c>
      <c r="Q242" s="9">
        <v>0</v>
      </c>
      <c r="R242" s="4">
        <v>1.03</v>
      </c>
      <c r="S242" s="7">
        <f t="shared" si="23"/>
        <v>10.411442439870079</v>
      </c>
      <c r="T242" s="9">
        <v>0</v>
      </c>
    </row>
    <row r="243" spans="1:20" x14ac:dyDescent="0.3">
      <c r="A243" s="1">
        <v>45994.958348263892</v>
      </c>
      <c r="B243" s="4">
        <v>3.5</v>
      </c>
      <c r="C243" s="12">
        <v>4.46</v>
      </c>
      <c r="D243" s="6">
        <f t="shared" si="18"/>
        <v>398.49259759999995</v>
      </c>
      <c r="E243" s="6">
        <v>0</v>
      </c>
      <c r="F243" s="4">
        <v>10.56</v>
      </c>
      <c r="G243" s="7">
        <f t="shared" si="19"/>
        <v>187.50900480912696</v>
      </c>
      <c r="H243" s="7">
        <v>0</v>
      </c>
      <c r="I243" s="4">
        <v>1.98</v>
      </c>
      <c r="J243" s="7">
        <f t="shared" si="20"/>
        <v>65.088057242302639</v>
      </c>
      <c r="K243" s="9">
        <v>0</v>
      </c>
      <c r="L243" s="4">
        <v>1</v>
      </c>
      <c r="M243" s="7">
        <f t="shared" si="21"/>
        <v>11.945355658280643</v>
      </c>
      <c r="N243" s="9">
        <v>0</v>
      </c>
      <c r="O243" s="12">
        <v>0.87</v>
      </c>
      <c r="P243" s="7">
        <f t="shared" si="22"/>
        <v>23.60349809359256</v>
      </c>
      <c r="Q243" s="9">
        <v>0</v>
      </c>
      <c r="R243" s="4">
        <v>1.03</v>
      </c>
      <c r="S243" s="7">
        <f t="shared" si="23"/>
        <v>10.411442439870079</v>
      </c>
      <c r="T243" s="9">
        <v>0</v>
      </c>
    </row>
    <row r="244" spans="1:20" x14ac:dyDescent="0.3">
      <c r="A244" s="1">
        <v>45995.000015046295</v>
      </c>
      <c r="B244" s="4">
        <v>3.5</v>
      </c>
      <c r="C244" s="12">
        <v>4.38</v>
      </c>
      <c r="D244" s="6">
        <f t="shared" si="18"/>
        <v>386.91473839999998</v>
      </c>
      <c r="E244" s="6">
        <v>0</v>
      </c>
      <c r="F244" s="4">
        <v>10.52</v>
      </c>
      <c r="G244" s="7">
        <f t="shared" si="19"/>
        <v>183.59383962203529</v>
      </c>
      <c r="H244" s="7">
        <v>0</v>
      </c>
      <c r="I244" s="4">
        <v>1.98</v>
      </c>
      <c r="J244" s="7">
        <f t="shared" si="20"/>
        <v>65.088057242302639</v>
      </c>
      <c r="K244" s="9">
        <v>0</v>
      </c>
      <c r="L244" s="4">
        <v>1</v>
      </c>
      <c r="M244" s="7">
        <f t="shared" si="21"/>
        <v>11.945355658280643</v>
      </c>
      <c r="N244" s="9">
        <v>0</v>
      </c>
      <c r="O244" s="12">
        <v>0.95</v>
      </c>
      <c r="P244" s="7">
        <f t="shared" si="22"/>
        <v>26.658981570242144</v>
      </c>
      <c r="Q244" s="9">
        <v>0</v>
      </c>
      <c r="R244" s="4">
        <v>1.02</v>
      </c>
      <c r="S244" s="7">
        <f t="shared" si="23"/>
        <v>10.216161650359053</v>
      </c>
      <c r="T244" s="9">
        <v>0</v>
      </c>
    </row>
    <row r="245" spans="1:20" x14ac:dyDescent="0.3">
      <c r="A245" s="1">
        <v>45995.041681828705</v>
      </c>
      <c r="B245" s="4">
        <v>3.45</v>
      </c>
      <c r="C245" s="12">
        <v>4.3099999999999996</v>
      </c>
      <c r="D245" s="6">
        <f t="shared" si="18"/>
        <v>376.92264859999989</v>
      </c>
      <c r="E245" s="6">
        <v>0</v>
      </c>
      <c r="F245" s="4">
        <v>10.48</v>
      </c>
      <c r="G245" s="7">
        <f t="shared" si="19"/>
        <v>179.70778304556984</v>
      </c>
      <c r="H245" s="7">
        <v>0</v>
      </c>
      <c r="I245" s="4">
        <v>1.96</v>
      </c>
      <c r="J245" s="7">
        <f t="shared" si="20"/>
        <v>62.517416792361395</v>
      </c>
      <c r="K245" s="9">
        <v>0</v>
      </c>
      <c r="L245" s="4">
        <v>0.99</v>
      </c>
      <c r="M245" s="7">
        <f t="shared" si="21"/>
        <v>11.701495358873233</v>
      </c>
      <c r="N245" s="9">
        <v>0</v>
      </c>
      <c r="O245" s="12">
        <v>0.91</v>
      </c>
      <c r="P245" s="7">
        <f t="shared" si="22"/>
        <v>25.118350028803569</v>
      </c>
      <c r="Q245" s="9">
        <v>0</v>
      </c>
      <c r="R245" s="4">
        <v>1.03</v>
      </c>
      <c r="S245" s="7">
        <f t="shared" si="23"/>
        <v>10.411442439870079</v>
      </c>
      <c r="T245" s="9">
        <v>0</v>
      </c>
    </row>
    <row r="246" spans="1:20" x14ac:dyDescent="0.3">
      <c r="A246" s="1">
        <v>45995.083348611108</v>
      </c>
      <c r="B246" s="4">
        <v>3.6</v>
      </c>
      <c r="C246" s="12">
        <v>4.24</v>
      </c>
      <c r="D246" s="6">
        <f t="shared" si="18"/>
        <v>367.05986000000013</v>
      </c>
      <c r="E246" s="6">
        <v>0</v>
      </c>
      <c r="F246" s="4">
        <v>10.46</v>
      </c>
      <c r="G246" s="7">
        <f t="shared" si="19"/>
        <v>177.77572842569842</v>
      </c>
      <c r="H246" s="7">
        <v>0</v>
      </c>
      <c r="I246" s="4">
        <v>2.2999999999999998</v>
      </c>
      <c r="J246" s="7">
        <f t="shared" si="20"/>
        <v>106.59084474999997</v>
      </c>
      <c r="K246" s="9">
        <v>0</v>
      </c>
      <c r="L246" s="4">
        <v>0.99</v>
      </c>
      <c r="M246" s="7">
        <f t="shared" si="21"/>
        <v>11.701495358873233</v>
      </c>
      <c r="N246" s="9">
        <v>0</v>
      </c>
      <c r="O246" s="12">
        <v>0.9</v>
      </c>
      <c r="P246" s="7">
        <f t="shared" si="22"/>
        <v>24.737192802536985</v>
      </c>
      <c r="Q246" s="9">
        <v>0</v>
      </c>
      <c r="R246" s="4">
        <v>1.02</v>
      </c>
      <c r="S246" s="7">
        <f t="shared" si="23"/>
        <v>10.216161650359053</v>
      </c>
      <c r="T246" s="9">
        <v>0</v>
      </c>
    </row>
    <row r="247" spans="1:20" x14ac:dyDescent="0.3">
      <c r="A247" s="1">
        <v>45995.125015393518</v>
      </c>
      <c r="B247" s="4">
        <v>3.8</v>
      </c>
      <c r="C247" s="12">
        <v>4.18</v>
      </c>
      <c r="D247" s="6">
        <f t="shared" si="18"/>
        <v>358.70895440000004</v>
      </c>
      <c r="E247" s="6">
        <v>0</v>
      </c>
      <c r="F247" s="4">
        <v>10.44</v>
      </c>
      <c r="G247" s="7">
        <f t="shared" si="19"/>
        <v>175.85102095936989</v>
      </c>
      <c r="H247" s="7">
        <v>0</v>
      </c>
      <c r="I247" s="4">
        <v>2.25</v>
      </c>
      <c r="J247" s="7">
        <f t="shared" si="20"/>
        <v>105.42497474999993</v>
      </c>
      <c r="K247" s="9">
        <v>0</v>
      </c>
      <c r="L247" s="4">
        <v>0.98</v>
      </c>
      <c r="M247" s="7">
        <f t="shared" si="21"/>
        <v>11.459942147799874</v>
      </c>
      <c r="N247" s="9">
        <v>0</v>
      </c>
      <c r="O247" s="12">
        <v>0.9</v>
      </c>
      <c r="P247" s="7">
        <f t="shared" si="22"/>
        <v>24.737192802536985</v>
      </c>
      <c r="Q247" s="9">
        <v>0</v>
      </c>
      <c r="R247" s="4">
        <v>1.02</v>
      </c>
      <c r="S247" s="7">
        <f t="shared" si="23"/>
        <v>10.216161650359053</v>
      </c>
      <c r="T247" s="9">
        <v>0</v>
      </c>
    </row>
    <row r="248" spans="1:20" x14ac:dyDescent="0.3">
      <c r="A248" s="1">
        <v>45995.166682175928</v>
      </c>
      <c r="B248" s="4">
        <v>3.8</v>
      </c>
      <c r="C248" s="12">
        <v>4.12</v>
      </c>
      <c r="D248" s="6">
        <f t="shared" si="18"/>
        <v>350.4530456</v>
      </c>
      <c r="E248" s="6">
        <v>0</v>
      </c>
      <c r="F248" s="4">
        <v>10.5</v>
      </c>
      <c r="G248" s="7">
        <f t="shared" si="19"/>
        <v>181.64716122819658</v>
      </c>
      <c r="H248" s="7">
        <v>0</v>
      </c>
      <c r="I248" s="4">
        <v>2.1</v>
      </c>
      <c r="J248" s="7">
        <f t="shared" si="20"/>
        <v>82.074352644841866</v>
      </c>
      <c r="K248" s="9">
        <v>0</v>
      </c>
      <c r="L248" s="4">
        <v>1</v>
      </c>
      <c r="M248" s="7">
        <f t="shared" si="21"/>
        <v>11.945355658280643</v>
      </c>
      <c r="N248" s="9">
        <v>0</v>
      </c>
      <c r="O248" s="12">
        <v>0.88</v>
      </c>
      <c r="P248" s="7">
        <f t="shared" si="22"/>
        <v>23.979755525950928</v>
      </c>
      <c r="Q248" s="9">
        <v>0</v>
      </c>
      <c r="R248" s="4">
        <v>1.02</v>
      </c>
      <c r="S248" s="7">
        <f t="shared" si="23"/>
        <v>10.216161650359053</v>
      </c>
      <c r="T248" s="9">
        <v>0</v>
      </c>
    </row>
    <row r="249" spans="1:20" x14ac:dyDescent="0.3">
      <c r="A249" s="1">
        <v>45995.208348958331</v>
      </c>
      <c r="B249" s="4">
        <v>3.7</v>
      </c>
      <c r="C249" s="12">
        <v>4.0599999999999996</v>
      </c>
      <c r="D249" s="6">
        <f t="shared" si="18"/>
        <v>342.29213359999994</v>
      </c>
      <c r="E249" s="6">
        <v>0</v>
      </c>
      <c r="F249" s="4">
        <v>10.57</v>
      </c>
      <c r="G249" s="7">
        <f t="shared" si="19"/>
        <v>188.49232289763052</v>
      </c>
      <c r="H249" s="7">
        <v>0</v>
      </c>
      <c r="I249" s="4">
        <v>2.0499999999999998</v>
      </c>
      <c r="J249" s="7">
        <f t="shared" si="20"/>
        <v>74.663750826566528</v>
      </c>
      <c r="K249" s="9">
        <v>0</v>
      </c>
      <c r="L249" s="4">
        <v>1</v>
      </c>
      <c r="M249" s="7">
        <f t="shared" si="21"/>
        <v>11.945355658280643</v>
      </c>
      <c r="N249" s="9">
        <v>0</v>
      </c>
      <c r="O249" s="12">
        <v>0.87</v>
      </c>
      <c r="P249" s="7">
        <f t="shared" si="22"/>
        <v>23.60349809359256</v>
      </c>
      <c r="Q249" s="9">
        <v>0</v>
      </c>
      <c r="R249" s="4">
        <v>1.01</v>
      </c>
      <c r="S249" s="7">
        <f t="shared" si="23"/>
        <v>10.023290818310722</v>
      </c>
      <c r="T249" s="9">
        <v>0</v>
      </c>
    </row>
    <row r="250" spans="1:20" x14ac:dyDescent="0.3">
      <c r="A250" s="1">
        <v>45995.250015740741</v>
      </c>
      <c r="B250" s="4">
        <v>3.4</v>
      </c>
      <c r="C250" s="12">
        <v>4.01</v>
      </c>
      <c r="D250" s="6">
        <f t="shared" si="18"/>
        <v>335.56394060000008</v>
      </c>
      <c r="E250" s="6">
        <v>0</v>
      </c>
      <c r="F250" s="4">
        <v>10.6</v>
      </c>
      <c r="G250" s="7">
        <f t="shared" si="19"/>
        <v>191.45309642743908</v>
      </c>
      <c r="H250" s="7">
        <v>0</v>
      </c>
      <c r="I250" s="4">
        <v>1.93</v>
      </c>
      <c r="J250" s="7">
        <f t="shared" si="20"/>
        <v>58.794945365776705</v>
      </c>
      <c r="K250" s="9">
        <v>0</v>
      </c>
      <c r="L250" s="4">
        <v>1</v>
      </c>
      <c r="M250" s="7">
        <f t="shared" si="21"/>
        <v>11.945355658280643</v>
      </c>
      <c r="N250" s="9">
        <v>0</v>
      </c>
      <c r="O250" s="12">
        <v>0.87</v>
      </c>
      <c r="P250" s="7">
        <f t="shared" si="22"/>
        <v>23.60349809359256</v>
      </c>
      <c r="Q250" s="9">
        <v>0</v>
      </c>
      <c r="R250" s="4">
        <v>1.01</v>
      </c>
      <c r="S250" s="7">
        <f t="shared" si="23"/>
        <v>10.023290818310722</v>
      </c>
      <c r="T250" s="9">
        <v>0</v>
      </c>
    </row>
    <row r="251" spans="1:20" x14ac:dyDescent="0.3">
      <c r="A251" s="1">
        <v>45995.291682523151</v>
      </c>
      <c r="B251" s="4">
        <v>3</v>
      </c>
      <c r="C251" s="12">
        <v>3.99</v>
      </c>
      <c r="D251" s="6">
        <f t="shared" si="18"/>
        <v>332.89113500000013</v>
      </c>
      <c r="E251" s="6">
        <v>0</v>
      </c>
      <c r="F251" s="4">
        <v>10.6</v>
      </c>
      <c r="G251" s="7">
        <f t="shared" si="19"/>
        <v>191.45309642743908</v>
      </c>
      <c r="H251" s="7">
        <v>0</v>
      </c>
      <c r="I251" s="4">
        <v>1.88</v>
      </c>
      <c r="J251" s="7">
        <f t="shared" si="20"/>
        <v>52.937448838920183</v>
      </c>
      <c r="K251" s="9">
        <v>0</v>
      </c>
      <c r="L251" s="4">
        <v>1</v>
      </c>
      <c r="M251" s="7">
        <f t="shared" si="21"/>
        <v>11.945355658280643</v>
      </c>
      <c r="N251" s="9">
        <v>0</v>
      </c>
      <c r="O251" s="12">
        <v>0.89</v>
      </c>
      <c r="P251" s="7">
        <f t="shared" si="22"/>
        <v>24.357657566155829</v>
      </c>
      <c r="Q251" s="9">
        <v>0</v>
      </c>
      <c r="R251" s="4">
        <v>1.01</v>
      </c>
      <c r="S251" s="7">
        <f t="shared" si="23"/>
        <v>10.023290818310722</v>
      </c>
      <c r="T251" s="9">
        <v>0</v>
      </c>
    </row>
    <row r="252" spans="1:20" x14ac:dyDescent="0.3">
      <c r="A252" s="1">
        <v>45995.333349305554</v>
      </c>
      <c r="B252" s="4">
        <v>2.8</v>
      </c>
      <c r="C252" s="12">
        <v>3.95</v>
      </c>
      <c r="D252" s="6">
        <f t="shared" si="18"/>
        <v>327.57718940000001</v>
      </c>
      <c r="E252" s="6">
        <v>0</v>
      </c>
      <c r="F252" s="4">
        <v>10.59</v>
      </c>
      <c r="G252" s="7">
        <f t="shared" si="19"/>
        <v>190.46437149723798</v>
      </c>
      <c r="H252" s="7">
        <v>0</v>
      </c>
      <c r="I252" s="4">
        <v>1.84</v>
      </c>
      <c r="J252" s="7">
        <f t="shared" si="20"/>
        <v>48.55337652288771</v>
      </c>
      <c r="K252" s="9">
        <v>0</v>
      </c>
      <c r="L252" s="4">
        <v>1</v>
      </c>
      <c r="M252" s="7">
        <f t="shared" si="21"/>
        <v>11.945355658280643</v>
      </c>
      <c r="N252" s="9">
        <v>0</v>
      </c>
      <c r="O252" s="12">
        <v>0.87</v>
      </c>
      <c r="P252" s="7">
        <f t="shared" si="22"/>
        <v>23.60349809359256</v>
      </c>
      <c r="Q252" s="9">
        <v>0</v>
      </c>
      <c r="R252" s="4">
        <v>1.01</v>
      </c>
      <c r="S252" s="7">
        <f t="shared" si="23"/>
        <v>10.023290818310722</v>
      </c>
      <c r="T252" s="9">
        <v>0</v>
      </c>
    </row>
    <row r="253" spans="1:20" x14ac:dyDescent="0.3">
      <c r="A253" s="1">
        <v>45995.375016087964</v>
      </c>
      <c r="B253" s="4">
        <v>2.7</v>
      </c>
      <c r="C253" s="12">
        <v>3.91</v>
      </c>
      <c r="D253" s="6">
        <f t="shared" si="18"/>
        <v>322.30546460000011</v>
      </c>
      <c r="E253" s="6">
        <v>0</v>
      </c>
      <c r="F253" s="4">
        <v>10.69</v>
      </c>
      <c r="G253" s="7">
        <f t="shared" si="19"/>
        <v>200.43214532487315</v>
      </c>
      <c r="H253" s="7">
        <v>0</v>
      </c>
      <c r="I253" s="4">
        <v>1.63</v>
      </c>
      <c r="J253" s="7">
        <f t="shared" si="20"/>
        <v>29.5796487405485</v>
      </c>
      <c r="K253" s="9">
        <v>0</v>
      </c>
      <c r="L253" s="4">
        <v>1</v>
      </c>
      <c r="M253" s="7">
        <f t="shared" si="21"/>
        <v>11.945355658280643</v>
      </c>
      <c r="N253" s="9">
        <v>0</v>
      </c>
      <c r="O253" s="12">
        <v>0.87</v>
      </c>
      <c r="P253" s="7">
        <f t="shared" si="22"/>
        <v>23.60349809359256</v>
      </c>
      <c r="Q253" s="9">
        <v>0</v>
      </c>
      <c r="R253" s="4">
        <v>0.99</v>
      </c>
      <c r="S253" s="7">
        <f t="shared" si="23"/>
        <v>9.6447227099937525</v>
      </c>
      <c r="T253" s="9">
        <v>0</v>
      </c>
    </row>
    <row r="254" spans="1:20" x14ac:dyDescent="0.3">
      <c r="A254" s="1">
        <v>45995.416682870367</v>
      </c>
      <c r="B254" s="4">
        <v>2.9</v>
      </c>
      <c r="C254" s="12">
        <v>3.88</v>
      </c>
      <c r="D254" s="6">
        <f t="shared" si="18"/>
        <v>318.37937839999995</v>
      </c>
      <c r="E254" s="6">
        <v>0</v>
      </c>
      <c r="F254" s="4">
        <v>10.68</v>
      </c>
      <c r="G254" s="7">
        <f t="shared" si="19"/>
        <v>199.42734801195471</v>
      </c>
      <c r="H254" s="7">
        <v>0</v>
      </c>
      <c r="I254" s="4">
        <v>1.58</v>
      </c>
      <c r="J254" s="7">
        <f t="shared" si="20"/>
        <v>25.975372938816697</v>
      </c>
      <c r="K254" s="9">
        <v>0</v>
      </c>
      <c r="L254" s="4">
        <v>1</v>
      </c>
      <c r="M254" s="7">
        <f t="shared" si="21"/>
        <v>11.945355658280643</v>
      </c>
      <c r="N254" s="9">
        <v>0</v>
      </c>
      <c r="O254" s="12">
        <v>0.85</v>
      </c>
      <c r="P254" s="7">
        <f t="shared" si="22"/>
        <v>22.855963763230644</v>
      </c>
      <c r="Q254" s="9">
        <v>0</v>
      </c>
      <c r="R254" s="4">
        <v>0.99</v>
      </c>
      <c r="S254" s="7">
        <f t="shared" si="23"/>
        <v>9.6447227099937525</v>
      </c>
      <c r="T254" s="9">
        <v>0</v>
      </c>
    </row>
    <row r="255" spans="1:20" x14ac:dyDescent="0.3">
      <c r="A255" s="1">
        <v>45995.458349652778</v>
      </c>
      <c r="B255" s="4">
        <v>2.9</v>
      </c>
      <c r="C255" s="12">
        <v>3.84</v>
      </c>
      <c r="D255" s="6">
        <f t="shared" si="18"/>
        <v>313.18154000000004</v>
      </c>
      <c r="E255" s="6">
        <v>0</v>
      </c>
      <c r="F255" s="4">
        <v>10.64</v>
      </c>
      <c r="G255" s="7">
        <f t="shared" si="19"/>
        <v>195.42593587530968</v>
      </c>
      <c r="H255" s="7">
        <v>0</v>
      </c>
      <c r="I255" s="4">
        <v>1.5</v>
      </c>
      <c r="J255" s="7">
        <f t="shared" si="20"/>
        <v>20.861118439799803</v>
      </c>
      <c r="K255" s="9">
        <v>0</v>
      </c>
      <c r="L255" s="4">
        <v>1</v>
      </c>
      <c r="M255" s="7">
        <f t="shared" si="21"/>
        <v>11.945355658280643</v>
      </c>
      <c r="N255" s="9">
        <v>0</v>
      </c>
      <c r="O255" s="12">
        <v>0.86</v>
      </c>
      <c r="P255" s="7">
        <f t="shared" si="22"/>
        <v>23.228896892293509</v>
      </c>
      <c r="Q255" s="9">
        <v>0</v>
      </c>
      <c r="R255" s="4">
        <v>0.99</v>
      </c>
      <c r="S255" s="7">
        <f t="shared" si="23"/>
        <v>9.6447227099937525</v>
      </c>
      <c r="T255" s="9">
        <v>0</v>
      </c>
    </row>
    <row r="256" spans="1:20" x14ac:dyDescent="0.3">
      <c r="A256" s="1">
        <v>45995.500016435188</v>
      </c>
      <c r="B256" s="4">
        <v>3.1</v>
      </c>
      <c r="C256" s="12">
        <v>3.8</v>
      </c>
      <c r="D256" s="6">
        <f t="shared" si="18"/>
        <v>308.02592239999996</v>
      </c>
      <c r="E256" s="6">
        <v>0</v>
      </c>
      <c r="F256" s="4">
        <v>10.6</v>
      </c>
      <c r="G256" s="7">
        <f t="shared" si="19"/>
        <v>191.45309642743908</v>
      </c>
      <c r="H256" s="7">
        <v>0</v>
      </c>
      <c r="I256" s="4">
        <v>1.5</v>
      </c>
      <c r="J256" s="7">
        <f t="shared" si="20"/>
        <v>20.861118439799803</v>
      </c>
      <c r="K256" s="9">
        <v>0</v>
      </c>
      <c r="L256" s="4">
        <v>1</v>
      </c>
      <c r="M256" s="7">
        <f t="shared" si="21"/>
        <v>11.945355658280643</v>
      </c>
      <c r="N256" s="9">
        <v>0</v>
      </c>
      <c r="O256" s="12">
        <v>0.76</v>
      </c>
      <c r="P256" s="7">
        <f t="shared" si="22"/>
        <v>19.576699676476153</v>
      </c>
      <c r="Q256" s="9">
        <v>0</v>
      </c>
      <c r="R256" s="4">
        <v>1</v>
      </c>
      <c r="S256" s="7">
        <f t="shared" si="23"/>
        <v>9.8328158671958725</v>
      </c>
      <c r="T256" s="9">
        <v>0</v>
      </c>
    </row>
    <row r="257" spans="1:20" x14ac:dyDescent="0.3">
      <c r="A257" s="1">
        <v>45995.541683217591</v>
      </c>
      <c r="B257" s="4">
        <v>3.1</v>
      </c>
      <c r="C257" s="12">
        <v>3.77</v>
      </c>
      <c r="D257" s="6">
        <f t="shared" si="18"/>
        <v>304.18691660000002</v>
      </c>
      <c r="E257" s="6">
        <v>0</v>
      </c>
      <c r="F257" s="4">
        <v>10.52</v>
      </c>
      <c r="G257" s="7">
        <f t="shared" si="19"/>
        <v>183.59383962203529</v>
      </c>
      <c r="H257" s="7">
        <v>0</v>
      </c>
      <c r="I257" s="4">
        <v>1.49</v>
      </c>
      <c r="J257" s="7">
        <f t="shared" si="20"/>
        <v>20.275582306430017</v>
      </c>
      <c r="K257" s="9">
        <v>0</v>
      </c>
      <c r="L257" s="4">
        <v>1</v>
      </c>
      <c r="M257" s="7">
        <f t="shared" si="21"/>
        <v>11.945355658280643</v>
      </c>
      <c r="N257" s="9">
        <v>0</v>
      </c>
      <c r="O257" s="12">
        <v>0.63</v>
      </c>
      <c r="P257" s="7">
        <f t="shared" si="22"/>
        <v>15.100700072125402</v>
      </c>
      <c r="Q257" s="9">
        <v>0</v>
      </c>
      <c r="R257" s="4">
        <v>0.99</v>
      </c>
      <c r="S257" s="7">
        <f t="shared" si="23"/>
        <v>9.6447227099937525</v>
      </c>
      <c r="T257" s="9">
        <v>0</v>
      </c>
    </row>
    <row r="258" spans="1:20" x14ac:dyDescent="0.3">
      <c r="A258" s="1">
        <v>45995.583350000001</v>
      </c>
      <c r="B258" s="4">
        <v>3</v>
      </c>
      <c r="C258" s="12">
        <v>3.72</v>
      </c>
      <c r="D258" s="6">
        <f t="shared" si="18"/>
        <v>297.8413496</v>
      </c>
      <c r="E258" s="6">
        <v>0</v>
      </c>
      <c r="F258" s="4">
        <v>10.45</v>
      </c>
      <c r="G258" s="7">
        <f t="shared" si="19"/>
        <v>176.81245481445833</v>
      </c>
      <c r="H258" s="7">
        <v>0</v>
      </c>
      <c r="I258" s="4">
        <v>1.5</v>
      </c>
      <c r="J258" s="7">
        <f t="shared" si="20"/>
        <v>20.861118439799803</v>
      </c>
      <c r="K258" s="9">
        <v>0</v>
      </c>
      <c r="L258" s="4">
        <v>1</v>
      </c>
      <c r="M258" s="7">
        <f t="shared" si="21"/>
        <v>11.945355658280643</v>
      </c>
      <c r="N258" s="9">
        <v>0</v>
      </c>
      <c r="O258" s="12">
        <v>0.59</v>
      </c>
      <c r="P258" s="7">
        <f t="shared" si="22"/>
        <v>13.790329499845408</v>
      </c>
      <c r="Q258" s="9">
        <v>0</v>
      </c>
      <c r="R258" s="4">
        <v>0.99</v>
      </c>
      <c r="S258" s="7">
        <f t="shared" si="23"/>
        <v>9.6447227099937525</v>
      </c>
      <c r="T258" s="9">
        <v>1.9</v>
      </c>
    </row>
    <row r="259" spans="1:20" x14ac:dyDescent="0.3">
      <c r="A259" s="1">
        <v>45995.625016782411</v>
      </c>
      <c r="B259" s="4">
        <v>3</v>
      </c>
      <c r="C259" s="12">
        <v>3.66</v>
      </c>
      <c r="D259" s="6">
        <f t="shared" si="18"/>
        <v>290.31374960000011</v>
      </c>
      <c r="E259" s="6">
        <v>0</v>
      </c>
      <c r="F259" s="4">
        <v>10.37</v>
      </c>
      <c r="G259" s="7">
        <f t="shared" si="19"/>
        <v>169.17275001421865</v>
      </c>
      <c r="H259" s="7">
        <v>0</v>
      </c>
      <c r="I259" s="4">
        <v>1.51</v>
      </c>
      <c r="J259" s="7">
        <f t="shared" si="20"/>
        <v>21.458297004975897</v>
      </c>
      <c r="K259" s="9">
        <v>0</v>
      </c>
      <c r="L259" s="4">
        <v>0.99</v>
      </c>
      <c r="M259" s="7">
        <f t="shared" si="21"/>
        <v>11.701495358873233</v>
      </c>
      <c r="N259" s="9">
        <v>0</v>
      </c>
      <c r="O259" s="12">
        <v>0.75</v>
      </c>
      <c r="P259" s="7">
        <f t="shared" si="22"/>
        <v>19.221151672443352</v>
      </c>
      <c r="Q259" s="9">
        <v>0</v>
      </c>
      <c r="R259" s="4">
        <v>1.03</v>
      </c>
      <c r="S259" s="7">
        <f t="shared" si="23"/>
        <v>10.411442439870079</v>
      </c>
      <c r="T259" s="9">
        <v>2.2999999999999998</v>
      </c>
    </row>
    <row r="260" spans="1:20" x14ac:dyDescent="0.3">
      <c r="A260" s="1">
        <v>45995.666683564814</v>
      </c>
      <c r="B260" s="4">
        <v>2.8</v>
      </c>
      <c r="C260" s="12">
        <v>3.6</v>
      </c>
      <c r="D260" s="6">
        <f t="shared" si="18"/>
        <v>282.88114640000003</v>
      </c>
      <c r="E260" s="6">
        <v>0</v>
      </c>
      <c r="F260" s="4">
        <v>10.32</v>
      </c>
      <c r="G260" s="7">
        <f t="shared" si="19"/>
        <v>164.45841868523087</v>
      </c>
      <c r="H260" s="7">
        <v>20.3</v>
      </c>
      <c r="I260" s="4">
        <v>1.95</v>
      </c>
      <c r="J260" s="7">
        <f t="shared" si="20"/>
        <v>61.258935071009347</v>
      </c>
      <c r="K260" s="9">
        <v>0</v>
      </c>
      <c r="L260" s="4">
        <v>0.99</v>
      </c>
      <c r="M260" s="7">
        <f t="shared" si="21"/>
        <v>11.701495358873233</v>
      </c>
      <c r="N260" s="9">
        <v>0</v>
      </c>
      <c r="O260" s="12">
        <v>0.81</v>
      </c>
      <c r="P260" s="7">
        <f t="shared" si="22"/>
        <v>21.381156804678113</v>
      </c>
      <c r="Q260" s="9">
        <v>0</v>
      </c>
      <c r="R260" s="4">
        <v>1.07</v>
      </c>
      <c r="S260" s="7">
        <f t="shared" si="23"/>
        <v>11.216946340190008</v>
      </c>
      <c r="T260" s="9">
        <v>1.3</v>
      </c>
    </row>
    <row r="261" spans="1:20" x14ac:dyDescent="0.3">
      <c r="A261" s="1">
        <v>45995.708350347224</v>
      </c>
      <c r="B261" s="4">
        <v>2.6</v>
      </c>
      <c r="C261" s="12">
        <v>3.54</v>
      </c>
      <c r="D261" s="6">
        <f t="shared" si="18"/>
        <v>275.54353999999995</v>
      </c>
      <c r="E261" s="6">
        <v>3.1</v>
      </c>
      <c r="F261" s="4">
        <v>10.35</v>
      </c>
      <c r="G261" s="7">
        <f t="shared" si="19"/>
        <v>167.28140330242118</v>
      </c>
      <c r="H261" s="7">
        <v>15.9</v>
      </c>
      <c r="I261" s="4">
        <v>1.91</v>
      </c>
      <c r="J261" s="7">
        <f t="shared" si="20"/>
        <v>56.400652421642071</v>
      </c>
      <c r="K261" s="9">
        <v>3</v>
      </c>
      <c r="L261" s="4">
        <v>1</v>
      </c>
      <c r="M261" s="7">
        <f t="shared" si="21"/>
        <v>11.945355658280643</v>
      </c>
      <c r="N261" s="9">
        <v>0</v>
      </c>
      <c r="O261" s="12">
        <v>1</v>
      </c>
      <c r="P261" s="7">
        <f t="shared" si="22"/>
        <v>28.62</v>
      </c>
      <c r="Q261" s="9">
        <v>10.199999999999999</v>
      </c>
      <c r="R261" s="4">
        <v>1.2</v>
      </c>
      <c r="S261" s="7">
        <f t="shared" si="23"/>
        <v>14.113530185490607</v>
      </c>
      <c r="T261" s="9">
        <v>0</v>
      </c>
    </row>
    <row r="262" spans="1:20" x14ac:dyDescent="0.3">
      <c r="A262" s="1">
        <v>45995.750017129627</v>
      </c>
      <c r="B262" s="4">
        <v>2.5</v>
      </c>
      <c r="C262" s="12">
        <v>3.5</v>
      </c>
      <c r="D262" s="6">
        <f t="shared" ref="D262:D268" si="24">IF(C262="","",IF((C262+0.56)&gt;4,13.194*(C262+0.56)^2+13.311*(C262+0.56)-0.8227,27.012*(C262+0.56)^1.6477))</f>
        <v>270.70457840000006</v>
      </c>
      <c r="E262" s="6">
        <v>2</v>
      </c>
      <c r="F262" s="4">
        <v>10.42</v>
      </c>
      <c r="G262" s="7">
        <f t="shared" ref="G262:G268" si="25">IF(F262="","",IF((F262-0.118)&gt;14,9.8381*((F262-0.118)-7.5)^2+42.44*((F262-0.118)-7.5)-16.777,35.535*((F262-0.118)-7.5)^1.5414))</f>
        <v>173.9336844807782</v>
      </c>
      <c r="H262" s="7">
        <v>0</v>
      </c>
      <c r="I262" s="4">
        <v>2.09</v>
      </c>
      <c r="J262" s="7">
        <f t="shared" ref="J262:J268" si="26">IF(I262="","",IF(I262&lt;=2.23,13.015*(I262-0.345)^3.274,114.59*(I262-0.345)^2-419*(I262-0.345)+487.77))</f>
        <v>80.553128947871485</v>
      </c>
      <c r="K262" s="9">
        <v>0</v>
      </c>
      <c r="L262" s="4">
        <v>1</v>
      </c>
      <c r="M262" s="7">
        <f t="shared" ref="M262:M268" si="27">IF(L262="","",IF((L262)&gt;2,8.9271*((L262)^2)+9.2434*(L262)-1.6791,14.51*(((L262)-0.1)^1.846)))</f>
        <v>11.945355658280643</v>
      </c>
      <c r="N262" s="9">
        <v>0</v>
      </c>
      <c r="O262" s="12">
        <v>1.53</v>
      </c>
      <c r="P262" s="7">
        <f t="shared" ref="P262:P268" si="28">IF(O262="","",28.62*(O262)^1.3838)</f>
        <v>51.552013371882843</v>
      </c>
      <c r="Q262" s="9">
        <v>6.6</v>
      </c>
      <c r="R262" s="4">
        <v>1.1100000000000001</v>
      </c>
      <c r="S262" s="7">
        <f t="shared" ref="S262:S268" si="29">IF(R262="","",IF(R262&gt;2.5,19.135*(R262+0.5)^2-29.477*(R262+0.5)+32.54,3.0494*((R262+0.5)^2.8875)))</f>
        <v>12.062133005740378</v>
      </c>
      <c r="T262" s="9">
        <v>0</v>
      </c>
    </row>
    <row r="263" spans="1:20" x14ac:dyDescent="0.3">
      <c r="A263" s="1">
        <v>45995.791683912037</v>
      </c>
      <c r="B263" s="4">
        <v>2.4</v>
      </c>
      <c r="C263" s="12">
        <v>3.46</v>
      </c>
      <c r="D263" s="6">
        <f t="shared" si="24"/>
        <v>265.90783759999994</v>
      </c>
      <c r="E263" s="6">
        <v>0</v>
      </c>
      <c r="F263" s="4">
        <v>10.48</v>
      </c>
      <c r="G263" s="7">
        <f t="shared" si="25"/>
        <v>179.70778304556984</v>
      </c>
      <c r="H263" s="7">
        <v>0</v>
      </c>
      <c r="I263" s="4">
        <v>2.2000000000000002</v>
      </c>
      <c r="J263" s="7">
        <f t="shared" si="26"/>
        <v>98.401596974779181</v>
      </c>
      <c r="K263" s="9">
        <v>0</v>
      </c>
      <c r="L263" s="4">
        <v>1</v>
      </c>
      <c r="M263" s="7">
        <f t="shared" si="27"/>
        <v>11.945355658280643</v>
      </c>
      <c r="N263" s="9">
        <v>0</v>
      </c>
      <c r="O263" s="12">
        <v>1.64</v>
      </c>
      <c r="P263" s="7">
        <f t="shared" si="28"/>
        <v>56.750611610507896</v>
      </c>
      <c r="Q263" s="9">
        <v>0</v>
      </c>
      <c r="R263" s="4">
        <v>1.06</v>
      </c>
      <c r="S263" s="7">
        <f t="shared" si="29"/>
        <v>11.011885162702667</v>
      </c>
      <c r="T263" s="9">
        <v>0</v>
      </c>
    </row>
    <row r="264" spans="1:20" x14ac:dyDescent="0.3">
      <c r="A264" s="1">
        <v>45995.833350694447</v>
      </c>
      <c r="B264" s="4">
        <v>2.2999999999999998</v>
      </c>
      <c r="C264" s="12">
        <v>3.44</v>
      </c>
      <c r="D264" s="6">
        <f t="shared" si="24"/>
        <v>265.19845447675203</v>
      </c>
      <c r="E264" s="6">
        <v>0</v>
      </c>
      <c r="F264" s="4">
        <v>10.5</v>
      </c>
      <c r="G264" s="7">
        <f t="shared" si="25"/>
        <v>181.64716122819658</v>
      </c>
      <c r="H264" s="7">
        <v>0</v>
      </c>
      <c r="I264" s="4">
        <v>2.08</v>
      </c>
      <c r="J264" s="7">
        <f t="shared" si="26"/>
        <v>79.051600482959401</v>
      </c>
      <c r="K264" s="9">
        <v>0</v>
      </c>
      <c r="L264" s="4">
        <v>1</v>
      </c>
      <c r="M264" s="7">
        <f t="shared" si="27"/>
        <v>11.945355658280643</v>
      </c>
      <c r="N264" s="9">
        <v>0</v>
      </c>
      <c r="O264" s="12">
        <v>1.4</v>
      </c>
      <c r="P264" s="7">
        <f t="shared" si="28"/>
        <v>45.591261079668001</v>
      </c>
      <c r="Q264" s="9">
        <v>0</v>
      </c>
      <c r="R264" s="4">
        <v>1.04</v>
      </c>
      <c r="S264" s="7">
        <f t="shared" si="29"/>
        <v>10.609147252958214</v>
      </c>
      <c r="T264" s="9">
        <v>0</v>
      </c>
    </row>
    <row r="265" spans="1:20" x14ac:dyDescent="0.3">
      <c r="A265" s="1">
        <v>45995.87501747685</v>
      </c>
      <c r="B265" s="4">
        <v>2.2999999999999998</v>
      </c>
      <c r="C265" s="12">
        <v>3.42</v>
      </c>
      <c r="D265" s="6">
        <f t="shared" si="24"/>
        <v>263.0171568884108</v>
      </c>
      <c r="E265" s="6">
        <v>0</v>
      </c>
      <c r="F265" s="4">
        <v>10.52</v>
      </c>
      <c r="G265" s="7">
        <f t="shared" si="25"/>
        <v>183.59383962203529</v>
      </c>
      <c r="H265" s="7">
        <v>0</v>
      </c>
      <c r="I265" s="4">
        <v>2.0699999999999998</v>
      </c>
      <c r="J265" s="7">
        <f t="shared" si="26"/>
        <v>77.569623571245657</v>
      </c>
      <c r="K265" s="9">
        <v>0</v>
      </c>
      <c r="L265" s="4">
        <v>1</v>
      </c>
      <c r="M265" s="7">
        <f t="shared" si="27"/>
        <v>11.945355658280643</v>
      </c>
      <c r="N265" s="9">
        <v>0</v>
      </c>
      <c r="O265" s="12">
        <v>1.23</v>
      </c>
      <c r="P265" s="7">
        <f t="shared" si="28"/>
        <v>38.113630792085843</v>
      </c>
      <c r="Q265" s="9">
        <v>0</v>
      </c>
      <c r="R265" s="4">
        <v>1.02</v>
      </c>
      <c r="S265" s="7">
        <f t="shared" si="29"/>
        <v>10.216161650359053</v>
      </c>
      <c r="T265" s="9">
        <v>0</v>
      </c>
    </row>
    <row r="266" spans="1:20" x14ac:dyDescent="0.3">
      <c r="A266" s="1">
        <v>45995.91668425926</v>
      </c>
      <c r="B266" s="4">
        <v>2.2999999999999998</v>
      </c>
      <c r="C266" s="12">
        <v>3.41</v>
      </c>
      <c r="D266" s="6">
        <f t="shared" si="24"/>
        <v>261.92916535024625</v>
      </c>
      <c r="E266" s="6">
        <v>0</v>
      </c>
      <c r="F266" s="4">
        <v>10.62</v>
      </c>
      <c r="G266" s="7">
        <f t="shared" si="25"/>
        <v>193.43593369876038</v>
      </c>
      <c r="H266" s="7">
        <v>0</v>
      </c>
      <c r="I266" s="4">
        <v>2.06</v>
      </c>
      <c r="J266" s="7">
        <f t="shared" si="26"/>
        <v>76.107054760598302</v>
      </c>
      <c r="K266" s="9">
        <v>0</v>
      </c>
      <c r="L266" s="4">
        <v>1</v>
      </c>
      <c r="M266" s="7">
        <f t="shared" si="27"/>
        <v>11.945355658280643</v>
      </c>
      <c r="N266" s="9">
        <v>0</v>
      </c>
      <c r="O266" s="12">
        <v>1.19</v>
      </c>
      <c r="P266" s="7">
        <f t="shared" si="28"/>
        <v>36.409231696606547</v>
      </c>
      <c r="Q266" s="9">
        <v>0</v>
      </c>
      <c r="R266" s="4">
        <v>1.01</v>
      </c>
      <c r="S266" s="7">
        <f t="shared" si="29"/>
        <v>10.023290818310722</v>
      </c>
      <c r="T266" s="9">
        <v>0</v>
      </c>
    </row>
    <row r="267" spans="1:20" x14ac:dyDescent="0.3">
      <c r="A267" s="1">
        <v>45995.958351041663</v>
      </c>
      <c r="B267" s="4">
        <v>2.4</v>
      </c>
      <c r="C267" s="12">
        <v>3.42</v>
      </c>
      <c r="D267" s="6">
        <f t="shared" si="24"/>
        <v>263.0171568884108</v>
      </c>
      <c r="E267" s="6">
        <v>0</v>
      </c>
      <c r="F267" s="4">
        <v>10.65</v>
      </c>
      <c r="G267" s="7">
        <f t="shared" si="25"/>
        <v>196.4236169869051</v>
      </c>
      <c r="H267" s="7">
        <v>0</v>
      </c>
      <c r="I267" s="4">
        <v>2.0299999999999998</v>
      </c>
      <c r="J267" s="7">
        <f t="shared" si="26"/>
        <v>71.83436583474203</v>
      </c>
      <c r="K267" s="9">
        <v>0</v>
      </c>
      <c r="L267" s="4">
        <v>1</v>
      </c>
      <c r="M267" s="7">
        <f t="shared" si="27"/>
        <v>11.945355658280643</v>
      </c>
      <c r="N267" s="9">
        <v>0</v>
      </c>
      <c r="O267" s="12">
        <v>1.18</v>
      </c>
      <c r="P267" s="7">
        <f t="shared" si="28"/>
        <v>35.986528284232129</v>
      </c>
      <c r="Q267" s="9">
        <v>0</v>
      </c>
      <c r="R267" s="4">
        <v>1</v>
      </c>
      <c r="S267" s="7">
        <f t="shared" si="29"/>
        <v>9.8328158671958725</v>
      </c>
      <c r="T267" s="9">
        <v>0</v>
      </c>
    </row>
    <row r="268" spans="1:20" x14ac:dyDescent="0.3">
      <c r="A268" s="1">
        <v>45996.000017824073</v>
      </c>
      <c r="B268" s="4">
        <v>2.4</v>
      </c>
      <c r="C268" s="12">
        <v>3.42</v>
      </c>
      <c r="D268" s="6">
        <f t="shared" si="24"/>
        <v>263.0171568884108</v>
      </c>
      <c r="E268" s="6">
        <v>0</v>
      </c>
      <c r="F268" s="4">
        <v>10.65</v>
      </c>
      <c r="G268" s="7">
        <f t="shared" si="25"/>
        <v>196.4236169869051</v>
      </c>
      <c r="H268" s="7">
        <v>0</v>
      </c>
      <c r="I268" s="4">
        <v>2.04</v>
      </c>
      <c r="J268" s="7">
        <f t="shared" si="26"/>
        <v>73.239568773344132</v>
      </c>
      <c r="K268" s="9">
        <v>0</v>
      </c>
      <c r="L268" s="4">
        <v>1</v>
      </c>
      <c r="M268" s="7">
        <f t="shared" si="27"/>
        <v>11.945355658280643</v>
      </c>
      <c r="N268" s="9">
        <v>0</v>
      </c>
      <c r="O268" s="12">
        <v>1.1299999999999999</v>
      </c>
      <c r="P268" s="7">
        <f t="shared" si="28"/>
        <v>33.89374670162605</v>
      </c>
      <c r="Q268" s="9">
        <v>0</v>
      </c>
      <c r="R268" s="4">
        <v>1</v>
      </c>
      <c r="S268" s="7">
        <f t="shared" si="29"/>
        <v>9.8328158671958725</v>
      </c>
      <c r="T268" s="9">
        <v>0</v>
      </c>
    </row>
  </sheetData>
  <mergeCells count="6">
    <mergeCell ref="R3:T3"/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B9B9-01D9-488E-8230-94FF916FC4DA}">
  <dimension ref="A1:N531"/>
  <sheetViews>
    <sheetView workbookViewId="0">
      <selection activeCell="G4" sqref="G4:G267"/>
    </sheetView>
  </sheetViews>
  <sheetFormatPr defaultRowHeight="14.4" x14ac:dyDescent="0.3"/>
  <cols>
    <col min="1" max="1" width="17.33203125" style="4" customWidth="1"/>
    <col min="2" max="7" width="7.88671875" style="9" customWidth="1"/>
  </cols>
  <sheetData>
    <row r="1" spans="1:14" ht="21" x14ac:dyDescent="0.4">
      <c r="A1" s="2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" x14ac:dyDescent="0.35">
      <c r="A2" s="27" t="s">
        <v>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14" x14ac:dyDescent="0.3">
      <c r="A4" s="10">
        <v>45985.041666608799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</row>
    <row r="5" spans="1:14" x14ac:dyDescent="0.3">
      <c r="A5" s="10">
        <v>45985.083333333336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</row>
    <row r="6" spans="1:14" x14ac:dyDescent="0.3">
      <c r="A6" s="10">
        <v>45985.125000057873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14" x14ac:dyDescent="0.3">
      <c r="A7" s="10">
        <v>45985.16666678241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</row>
    <row r="8" spans="1:14" x14ac:dyDescent="0.3">
      <c r="A8" s="10">
        <v>45985.208333506947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14" x14ac:dyDescent="0.3">
      <c r="A9" s="10">
        <v>45985.250000231485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</row>
    <row r="10" spans="1:14" x14ac:dyDescent="0.3">
      <c r="A10" s="10">
        <v>45985.291666956022</v>
      </c>
      <c r="B10" s="9">
        <v>0.2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14" x14ac:dyDescent="0.3">
      <c r="A11" s="10">
        <v>45985.333333680559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14" x14ac:dyDescent="0.3">
      <c r="A12" s="10">
        <v>45985.375000405096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14" x14ac:dyDescent="0.3">
      <c r="A13" s="10">
        <v>45985.416667129626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14" x14ac:dyDescent="0.3">
      <c r="A14" s="10">
        <v>45985.458333854163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</row>
    <row r="15" spans="1:14" x14ac:dyDescent="0.3">
      <c r="A15" s="10">
        <v>45985.500000578701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14" x14ac:dyDescent="0.3">
      <c r="A16" s="10">
        <v>45985.541667303238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</row>
    <row r="17" spans="1:7" x14ac:dyDescent="0.3">
      <c r="A17" s="10">
        <v>45985.583334027775</v>
      </c>
      <c r="B17" s="9">
        <v>0</v>
      </c>
      <c r="C17" s="9">
        <v>0</v>
      </c>
      <c r="D17" s="9">
        <v>0</v>
      </c>
      <c r="E17" s="9">
        <v>0</v>
      </c>
      <c r="F17" s="9">
        <v>8.1999999999999993</v>
      </c>
      <c r="G17" s="9">
        <v>0</v>
      </c>
    </row>
    <row r="18" spans="1:7" x14ac:dyDescent="0.3">
      <c r="A18" s="10">
        <v>45985.625000752312</v>
      </c>
      <c r="B18" s="9">
        <v>0</v>
      </c>
      <c r="C18" s="9">
        <v>2</v>
      </c>
      <c r="D18" s="9">
        <v>0</v>
      </c>
      <c r="E18" s="9">
        <v>0</v>
      </c>
      <c r="F18" s="9">
        <v>55.8</v>
      </c>
      <c r="G18" s="9">
        <v>5.9</v>
      </c>
    </row>
    <row r="19" spans="1:7" x14ac:dyDescent="0.3">
      <c r="A19" s="10">
        <v>45985.666667476849</v>
      </c>
      <c r="B19" s="9">
        <v>22.8</v>
      </c>
      <c r="C19" s="9">
        <v>1.4</v>
      </c>
      <c r="D19" s="9">
        <v>0</v>
      </c>
      <c r="E19" s="9">
        <v>1.1000000000000001</v>
      </c>
      <c r="F19" s="9">
        <v>3.8</v>
      </c>
      <c r="G19" s="9">
        <v>0.6</v>
      </c>
    </row>
    <row r="20" spans="1:7" x14ac:dyDescent="0.3">
      <c r="A20" s="10">
        <v>45985.708334201387</v>
      </c>
      <c r="B20" s="9">
        <v>1.3</v>
      </c>
      <c r="C20" s="9">
        <v>3.5</v>
      </c>
      <c r="D20" s="9">
        <v>0</v>
      </c>
      <c r="E20" s="9">
        <v>0</v>
      </c>
      <c r="F20" s="9">
        <v>4.4000000000000004</v>
      </c>
      <c r="G20" s="9">
        <v>0.8</v>
      </c>
    </row>
    <row r="21" spans="1:7" x14ac:dyDescent="0.3">
      <c r="A21" s="10">
        <v>45985.750000925924</v>
      </c>
      <c r="B21" s="9">
        <v>2.5</v>
      </c>
      <c r="C21" s="9">
        <v>2</v>
      </c>
      <c r="D21" s="9">
        <v>0</v>
      </c>
      <c r="E21" s="9">
        <v>0.8</v>
      </c>
      <c r="F21" s="9">
        <v>3.7</v>
      </c>
      <c r="G21" s="9">
        <v>2.5</v>
      </c>
    </row>
    <row r="22" spans="1:7" x14ac:dyDescent="0.3">
      <c r="A22" s="10">
        <v>45985.791667650461</v>
      </c>
      <c r="B22" s="9">
        <v>1</v>
      </c>
      <c r="C22" s="9">
        <v>0.7</v>
      </c>
      <c r="D22" s="9">
        <v>0</v>
      </c>
      <c r="E22" s="9">
        <v>4.5</v>
      </c>
      <c r="F22" s="9">
        <v>0</v>
      </c>
      <c r="G22" s="9">
        <v>2.2999999999999998</v>
      </c>
    </row>
    <row r="23" spans="1:7" x14ac:dyDescent="0.3">
      <c r="A23" s="10">
        <v>45985.833334374998</v>
      </c>
      <c r="B23" s="9">
        <v>0</v>
      </c>
      <c r="C23" s="9">
        <v>0</v>
      </c>
      <c r="D23" s="9">
        <v>0</v>
      </c>
      <c r="E23" s="9">
        <v>0.8</v>
      </c>
      <c r="F23" s="9">
        <v>0</v>
      </c>
      <c r="G23" s="9">
        <v>3.3</v>
      </c>
    </row>
    <row r="24" spans="1:7" x14ac:dyDescent="0.3">
      <c r="A24" s="10">
        <v>45985.875001099535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x14ac:dyDescent="0.3">
      <c r="A25" s="10">
        <v>45985.916667824073</v>
      </c>
      <c r="B25" s="9">
        <v>0</v>
      </c>
      <c r="C25" s="9">
        <v>0</v>
      </c>
      <c r="D25" s="9">
        <v>0</v>
      </c>
      <c r="E25" s="9">
        <v>0</v>
      </c>
      <c r="F25" s="9">
        <v>1.1000000000000001</v>
      </c>
      <c r="G25" s="9">
        <v>0</v>
      </c>
    </row>
    <row r="26" spans="1:7" x14ac:dyDescent="0.3">
      <c r="A26" s="10">
        <v>45985.95833454861</v>
      </c>
      <c r="B26" s="9">
        <v>0</v>
      </c>
      <c r="C26" s="9">
        <v>0</v>
      </c>
      <c r="D26" s="9">
        <v>0</v>
      </c>
      <c r="E26" s="9">
        <v>1.1000000000000001</v>
      </c>
      <c r="F26" s="9">
        <v>0.2</v>
      </c>
      <c r="G26" s="9">
        <v>0</v>
      </c>
    </row>
    <row r="27" spans="1:7" x14ac:dyDescent="0.3">
      <c r="A27" s="10">
        <v>45986.000001273147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x14ac:dyDescent="0.3">
      <c r="A28" s="10">
        <v>45986.041667997684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x14ac:dyDescent="0.3">
      <c r="A29" s="10">
        <v>45986.083334722221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x14ac:dyDescent="0.3">
      <c r="A30" s="10">
        <v>45986.125001446759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</row>
    <row r="31" spans="1:7" x14ac:dyDescent="0.3">
      <c r="A31" s="10">
        <v>45986.166668171296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</row>
    <row r="32" spans="1:7" x14ac:dyDescent="0.3">
      <c r="A32" s="10">
        <v>45986.208334895833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x14ac:dyDescent="0.3">
      <c r="A33" s="10">
        <v>45986.250001562497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</row>
    <row r="34" spans="1:7" x14ac:dyDescent="0.3">
      <c r="A34" s="10">
        <v>45986.291668287035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2.1</v>
      </c>
    </row>
    <row r="35" spans="1:7" x14ac:dyDescent="0.3">
      <c r="A35" s="10">
        <v>45986.333335011572</v>
      </c>
      <c r="B35" s="9">
        <v>0</v>
      </c>
      <c r="C35" s="9">
        <v>0</v>
      </c>
      <c r="D35" s="9">
        <v>0</v>
      </c>
      <c r="E35" s="9">
        <v>0</v>
      </c>
      <c r="F35" s="9">
        <v>0.5</v>
      </c>
      <c r="G35" s="9">
        <v>1.1000000000000001</v>
      </c>
    </row>
    <row r="36" spans="1:7" x14ac:dyDescent="0.3">
      <c r="A36" s="10">
        <v>45986.375001736109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</row>
    <row r="37" spans="1:7" x14ac:dyDescent="0.3">
      <c r="A37" s="10">
        <v>45986.416668460646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x14ac:dyDescent="0.3">
      <c r="A38" s="10">
        <v>45986.458335185183</v>
      </c>
      <c r="B38" s="9">
        <v>0</v>
      </c>
      <c r="C38" s="9">
        <v>0</v>
      </c>
      <c r="D38" s="9">
        <v>0.5</v>
      </c>
      <c r="E38" s="9">
        <v>0</v>
      </c>
      <c r="F38" s="9">
        <v>0</v>
      </c>
      <c r="G38" s="9">
        <v>1.7</v>
      </c>
    </row>
    <row r="39" spans="1:7" x14ac:dyDescent="0.3">
      <c r="A39" s="10">
        <v>45986.500001909721</v>
      </c>
      <c r="B39" s="9">
        <v>0</v>
      </c>
      <c r="C39" s="9">
        <v>0.4</v>
      </c>
      <c r="D39" s="9">
        <v>1</v>
      </c>
      <c r="E39" s="9">
        <v>0.3</v>
      </c>
      <c r="F39" s="9">
        <v>0.6</v>
      </c>
      <c r="G39" s="9">
        <v>0.9</v>
      </c>
    </row>
    <row r="40" spans="1:7" x14ac:dyDescent="0.3">
      <c r="A40" s="10">
        <v>45986.541668634258</v>
      </c>
      <c r="B40" s="9">
        <v>0</v>
      </c>
      <c r="C40" s="9">
        <v>0</v>
      </c>
      <c r="D40" s="9">
        <v>0</v>
      </c>
      <c r="E40" s="9">
        <v>0.6</v>
      </c>
      <c r="F40" s="9">
        <v>0</v>
      </c>
      <c r="G40" s="9">
        <v>0</v>
      </c>
    </row>
    <row r="41" spans="1:7" x14ac:dyDescent="0.3">
      <c r="A41" s="10">
        <v>45986.583335358795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x14ac:dyDescent="0.3">
      <c r="A42" s="10">
        <v>45986.625002083332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x14ac:dyDescent="0.3">
      <c r="A43" s="10">
        <v>45986.666668807869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x14ac:dyDescent="0.3">
      <c r="A44" s="10">
        <v>45986.708335532407</v>
      </c>
      <c r="B44" s="9">
        <v>0</v>
      </c>
      <c r="C44" s="9">
        <v>0</v>
      </c>
      <c r="D44" s="9">
        <v>0.5</v>
      </c>
      <c r="E44" s="9">
        <v>0</v>
      </c>
      <c r="F44" s="9">
        <v>0.5</v>
      </c>
      <c r="G44" s="9">
        <v>0</v>
      </c>
    </row>
    <row r="45" spans="1:7" x14ac:dyDescent="0.3">
      <c r="A45" s="10">
        <v>45986.750002256944</v>
      </c>
      <c r="B45" s="9">
        <v>0.5</v>
      </c>
      <c r="C45" s="9">
        <v>1.6</v>
      </c>
      <c r="D45" s="9">
        <v>3</v>
      </c>
      <c r="E45" s="9">
        <v>0</v>
      </c>
      <c r="F45" s="9">
        <v>2.7</v>
      </c>
      <c r="G45" s="9">
        <v>0</v>
      </c>
    </row>
    <row r="46" spans="1:7" x14ac:dyDescent="0.3">
      <c r="A46" s="10">
        <v>45986.791668981481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x14ac:dyDescent="0.3">
      <c r="A47" s="10">
        <v>45986.833335706018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x14ac:dyDescent="0.3">
      <c r="A48" s="10">
        <v>45986.875002430555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x14ac:dyDescent="0.3">
      <c r="A49" s="10">
        <v>45986.916669155093</v>
      </c>
      <c r="B49" s="9">
        <v>0</v>
      </c>
      <c r="C49" s="9">
        <v>0</v>
      </c>
      <c r="D49" s="9">
        <v>0</v>
      </c>
      <c r="E49" s="9">
        <v>0.8</v>
      </c>
      <c r="F49" s="9">
        <v>0</v>
      </c>
      <c r="G49" s="9">
        <v>0.6</v>
      </c>
    </row>
    <row r="50" spans="1:7" x14ac:dyDescent="0.3">
      <c r="A50" s="10">
        <v>45986.95833587963</v>
      </c>
      <c r="B50" s="9">
        <v>0</v>
      </c>
      <c r="C50" s="9">
        <v>0</v>
      </c>
      <c r="D50" s="9">
        <v>0</v>
      </c>
      <c r="E50" s="9">
        <v>0.8</v>
      </c>
      <c r="F50" s="9">
        <v>0</v>
      </c>
      <c r="G50" s="9">
        <v>2.1</v>
      </c>
    </row>
    <row r="51" spans="1:7" x14ac:dyDescent="0.3">
      <c r="A51" s="10">
        <v>45987.000002604167</v>
      </c>
      <c r="B51" s="9">
        <v>0</v>
      </c>
      <c r="C51" s="9">
        <v>1</v>
      </c>
      <c r="D51" s="9">
        <v>5</v>
      </c>
      <c r="E51" s="9">
        <v>0.6</v>
      </c>
      <c r="F51" s="9">
        <v>1.6</v>
      </c>
      <c r="G51" s="9">
        <v>3.1</v>
      </c>
    </row>
    <row r="52" spans="1:7" x14ac:dyDescent="0.3">
      <c r="A52" s="10">
        <v>45987.041669328704</v>
      </c>
      <c r="B52" s="9">
        <v>0</v>
      </c>
      <c r="C52" s="9">
        <v>2.6</v>
      </c>
      <c r="D52" s="9">
        <v>6.1</v>
      </c>
      <c r="E52" s="9">
        <v>7.6</v>
      </c>
      <c r="F52" s="9">
        <v>3.9</v>
      </c>
      <c r="G52" s="9">
        <v>0</v>
      </c>
    </row>
    <row r="53" spans="1:7" x14ac:dyDescent="0.3">
      <c r="A53" s="10">
        <v>45987.083336053242</v>
      </c>
      <c r="B53" s="9">
        <v>2</v>
      </c>
      <c r="C53" s="9">
        <v>2.5</v>
      </c>
      <c r="D53" s="9">
        <v>0</v>
      </c>
      <c r="E53" s="9">
        <v>1.1000000000000001</v>
      </c>
      <c r="F53" s="9">
        <v>2.2999999999999998</v>
      </c>
      <c r="G53" s="9">
        <v>0</v>
      </c>
    </row>
    <row r="54" spans="1:7" x14ac:dyDescent="0.3">
      <c r="A54" s="10">
        <v>45987.125002777779</v>
      </c>
      <c r="B54" s="9">
        <v>0</v>
      </c>
      <c r="C54" s="9">
        <v>2</v>
      </c>
      <c r="D54" s="9">
        <v>0</v>
      </c>
      <c r="E54" s="9">
        <v>0.3</v>
      </c>
      <c r="F54" s="9">
        <v>0.7</v>
      </c>
      <c r="G54" s="9">
        <v>0</v>
      </c>
    </row>
    <row r="55" spans="1:7" x14ac:dyDescent="0.3">
      <c r="A55" s="10">
        <v>45987.166669502316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x14ac:dyDescent="0.3">
      <c r="A56" s="10">
        <v>45987.208336226853</v>
      </c>
      <c r="B56" s="9">
        <v>0</v>
      </c>
      <c r="C56" s="9">
        <v>0</v>
      </c>
      <c r="D56" s="9">
        <v>0</v>
      </c>
      <c r="E56" s="9">
        <v>0</v>
      </c>
      <c r="F56" s="9">
        <v>0.5</v>
      </c>
      <c r="G56" s="9">
        <v>0</v>
      </c>
    </row>
    <row r="57" spans="1:7" x14ac:dyDescent="0.3">
      <c r="A57" s="10">
        <v>45987.25000295139</v>
      </c>
      <c r="B57" s="9">
        <v>0</v>
      </c>
      <c r="C57" s="9">
        <v>1.5</v>
      </c>
      <c r="D57" s="9">
        <v>4.8</v>
      </c>
      <c r="E57" s="9">
        <v>4.8</v>
      </c>
      <c r="F57" s="9">
        <v>1.2</v>
      </c>
      <c r="G57" s="9">
        <v>0</v>
      </c>
    </row>
    <row r="58" spans="1:7" x14ac:dyDescent="0.3">
      <c r="A58" s="10">
        <v>45987.291669675928</v>
      </c>
      <c r="B58" s="9">
        <v>1.2</v>
      </c>
      <c r="C58" s="9">
        <v>2.8</v>
      </c>
      <c r="D58" s="9">
        <v>0</v>
      </c>
      <c r="E58" s="9">
        <v>2.8</v>
      </c>
      <c r="F58" s="9">
        <v>0.7</v>
      </c>
      <c r="G58" s="9">
        <v>0</v>
      </c>
    </row>
    <row r="59" spans="1:7" x14ac:dyDescent="0.3">
      <c r="A59" s="10">
        <v>45987.333336400465</v>
      </c>
      <c r="B59" s="9">
        <v>0.5</v>
      </c>
      <c r="C59" s="9">
        <v>0</v>
      </c>
      <c r="D59" s="9">
        <v>0.5</v>
      </c>
      <c r="E59" s="9">
        <v>0.3</v>
      </c>
      <c r="F59" s="9">
        <v>0</v>
      </c>
      <c r="G59" s="9">
        <v>3.5</v>
      </c>
    </row>
    <row r="60" spans="1:7" x14ac:dyDescent="0.3">
      <c r="A60" s="10">
        <v>45987.375003125002</v>
      </c>
      <c r="B60" s="9">
        <v>0.2</v>
      </c>
      <c r="C60" s="9">
        <v>0.5</v>
      </c>
      <c r="D60" s="9">
        <v>1</v>
      </c>
      <c r="E60" s="9">
        <v>0.9</v>
      </c>
      <c r="F60" s="9">
        <v>0.9</v>
      </c>
      <c r="G60" s="9">
        <v>4.0999999999999996</v>
      </c>
    </row>
    <row r="61" spans="1:7" x14ac:dyDescent="0.3">
      <c r="A61" s="10">
        <v>45987.416669849539</v>
      </c>
      <c r="B61" s="9">
        <v>0.5</v>
      </c>
      <c r="C61" s="9">
        <v>2.5</v>
      </c>
      <c r="D61" s="9">
        <v>4.4000000000000004</v>
      </c>
      <c r="E61" s="9">
        <v>5.6</v>
      </c>
      <c r="F61" s="9">
        <v>2</v>
      </c>
      <c r="G61" s="9">
        <v>0.6</v>
      </c>
    </row>
    <row r="62" spans="1:7" x14ac:dyDescent="0.3">
      <c r="A62" s="10">
        <v>45987.458336574076</v>
      </c>
      <c r="B62" s="9">
        <v>1</v>
      </c>
      <c r="C62" s="9">
        <v>2</v>
      </c>
      <c r="D62" s="9">
        <v>2.5</v>
      </c>
      <c r="E62" s="9">
        <v>4.5</v>
      </c>
      <c r="F62" s="9">
        <v>1.3</v>
      </c>
      <c r="G62" s="9">
        <v>0.4</v>
      </c>
    </row>
    <row r="63" spans="1:7" x14ac:dyDescent="0.3">
      <c r="A63" s="10">
        <v>45987.500003298614</v>
      </c>
      <c r="B63" s="9">
        <v>1</v>
      </c>
      <c r="C63" s="9">
        <v>1.9</v>
      </c>
      <c r="D63" s="9">
        <v>1.3</v>
      </c>
      <c r="E63" s="9">
        <v>5.3</v>
      </c>
      <c r="F63" s="9">
        <v>0.5</v>
      </c>
      <c r="G63" s="9">
        <v>0</v>
      </c>
    </row>
    <row r="64" spans="1:7" x14ac:dyDescent="0.3">
      <c r="A64" s="10">
        <v>45987.541670023151</v>
      </c>
      <c r="B64" s="9">
        <v>0.2</v>
      </c>
      <c r="C64" s="9">
        <v>0</v>
      </c>
      <c r="D64" s="9">
        <v>0</v>
      </c>
      <c r="E64" s="9">
        <v>0.8</v>
      </c>
      <c r="F64" s="9">
        <v>0</v>
      </c>
      <c r="G64" s="9">
        <v>0</v>
      </c>
    </row>
    <row r="65" spans="1:7" x14ac:dyDescent="0.3">
      <c r="A65" s="10">
        <v>45987.583336747688</v>
      </c>
      <c r="B65" s="9">
        <v>0</v>
      </c>
      <c r="C65" s="9">
        <v>0</v>
      </c>
      <c r="D65" s="9">
        <v>0.8</v>
      </c>
      <c r="E65" s="9">
        <v>0.3</v>
      </c>
      <c r="F65" s="9">
        <v>0</v>
      </c>
      <c r="G65" s="9">
        <v>0</v>
      </c>
    </row>
    <row r="66" spans="1:7" x14ac:dyDescent="0.3">
      <c r="A66" s="10">
        <v>45987.625003472225</v>
      </c>
      <c r="B66" s="9">
        <v>0</v>
      </c>
      <c r="C66" s="9">
        <v>1.4</v>
      </c>
      <c r="D66" s="9">
        <v>1.2</v>
      </c>
      <c r="E66" s="9">
        <v>0.6</v>
      </c>
      <c r="F66" s="9">
        <v>2.1</v>
      </c>
      <c r="G66" s="9">
        <v>4.2</v>
      </c>
    </row>
    <row r="67" spans="1:7" x14ac:dyDescent="0.3">
      <c r="A67" s="10">
        <v>45987.666670196762</v>
      </c>
      <c r="B67" s="9">
        <v>1.7</v>
      </c>
      <c r="C67" s="9">
        <v>2.8</v>
      </c>
      <c r="D67" s="9">
        <v>1</v>
      </c>
      <c r="E67" s="9">
        <v>0.6</v>
      </c>
      <c r="F67" s="9">
        <v>1.3</v>
      </c>
      <c r="G67" s="9">
        <v>3.4</v>
      </c>
    </row>
    <row r="68" spans="1:7" x14ac:dyDescent="0.3">
      <c r="A68" s="10">
        <v>45987.7083369213</v>
      </c>
      <c r="B68" s="9">
        <v>1</v>
      </c>
      <c r="C68" s="9">
        <v>0.7</v>
      </c>
      <c r="D68" s="9">
        <v>1.5</v>
      </c>
      <c r="E68" s="9">
        <v>0.8</v>
      </c>
      <c r="F68" s="9">
        <v>1.7</v>
      </c>
      <c r="G68" s="9">
        <v>6.2</v>
      </c>
    </row>
    <row r="69" spans="1:7" x14ac:dyDescent="0.3">
      <c r="A69" s="10">
        <v>45987.750003645837</v>
      </c>
      <c r="B69" s="9">
        <v>0.7</v>
      </c>
      <c r="C69" s="9">
        <v>13.2</v>
      </c>
      <c r="D69" s="9">
        <v>14.7</v>
      </c>
      <c r="E69" s="9">
        <v>19.600000000000001</v>
      </c>
      <c r="F69" s="9">
        <v>11.8</v>
      </c>
      <c r="G69" s="9">
        <v>3.1</v>
      </c>
    </row>
    <row r="70" spans="1:7" x14ac:dyDescent="0.3">
      <c r="A70" s="10">
        <v>45987.791670370367</v>
      </c>
      <c r="B70" s="9">
        <v>0.8</v>
      </c>
      <c r="C70" s="9">
        <v>1</v>
      </c>
      <c r="D70" s="9">
        <v>1.5</v>
      </c>
      <c r="E70" s="9">
        <v>3.1</v>
      </c>
      <c r="F70" s="9">
        <v>2</v>
      </c>
      <c r="G70" s="9">
        <v>1.5</v>
      </c>
    </row>
    <row r="71" spans="1:7" x14ac:dyDescent="0.3">
      <c r="A71" s="10">
        <v>45987.833337094904</v>
      </c>
      <c r="B71" s="9">
        <v>1</v>
      </c>
      <c r="C71" s="9">
        <v>2</v>
      </c>
      <c r="D71" s="9">
        <v>2.1</v>
      </c>
      <c r="E71" s="9">
        <v>4.2</v>
      </c>
      <c r="F71" s="9">
        <v>1.5</v>
      </c>
      <c r="G71" s="9">
        <v>2.1</v>
      </c>
    </row>
    <row r="72" spans="1:7" x14ac:dyDescent="0.3">
      <c r="A72" s="10">
        <v>45987.875003819441</v>
      </c>
      <c r="B72" s="9">
        <v>0.8</v>
      </c>
      <c r="C72" s="9">
        <v>2.2000000000000002</v>
      </c>
      <c r="D72" s="9">
        <v>7.4</v>
      </c>
      <c r="E72" s="9">
        <v>4.5</v>
      </c>
      <c r="F72" s="9">
        <v>4.0999999999999996</v>
      </c>
      <c r="G72" s="9">
        <v>1.3</v>
      </c>
    </row>
    <row r="73" spans="1:7" x14ac:dyDescent="0.3">
      <c r="A73" s="10">
        <v>45987.916670543978</v>
      </c>
      <c r="B73" s="9">
        <v>4.2</v>
      </c>
      <c r="C73" s="9">
        <v>3.8</v>
      </c>
      <c r="D73" s="9">
        <v>7.5</v>
      </c>
      <c r="E73" s="9">
        <v>9.8000000000000007</v>
      </c>
      <c r="F73" s="9">
        <v>4.9000000000000004</v>
      </c>
      <c r="G73" s="9">
        <v>5.9</v>
      </c>
    </row>
    <row r="74" spans="1:7" x14ac:dyDescent="0.3">
      <c r="A74" s="10">
        <v>45987.958337268516</v>
      </c>
      <c r="B74" s="9">
        <v>6.5</v>
      </c>
      <c r="C74" s="9">
        <v>6.3</v>
      </c>
      <c r="D74" s="9">
        <v>10.5</v>
      </c>
      <c r="E74" s="9">
        <v>16.600000000000001</v>
      </c>
      <c r="F74" s="9">
        <v>14.7</v>
      </c>
      <c r="G74" s="9">
        <v>8.5</v>
      </c>
    </row>
    <row r="75" spans="1:7" x14ac:dyDescent="0.3">
      <c r="A75" s="10">
        <v>45988.000003993053</v>
      </c>
      <c r="B75" s="9">
        <v>4</v>
      </c>
      <c r="C75" s="9">
        <v>0.5</v>
      </c>
      <c r="D75" s="9">
        <v>11.3</v>
      </c>
      <c r="E75" s="9">
        <v>11.2</v>
      </c>
      <c r="F75" s="9">
        <v>21.4</v>
      </c>
      <c r="G75" s="9">
        <v>5.4</v>
      </c>
    </row>
    <row r="76" spans="1:7" x14ac:dyDescent="0.3">
      <c r="A76" s="10">
        <v>45988.04167071759</v>
      </c>
      <c r="B76" s="9">
        <v>2.5</v>
      </c>
      <c r="C76" s="9">
        <v>2.2000000000000002</v>
      </c>
      <c r="D76" s="9">
        <v>1.5</v>
      </c>
      <c r="E76" s="9">
        <v>12.9</v>
      </c>
      <c r="F76" s="9">
        <v>5.3</v>
      </c>
      <c r="G76" s="9">
        <v>3.6</v>
      </c>
    </row>
    <row r="77" spans="1:7" x14ac:dyDescent="0.3">
      <c r="A77" s="10">
        <v>45988.083337442127</v>
      </c>
      <c r="B77" s="9">
        <v>2.8</v>
      </c>
      <c r="C77" s="9">
        <v>5</v>
      </c>
      <c r="D77" s="9">
        <v>1.5</v>
      </c>
      <c r="E77" s="9">
        <v>9</v>
      </c>
      <c r="F77" s="9">
        <v>2.2999999999999998</v>
      </c>
      <c r="G77" s="9">
        <v>7.9</v>
      </c>
    </row>
    <row r="78" spans="1:7" x14ac:dyDescent="0.3">
      <c r="A78" s="10">
        <v>45988.125004166664</v>
      </c>
      <c r="B78" s="9">
        <v>7.6</v>
      </c>
      <c r="C78" s="9">
        <v>2</v>
      </c>
      <c r="D78" s="9">
        <v>1</v>
      </c>
      <c r="E78" s="9">
        <v>6.2</v>
      </c>
      <c r="F78" s="9">
        <v>8.5</v>
      </c>
      <c r="G78" s="9">
        <v>8.3000000000000007</v>
      </c>
    </row>
    <row r="79" spans="1:7" x14ac:dyDescent="0.3">
      <c r="A79" s="10">
        <v>45988.166670891202</v>
      </c>
      <c r="B79" s="9">
        <v>2.5</v>
      </c>
      <c r="C79" s="9">
        <v>4.5</v>
      </c>
      <c r="D79" s="9">
        <v>2.2999999999999998</v>
      </c>
      <c r="E79" s="9">
        <v>4.8</v>
      </c>
      <c r="F79" s="9">
        <v>7.2</v>
      </c>
      <c r="G79" s="9">
        <v>4.0999999999999996</v>
      </c>
    </row>
    <row r="80" spans="1:7" x14ac:dyDescent="0.3">
      <c r="A80" s="10">
        <v>45988.208337615739</v>
      </c>
      <c r="B80" s="9">
        <v>1.6</v>
      </c>
      <c r="C80" s="9">
        <v>2.2000000000000002</v>
      </c>
      <c r="D80" s="9">
        <v>0.8</v>
      </c>
      <c r="E80" s="9">
        <v>0.6</v>
      </c>
      <c r="F80" s="9">
        <v>6.3</v>
      </c>
      <c r="G80" s="9">
        <v>0</v>
      </c>
    </row>
    <row r="81" spans="1:7" x14ac:dyDescent="0.3">
      <c r="A81" s="10">
        <v>45988.250004340276</v>
      </c>
      <c r="B81" s="9">
        <v>0.5</v>
      </c>
      <c r="C81" s="9">
        <v>0.3</v>
      </c>
      <c r="D81" s="9">
        <v>12.3</v>
      </c>
      <c r="E81" s="9">
        <v>5.9</v>
      </c>
      <c r="F81" s="9">
        <v>1.6</v>
      </c>
      <c r="G81" s="9">
        <v>3.9</v>
      </c>
    </row>
    <row r="82" spans="1:7" x14ac:dyDescent="0.3">
      <c r="A82" s="10">
        <v>45988.291671064813</v>
      </c>
      <c r="B82" s="9">
        <v>2</v>
      </c>
      <c r="C82" s="9">
        <v>4.8</v>
      </c>
      <c r="D82" s="9">
        <v>8.9</v>
      </c>
      <c r="E82" s="9">
        <v>5.9</v>
      </c>
      <c r="F82" s="9">
        <v>7.9</v>
      </c>
      <c r="G82" s="9">
        <v>6.2</v>
      </c>
    </row>
    <row r="83" spans="1:7" x14ac:dyDescent="0.3">
      <c r="A83" s="10">
        <v>45988.33333778935</v>
      </c>
      <c r="B83" s="9">
        <v>2.9</v>
      </c>
      <c r="C83" s="9">
        <v>5.6</v>
      </c>
      <c r="D83" s="9">
        <v>8</v>
      </c>
      <c r="E83" s="9">
        <v>7.6</v>
      </c>
      <c r="F83" s="9">
        <v>16.100000000000001</v>
      </c>
      <c r="G83" s="9">
        <v>7.1</v>
      </c>
    </row>
    <row r="84" spans="1:7" x14ac:dyDescent="0.3">
      <c r="A84" s="10">
        <v>45988.375004513888</v>
      </c>
      <c r="B84" s="9">
        <v>4</v>
      </c>
      <c r="C84" s="9">
        <v>1.8</v>
      </c>
      <c r="D84" s="9">
        <v>5</v>
      </c>
      <c r="E84" s="9">
        <v>2.5</v>
      </c>
      <c r="F84" s="9">
        <v>9.6</v>
      </c>
      <c r="G84" s="9">
        <v>8.9</v>
      </c>
    </row>
    <row r="85" spans="1:7" x14ac:dyDescent="0.3">
      <c r="A85" s="10">
        <v>45988.416671238425</v>
      </c>
      <c r="B85" s="9">
        <v>3</v>
      </c>
      <c r="C85" s="9">
        <v>4.5999999999999996</v>
      </c>
      <c r="D85" s="9">
        <v>3.8</v>
      </c>
      <c r="E85" s="9">
        <v>0.8</v>
      </c>
      <c r="F85" s="9">
        <v>7</v>
      </c>
      <c r="G85" s="9">
        <v>4.8</v>
      </c>
    </row>
    <row r="86" spans="1:7" x14ac:dyDescent="0.3">
      <c r="A86" s="10">
        <v>45988.458337905089</v>
      </c>
      <c r="B86" s="9">
        <v>2</v>
      </c>
      <c r="C86" s="9">
        <v>1.4</v>
      </c>
      <c r="D86" s="9">
        <v>3.2</v>
      </c>
      <c r="E86" s="9">
        <v>3.1</v>
      </c>
      <c r="F86" s="9">
        <v>6.1</v>
      </c>
      <c r="G86" s="9">
        <v>3.2</v>
      </c>
    </row>
    <row r="87" spans="1:7" x14ac:dyDescent="0.3">
      <c r="A87" s="10">
        <v>45988.500004513888</v>
      </c>
      <c r="B87" s="9">
        <v>2.5</v>
      </c>
      <c r="C87" s="9">
        <v>3.1</v>
      </c>
      <c r="D87" s="9">
        <v>2.5</v>
      </c>
      <c r="E87" s="9">
        <v>3.6</v>
      </c>
      <c r="F87" s="9">
        <v>7.1</v>
      </c>
      <c r="G87" s="9">
        <v>1.2</v>
      </c>
    </row>
    <row r="88" spans="1:7" x14ac:dyDescent="0.3">
      <c r="A88" s="10">
        <v>45988.541671180552</v>
      </c>
      <c r="B88" s="9">
        <v>1.8</v>
      </c>
      <c r="C88" s="9">
        <v>1.6</v>
      </c>
      <c r="D88" s="9">
        <v>0.5</v>
      </c>
      <c r="E88" s="9">
        <v>0.8</v>
      </c>
      <c r="F88" s="9">
        <v>2.9</v>
      </c>
      <c r="G88" s="9">
        <v>0.4</v>
      </c>
    </row>
    <row r="89" spans="1:7" x14ac:dyDescent="0.3">
      <c r="A89" s="10">
        <v>45988.583337847223</v>
      </c>
      <c r="B89" s="9">
        <v>0.7</v>
      </c>
      <c r="C89" s="9">
        <v>0.5</v>
      </c>
      <c r="D89" s="9">
        <v>1.2</v>
      </c>
      <c r="E89" s="9">
        <v>0.6</v>
      </c>
      <c r="F89" s="9">
        <v>1.4</v>
      </c>
      <c r="G89" s="9">
        <v>0</v>
      </c>
    </row>
    <row r="90" spans="1:7" x14ac:dyDescent="0.3">
      <c r="A90" s="10">
        <v>45988.625004513888</v>
      </c>
      <c r="B90" s="9">
        <v>0</v>
      </c>
      <c r="C90" s="9">
        <v>1.1000000000000001</v>
      </c>
      <c r="D90" s="9">
        <v>6.5</v>
      </c>
      <c r="E90" s="9">
        <v>5.9</v>
      </c>
      <c r="F90" s="9">
        <v>4</v>
      </c>
      <c r="G90" s="9">
        <v>3.1</v>
      </c>
    </row>
    <row r="91" spans="1:7" x14ac:dyDescent="0.3">
      <c r="A91" s="10">
        <v>45988.666671180552</v>
      </c>
      <c r="B91" s="9">
        <v>1.2</v>
      </c>
      <c r="C91" s="9">
        <v>4.2</v>
      </c>
      <c r="D91" s="9">
        <v>12</v>
      </c>
      <c r="E91" s="9">
        <v>5</v>
      </c>
      <c r="F91" s="9">
        <v>8.1</v>
      </c>
      <c r="G91" s="9">
        <v>30.2</v>
      </c>
    </row>
    <row r="92" spans="1:7" x14ac:dyDescent="0.3">
      <c r="A92" s="10">
        <v>45988.708337847223</v>
      </c>
      <c r="B92" s="9">
        <v>2</v>
      </c>
      <c r="C92" s="9">
        <v>1</v>
      </c>
      <c r="D92" s="9">
        <v>10</v>
      </c>
      <c r="E92" s="9">
        <v>5.9</v>
      </c>
      <c r="F92" s="9">
        <v>9.6999999999999993</v>
      </c>
      <c r="G92" s="9">
        <v>11</v>
      </c>
    </row>
    <row r="93" spans="1:7" x14ac:dyDescent="0.3">
      <c r="A93" s="10">
        <v>45988.750004513888</v>
      </c>
      <c r="B93" s="9">
        <v>0.5</v>
      </c>
      <c r="C93" s="9">
        <v>5</v>
      </c>
      <c r="D93" s="9">
        <v>7.5</v>
      </c>
      <c r="E93" s="9">
        <v>8.4</v>
      </c>
      <c r="F93" s="9">
        <v>7.8</v>
      </c>
      <c r="G93" s="9">
        <v>8.9</v>
      </c>
    </row>
    <row r="94" spans="1:7" x14ac:dyDescent="0.3">
      <c r="A94" s="10">
        <v>45988.791671180552</v>
      </c>
      <c r="B94" s="9">
        <v>4</v>
      </c>
      <c r="C94" s="9">
        <v>8</v>
      </c>
      <c r="D94" s="9">
        <v>7.2</v>
      </c>
      <c r="E94" s="9">
        <v>6.4</v>
      </c>
      <c r="F94" s="9">
        <v>13.4</v>
      </c>
      <c r="G94" s="9">
        <v>6.7</v>
      </c>
    </row>
    <row r="95" spans="1:7" x14ac:dyDescent="0.3">
      <c r="A95" s="10">
        <v>45988.83333778935</v>
      </c>
      <c r="B95" s="9">
        <v>6.8</v>
      </c>
      <c r="C95" s="9">
        <v>7.5</v>
      </c>
      <c r="D95" s="9">
        <v>21.2</v>
      </c>
      <c r="E95" s="9">
        <v>14.3</v>
      </c>
      <c r="F95" s="9">
        <v>11.1</v>
      </c>
      <c r="G95" s="9">
        <v>5.8</v>
      </c>
    </row>
    <row r="96" spans="1:7" x14ac:dyDescent="0.3">
      <c r="A96" s="10">
        <v>45988.875004456022</v>
      </c>
      <c r="B96" s="9">
        <v>5.7</v>
      </c>
      <c r="C96" s="9">
        <v>6.6</v>
      </c>
      <c r="D96" s="9">
        <v>7.3</v>
      </c>
      <c r="E96" s="9">
        <v>9.8000000000000007</v>
      </c>
      <c r="F96" s="9">
        <v>22.9</v>
      </c>
      <c r="G96" s="9">
        <v>14.5</v>
      </c>
    </row>
    <row r="97" spans="1:7" x14ac:dyDescent="0.3">
      <c r="A97" s="10">
        <v>45988.916671122686</v>
      </c>
      <c r="B97" s="9">
        <v>3.7</v>
      </c>
      <c r="C97" s="9">
        <v>9.3000000000000007</v>
      </c>
      <c r="D97" s="9">
        <v>16.7</v>
      </c>
      <c r="E97" s="9">
        <v>10.9</v>
      </c>
      <c r="F97" s="9">
        <v>6.8</v>
      </c>
      <c r="G97" s="9">
        <v>8.5</v>
      </c>
    </row>
    <row r="98" spans="1:7" x14ac:dyDescent="0.3">
      <c r="A98" s="10">
        <v>45988.95833778935</v>
      </c>
      <c r="B98" s="9">
        <v>2.5</v>
      </c>
      <c r="C98" s="9">
        <v>9.1999999999999993</v>
      </c>
      <c r="D98" s="9">
        <v>12.2</v>
      </c>
      <c r="E98" s="9">
        <v>19</v>
      </c>
      <c r="F98" s="9">
        <v>12.4</v>
      </c>
      <c r="G98" s="9">
        <v>2.6</v>
      </c>
    </row>
    <row r="99" spans="1:7" x14ac:dyDescent="0.3">
      <c r="A99" s="10">
        <v>45989.000004456022</v>
      </c>
      <c r="B99" s="9">
        <v>12.4</v>
      </c>
      <c r="C99" s="9">
        <v>17.5</v>
      </c>
      <c r="D99" s="9">
        <v>28</v>
      </c>
      <c r="E99" s="9">
        <v>13.2</v>
      </c>
      <c r="F99" s="9">
        <v>22.2</v>
      </c>
      <c r="G99" s="9">
        <v>21.2</v>
      </c>
    </row>
    <row r="100" spans="1:7" x14ac:dyDescent="0.3">
      <c r="A100" s="10">
        <v>45989.041671122686</v>
      </c>
      <c r="B100" s="9">
        <v>16</v>
      </c>
      <c r="C100" s="9">
        <v>16.5</v>
      </c>
      <c r="D100" s="9">
        <v>16</v>
      </c>
      <c r="E100" s="9">
        <v>4.8</v>
      </c>
      <c r="F100" s="9">
        <v>14.3</v>
      </c>
      <c r="G100" s="9">
        <v>4.5</v>
      </c>
    </row>
    <row r="101" spans="1:7" x14ac:dyDescent="0.3">
      <c r="A101" s="10">
        <v>45989.08333778935</v>
      </c>
      <c r="B101" s="9">
        <v>12.4</v>
      </c>
      <c r="C101" s="9">
        <v>10.5</v>
      </c>
      <c r="D101" s="9">
        <v>17</v>
      </c>
      <c r="E101" s="9">
        <v>10.1</v>
      </c>
      <c r="F101" s="9">
        <v>7.7</v>
      </c>
      <c r="G101" s="9">
        <v>2.1</v>
      </c>
    </row>
    <row r="102" spans="1:7" x14ac:dyDescent="0.3">
      <c r="A102" s="10">
        <v>45989.125004456022</v>
      </c>
      <c r="B102" s="9">
        <v>12.1</v>
      </c>
      <c r="C102" s="9">
        <v>7</v>
      </c>
      <c r="D102" s="9">
        <v>15.5</v>
      </c>
      <c r="E102" s="9">
        <v>5.6</v>
      </c>
      <c r="F102" s="9">
        <v>12.9</v>
      </c>
      <c r="G102" s="9">
        <v>2</v>
      </c>
    </row>
    <row r="103" spans="1:7" x14ac:dyDescent="0.3">
      <c r="A103" s="10">
        <v>45989.166671122686</v>
      </c>
      <c r="B103" s="9">
        <v>28.7</v>
      </c>
      <c r="C103" s="9">
        <v>11.5</v>
      </c>
      <c r="D103" s="9">
        <v>7</v>
      </c>
      <c r="E103" s="9">
        <v>4.5</v>
      </c>
      <c r="F103" s="9">
        <v>9.1</v>
      </c>
      <c r="G103" s="9">
        <v>3.2</v>
      </c>
    </row>
    <row r="104" spans="1:7" x14ac:dyDescent="0.3">
      <c r="A104" s="10">
        <v>45989.20833778935</v>
      </c>
      <c r="B104" s="9">
        <v>13</v>
      </c>
      <c r="C104" s="9">
        <v>16.2</v>
      </c>
      <c r="D104" s="9">
        <v>5</v>
      </c>
      <c r="E104" s="9">
        <v>0.6</v>
      </c>
      <c r="F104" s="9">
        <v>10</v>
      </c>
      <c r="G104" s="9">
        <v>17.399999999999999</v>
      </c>
    </row>
    <row r="105" spans="1:7" x14ac:dyDescent="0.3">
      <c r="A105" s="10">
        <v>45989.250004456022</v>
      </c>
      <c r="B105" s="9">
        <v>9</v>
      </c>
      <c r="C105" s="9">
        <v>16.5</v>
      </c>
      <c r="D105" s="9">
        <v>9.1999999999999993</v>
      </c>
      <c r="E105" s="9">
        <v>2.2000000000000002</v>
      </c>
      <c r="F105" s="9">
        <v>8.9</v>
      </c>
      <c r="G105" s="9">
        <v>4.5</v>
      </c>
    </row>
    <row r="106" spans="1:7" x14ac:dyDescent="0.3">
      <c r="A106" s="10">
        <v>45989.291671122686</v>
      </c>
      <c r="B106" s="9">
        <v>17.899999999999999</v>
      </c>
      <c r="C106" s="9">
        <v>14</v>
      </c>
      <c r="D106" s="9">
        <v>7</v>
      </c>
      <c r="E106" s="9">
        <v>4.8</v>
      </c>
      <c r="F106" s="9">
        <v>11.4</v>
      </c>
      <c r="G106" s="9">
        <v>4.2</v>
      </c>
    </row>
    <row r="107" spans="1:7" x14ac:dyDescent="0.3">
      <c r="A107" s="10">
        <v>45989.33333778935</v>
      </c>
      <c r="B107" s="9">
        <v>25</v>
      </c>
      <c r="C107" s="9">
        <v>2.9</v>
      </c>
      <c r="D107" s="9">
        <v>7.3</v>
      </c>
      <c r="E107" s="9">
        <v>10.6</v>
      </c>
      <c r="F107" s="9">
        <v>15.1</v>
      </c>
      <c r="G107" s="9">
        <v>2.6</v>
      </c>
    </row>
    <row r="108" spans="1:7" x14ac:dyDescent="0.3">
      <c r="A108" s="10">
        <v>45989.375004456022</v>
      </c>
      <c r="B108" s="9">
        <v>12.6</v>
      </c>
      <c r="C108" s="9">
        <v>32.4</v>
      </c>
      <c r="D108" s="9">
        <v>21.5</v>
      </c>
      <c r="E108" s="9">
        <v>14.6</v>
      </c>
      <c r="F108" s="9">
        <v>22.9</v>
      </c>
      <c r="G108" s="9">
        <v>1</v>
      </c>
    </row>
    <row r="109" spans="1:7" x14ac:dyDescent="0.3">
      <c r="A109" s="10">
        <v>45989.416671122686</v>
      </c>
      <c r="B109" s="9">
        <v>8.1</v>
      </c>
      <c r="C109" s="9">
        <v>17.3</v>
      </c>
      <c r="D109" s="9">
        <v>30.5</v>
      </c>
      <c r="E109" s="9">
        <v>14</v>
      </c>
      <c r="F109" s="9">
        <v>27</v>
      </c>
      <c r="G109" s="9">
        <v>4.8</v>
      </c>
    </row>
    <row r="110" spans="1:7" x14ac:dyDescent="0.3">
      <c r="A110" s="10">
        <v>45989.45833778935</v>
      </c>
      <c r="B110" s="9">
        <v>4</v>
      </c>
      <c r="C110" s="9">
        <v>8</v>
      </c>
      <c r="D110" s="9">
        <v>17.399999999999999</v>
      </c>
      <c r="E110" s="9">
        <v>5.9</v>
      </c>
      <c r="F110" s="9">
        <v>11.1</v>
      </c>
      <c r="G110" s="9">
        <v>23.2</v>
      </c>
    </row>
    <row r="111" spans="1:7" x14ac:dyDescent="0.3">
      <c r="A111" s="10">
        <v>45989.500004456022</v>
      </c>
      <c r="B111" s="9">
        <v>6.4</v>
      </c>
      <c r="C111" s="9">
        <v>11.3</v>
      </c>
      <c r="D111" s="9">
        <v>22</v>
      </c>
      <c r="E111" s="9">
        <v>5.9</v>
      </c>
      <c r="F111" s="9">
        <v>8.1999999999999993</v>
      </c>
      <c r="G111" s="9">
        <v>15.8</v>
      </c>
    </row>
    <row r="112" spans="1:7" x14ac:dyDescent="0.3">
      <c r="A112" s="10">
        <v>45989.541671122686</v>
      </c>
      <c r="B112" s="9">
        <v>3.4</v>
      </c>
      <c r="C112" s="9">
        <v>15.8</v>
      </c>
      <c r="D112" s="9">
        <v>27.5</v>
      </c>
      <c r="E112" s="9">
        <v>5</v>
      </c>
      <c r="F112" s="9">
        <v>10.5</v>
      </c>
      <c r="G112" s="9">
        <v>3.1</v>
      </c>
    </row>
    <row r="113" spans="1:7" x14ac:dyDescent="0.3">
      <c r="A113" s="10">
        <v>45989.58333778935</v>
      </c>
      <c r="B113" s="9">
        <v>1.5</v>
      </c>
      <c r="C113" s="9">
        <v>4.5999999999999996</v>
      </c>
      <c r="D113" s="9">
        <v>15</v>
      </c>
      <c r="E113" s="9">
        <v>11.8</v>
      </c>
      <c r="F113" s="9">
        <v>6.4</v>
      </c>
      <c r="G113" s="9">
        <v>0</v>
      </c>
    </row>
    <row r="114" spans="1:7" x14ac:dyDescent="0.3">
      <c r="A114" s="10">
        <v>45989.625004456022</v>
      </c>
      <c r="B114" s="9">
        <v>2</v>
      </c>
      <c r="C114" s="9">
        <v>5.8</v>
      </c>
      <c r="D114" s="9">
        <v>4.2</v>
      </c>
      <c r="E114" s="9">
        <v>12</v>
      </c>
      <c r="F114" s="9">
        <v>1.4</v>
      </c>
      <c r="G114" s="9">
        <v>0</v>
      </c>
    </row>
    <row r="115" spans="1:7" x14ac:dyDescent="0.3">
      <c r="A115" s="10">
        <v>45989.666671122686</v>
      </c>
      <c r="B115" s="9">
        <v>3.5</v>
      </c>
      <c r="C115" s="9">
        <v>7.2</v>
      </c>
      <c r="D115" s="9">
        <v>7.3</v>
      </c>
      <c r="E115" s="9">
        <v>14</v>
      </c>
      <c r="F115" s="9">
        <v>2.5</v>
      </c>
      <c r="G115" s="9">
        <v>1.6</v>
      </c>
    </row>
    <row r="116" spans="1:7" x14ac:dyDescent="0.3">
      <c r="A116" s="10">
        <v>45989.70833778935</v>
      </c>
      <c r="B116" s="9">
        <v>2.6</v>
      </c>
      <c r="C116" s="9">
        <v>3.8</v>
      </c>
      <c r="D116" s="9">
        <v>7.9</v>
      </c>
      <c r="E116" s="9">
        <v>14</v>
      </c>
      <c r="F116" s="9">
        <v>4.9000000000000004</v>
      </c>
      <c r="G116" s="9">
        <v>3.2</v>
      </c>
    </row>
    <row r="117" spans="1:7" x14ac:dyDescent="0.3">
      <c r="A117" s="10">
        <v>45989.750004456022</v>
      </c>
      <c r="B117" s="9">
        <v>0</v>
      </c>
      <c r="C117" s="9">
        <v>3.5</v>
      </c>
      <c r="D117" s="9">
        <v>3.5</v>
      </c>
      <c r="E117" s="9">
        <v>10.9</v>
      </c>
      <c r="F117" s="9">
        <v>1</v>
      </c>
      <c r="G117" s="9">
        <v>0.8</v>
      </c>
    </row>
    <row r="118" spans="1:7" x14ac:dyDescent="0.3">
      <c r="A118" s="10">
        <v>45989.791671122686</v>
      </c>
      <c r="B118" s="9">
        <v>1.5</v>
      </c>
      <c r="C118" s="9">
        <v>3.5</v>
      </c>
      <c r="D118" s="9">
        <v>2</v>
      </c>
      <c r="E118" s="9">
        <v>6.4</v>
      </c>
      <c r="F118" s="9">
        <v>1.5</v>
      </c>
      <c r="G118" s="9">
        <v>1</v>
      </c>
    </row>
    <row r="119" spans="1:7" x14ac:dyDescent="0.3">
      <c r="A119" s="10">
        <v>45989.83333778935</v>
      </c>
      <c r="B119" s="9">
        <v>2.6</v>
      </c>
      <c r="C119" s="9">
        <v>3.5</v>
      </c>
      <c r="D119" s="9">
        <v>1</v>
      </c>
      <c r="E119" s="9">
        <v>17.100000000000001</v>
      </c>
      <c r="F119" s="9">
        <v>1</v>
      </c>
      <c r="G119" s="9">
        <v>0</v>
      </c>
    </row>
    <row r="120" spans="1:7" x14ac:dyDescent="0.3">
      <c r="A120" s="10">
        <v>45989.875004456022</v>
      </c>
      <c r="B120" s="9">
        <v>2.5</v>
      </c>
      <c r="C120" s="9">
        <v>4.5</v>
      </c>
      <c r="D120" s="9">
        <v>1.2</v>
      </c>
      <c r="E120" s="9">
        <v>10.6</v>
      </c>
      <c r="F120" s="9">
        <v>1</v>
      </c>
      <c r="G120" s="9">
        <v>0</v>
      </c>
    </row>
    <row r="121" spans="1:7" x14ac:dyDescent="0.3">
      <c r="A121" s="10">
        <v>45989.916671122686</v>
      </c>
      <c r="B121" s="9">
        <v>0</v>
      </c>
      <c r="C121" s="9">
        <v>0.5</v>
      </c>
      <c r="D121" s="9">
        <v>1.5</v>
      </c>
      <c r="E121" s="9">
        <v>5</v>
      </c>
      <c r="F121" s="9">
        <v>0.5</v>
      </c>
      <c r="G121" s="9">
        <v>0</v>
      </c>
    </row>
    <row r="122" spans="1:7" x14ac:dyDescent="0.3">
      <c r="A122" s="10">
        <v>45989.95833778935</v>
      </c>
      <c r="B122" s="9">
        <v>0</v>
      </c>
      <c r="C122" s="9">
        <v>0.5</v>
      </c>
      <c r="D122" s="9">
        <v>1.3</v>
      </c>
      <c r="E122" s="9">
        <v>3.9</v>
      </c>
      <c r="F122" s="9">
        <v>0</v>
      </c>
      <c r="G122" s="9">
        <v>0</v>
      </c>
    </row>
    <row r="123" spans="1:7" x14ac:dyDescent="0.3">
      <c r="A123" s="10">
        <v>45990.000004456022</v>
      </c>
      <c r="B123" s="9">
        <v>0</v>
      </c>
      <c r="C123" s="9">
        <v>0</v>
      </c>
      <c r="D123" s="9">
        <v>0.5</v>
      </c>
      <c r="E123" s="9">
        <v>3.9</v>
      </c>
      <c r="F123" s="9">
        <v>0.9</v>
      </c>
      <c r="G123" s="9">
        <v>0</v>
      </c>
    </row>
    <row r="124" spans="1:7" x14ac:dyDescent="0.3">
      <c r="A124" s="10">
        <v>45990.041671122686</v>
      </c>
      <c r="B124" s="9">
        <v>0</v>
      </c>
      <c r="C124" s="9">
        <v>0</v>
      </c>
      <c r="D124" s="9">
        <v>0</v>
      </c>
      <c r="E124" s="9">
        <v>2.8</v>
      </c>
      <c r="F124" s="9">
        <v>0</v>
      </c>
      <c r="G124" s="9">
        <v>0</v>
      </c>
    </row>
    <row r="125" spans="1:7" x14ac:dyDescent="0.3">
      <c r="A125" s="10">
        <v>45990.08333778935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</row>
    <row r="126" spans="1:7" x14ac:dyDescent="0.3">
      <c r="A126" s="10">
        <v>45990.125004456022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</row>
    <row r="127" spans="1:7" x14ac:dyDescent="0.3">
      <c r="A127" s="10">
        <v>45990.166671122686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</row>
    <row r="128" spans="1:7" x14ac:dyDescent="0.3">
      <c r="A128" s="10">
        <v>45990.20833778935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</row>
    <row r="129" spans="1:7" x14ac:dyDescent="0.3">
      <c r="A129" s="10">
        <v>45990.250004456022</v>
      </c>
      <c r="B129" s="9">
        <v>0</v>
      </c>
      <c r="C129" s="9">
        <v>1.8</v>
      </c>
      <c r="D129" s="9">
        <v>4</v>
      </c>
      <c r="E129" s="9">
        <v>0.6</v>
      </c>
      <c r="F129" s="9">
        <v>2.1</v>
      </c>
      <c r="G129" s="9">
        <v>0</v>
      </c>
    </row>
    <row r="130" spans="1:7" x14ac:dyDescent="0.3">
      <c r="A130" s="10">
        <v>45990.291671122686</v>
      </c>
      <c r="B130" s="9">
        <v>0</v>
      </c>
      <c r="C130" s="9">
        <v>0</v>
      </c>
      <c r="D130" s="9">
        <v>0.5</v>
      </c>
      <c r="E130" s="9">
        <v>0.6</v>
      </c>
      <c r="F130" s="9">
        <v>0.5</v>
      </c>
      <c r="G130" s="9">
        <v>0</v>
      </c>
    </row>
    <row r="131" spans="1:7" x14ac:dyDescent="0.3">
      <c r="A131" s="10">
        <v>45990.33333778935</v>
      </c>
      <c r="B131" s="9">
        <v>0</v>
      </c>
      <c r="C131" s="9">
        <v>0</v>
      </c>
      <c r="D131" s="9">
        <v>0</v>
      </c>
      <c r="E131" s="9">
        <v>0.6</v>
      </c>
      <c r="F131" s="9">
        <v>0</v>
      </c>
      <c r="G131" s="9">
        <v>0</v>
      </c>
    </row>
    <row r="132" spans="1:7" x14ac:dyDescent="0.3">
      <c r="A132" s="10">
        <v>45990.375004456022</v>
      </c>
      <c r="B132" s="9">
        <v>0</v>
      </c>
      <c r="C132" s="9">
        <v>0</v>
      </c>
      <c r="D132" s="9">
        <v>1</v>
      </c>
      <c r="E132" s="9">
        <v>0.3</v>
      </c>
      <c r="F132" s="9">
        <v>0</v>
      </c>
      <c r="G132" s="9">
        <v>0.6</v>
      </c>
    </row>
    <row r="133" spans="1:7" x14ac:dyDescent="0.3">
      <c r="A133" s="10">
        <v>45990.416671122686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</row>
    <row r="134" spans="1:7" x14ac:dyDescent="0.3">
      <c r="A134" s="10">
        <v>45990.45833778935</v>
      </c>
      <c r="B134" s="9">
        <v>0</v>
      </c>
      <c r="C134" s="9">
        <v>0</v>
      </c>
      <c r="D134" s="9">
        <v>0</v>
      </c>
      <c r="E134" s="9">
        <v>0</v>
      </c>
      <c r="F134" s="9">
        <v>0.5</v>
      </c>
      <c r="G134" s="9">
        <v>0.5</v>
      </c>
    </row>
    <row r="135" spans="1:7" x14ac:dyDescent="0.3">
      <c r="A135" s="10">
        <v>45990.500004456022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</row>
    <row r="136" spans="1:7" x14ac:dyDescent="0.3">
      <c r="A136" s="10">
        <v>45990.541671122686</v>
      </c>
      <c r="B136" s="9">
        <v>0</v>
      </c>
      <c r="C136" s="9">
        <v>0</v>
      </c>
      <c r="D136" s="9">
        <v>1</v>
      </c>
      <c r="E136" s="9">
        <v>0</v>
      </c>
      <c r="F136" s="9">
        <v>0.2</v>
      </c>
      <c r="G136" s="9">
        <v>0</v>
      </c>
    </row>
    <row r="137" spans="1:7" x14ac:dyDescent="0.3">
      <c r="A137" s="10">
        <v>45990.58333778935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</row>
    <row r="138" spans="1:7" x14ac:dyDescent="0.3">
      <c r="A138" s="10">
        <v>45990.625004456022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</row>
    <row r="139" spans="1:7" x14ac:dyDescent="0.3">
      <c r="A139" s="10">
        <v>45990.666671122686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</row>
    <row r="140" spans="1:7" x14ac:dyDescent="0.3">
      <c r="A140" s="10">
        <v>45990.70833778935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</row>
    <row r="141" spans="1:7" x14ac:dyDescent="0.3">
      <c r="A141" s="10">
        <v>45990.750004456022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</row>
    <row r="142" spans="1:7" x14ac:dyDescent="0.3">
      <c r="A142" s="10">
        <v>45990.791671122686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1.2</v>
      </c>
    </row>
    <row r="143" spans="1:7" x14ac:dyDescent="0.3">
      <c r="A143" s="10">
        <v>45990.83333778935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</row>
    <row r="144" spans="1:7" x14ac:dyDescent="0.3">
      <c r="A144" s="10">
        <v>45990.875004456022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</row>
    <row r="145" spans="1:7" x14ac:dyDescent="0.3">
      <c r="A145" s="10">
        <v>45990.916671122686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</row>
    <row r="146" spans="1:7" x14ac:dyDescent="0.3">
      <c r="A146" s="10">
        <v>45990.95833778935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</row>
    <row r="147" spans="1:7" x14ac:dyDescent="0.3">
      <c r="A147" s="10">
        <v>45991.000004456022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</row>
    <row r="148" spans="1:7" x14ac:dyDescent="0.3">
      <c r="A148" s="10">
        <v>45991.041671122686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</row>
    <row r="149" spans="1:7" x14ac:dyDescent="0.3">
      <c r="A149" s="10">
        <v>45991.08333778935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</row>
    <row r="150" spans="1:7" x14ac:dyDescent="0.3">
      <c r="A150" s="10">
        <v>45991.125004456022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</row>
    <row r="151" spans="1:7" x14ac:dyDescent="0.3">
      <c r="A151" s="10">
        <v>45991.166671122686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</row>
    <row r="152" spans="1:7" x14ac:dyDescent="0.3">
      <c r="A152" s="10">
        <v>45991.20833778935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</row>
    <row r="153" spans="1:7" x14ac:dyDescent="0.3">
      <c r="A153" s="10">
        <v>45991.250004456022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</row>
    <row r="154" spans="1:7" x14ac:dyDescent="0.3">
      <c r="A154" s="10">
        <v>45991.291671122686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</row>
    <row r="155" spans="1:7" x14ac:dyDescent="0.3">
      <c r="A155" s="10">
        <v>45991.33333778935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</row>
    <row r="156" spans="1:7" x14ac:dyDescent="0.3">
      <c r="A156" s="10">
        <v>45991.375004456022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</row>
    <row r="157" spans="1:7" x14ac:dyDescent="0.3">
      <c r="A157" s="10">
        <v>45991.416671122686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</row>
    <row r="158" spans="1:7" x14ac:dyDescent="0.3">
      <c r="A158" s="10">
        <v>45991.45833778935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</row>
    <row r="159" spans="1:7" x14ac:dyDescent="0.3">
      <c r="A159" s="10">
        <v>45991.500004456022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</row>
    <row r="160" spans="1:7" x14ac:dyDescent="0.3">
      <c r="A160" s="10">
        <v>45991.541671122686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</row>
    <row r="161" spans="1:7" x14ac:dyDescent="0.3">
      <c r="A161" s="10">
        <v>45991.58333778935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</row>
    <row r="162" spans="1:7" x14ac:dyDescent="0.3">
      <c r="A162" s="10">
        <v>45991.625004456022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</row>
    <row r="163" spans="1:7" x14ac:dyDescent="0.3">
      <c r="A163" s="10">
        <v>45991.666671122686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</row>
    <row r="164" spans="1:7" x14ac:dyDescent="0.3">
      <c r="A164" s="10">
        <v>45991.70833778935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</row>
    <row r="165" spans="1:7" x14ac:dyDescent="0.3">
      <c r="A165" s="10">
        <v>45991.750004456022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</row>
    <row r="166" spans="1:7" x14ac:dyDescent="0.3">
      <c r="A166" s="10">
        <v>45991.791671122686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</row>
    <row r="167" spans="1:7" x14ac:dyDescent="0.3">
      <c r="A167" s="10">
        <v>45991.83333778935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</row>
    <row r="168" spans="1:7" x14ac:dyDescent="0.3">
      <c r="A168" s="10">
        <v>45991.875004456022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</row>
    <row r="169" spans="1:7" x14ac:dyDescent="0.3">
      <c r="A169" s="10">
        <v>45991.916671122686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</row>
    <row r="170" spans="1:7" x14ac:dyDescent="0.3">
      <c r="A170" s="10">
        <v>45991.95833778935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</row>
    <row r="171" spans="1:7" x14ac:dyDescent="0.3">
      <c r="A171" s="10">
        <v>45992.000004456022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</row>
    <row r="172" spans="1:7" x14ac:dyDescent="0.3">
      <c r="A172" s="10">
        <v>45992.041671122686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</row>
    <row r="173" spans="1:7" x14ac:dyDescent="0.3">
      <c r="A173" s="10">
        <v>45992.08333778935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</row>
    <row r="174" spans="1:7" x14ac:dyDescent="0.3">
      <c r="A174" s="10">
        <v>45992.125004456022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</row>
    <row r="175" spans="1:7" x14ac:dyDescent="0.3">
      <c r="A175" s="10">
        <v>45992.166671122686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</row>
    <row r="176" spans="1:7" x14ac:dyDescent="0.3">
      <c r="A176" s="10">
        <v>45992.20833778935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</row>
    <row r="177" spans="1:7" x14ac:dyDescent="0.3">
      <c r="A177" s="10">
        <v>45992.250004456022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</row>
    <row r="178" spans="1:7" x14ac:dyDescent="0.3">
      <c r="A178" s="10">
        <v>45992.291671122686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</row>
    <row r="179" spans="1:7" x14ac:dyDescent="0.3">
      <c r="A179" s="10">
        <v>45992.33333778935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</row>
    <row r="180" spans="1:7" x14ac:dyDescent="0.3">
      <c r="A180" s="10">
        <v>45992.375004456022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</row>
    <row r="181" spans="1:7" x14ac:dyDescent="0.3">
      <c r="A181" s="10">
        <v>45992.416671180552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</row>
    <row r="182" spans="1:7" x14ac:dyDescent="0.3">
      <c r="A182" s="10">
        <v>45992.458337905089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</row>
    <row r="183" spans="1:7" x14ac:dyDescent="0.3">
      <c r="A183" s="10">
        <v>45992.500004629626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</row>
    <row r="184" spans="1:7" x14ac:dyDescent="0.3">
      <c r="A184" s="10">
        <v>45992.541671354164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</row>
    <row r="185" spans="1:7" x14ac:dyDescent="0.3">
      <c r="A185" s="10">
        <v>45992.583338078701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</row>
    <row r="186" spans="1:7" x14ac:dyDescent="0.3">
      <c r="A186" s="10">
        <v>45992.625004803238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</row>
    <row r="187" spans="1:7" x14ac:dyDescent="0.3">
      <c r="A187" s="10">
        <v>45992.666671527775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</row>
    <row r="188" spans="1:7" x14ac:dyDescent="0.3">
      <c r="A188" s="10">
        <v>45992.708338252312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</row>
    <row r="189" spans="1:7" x14ac:dyDescent="0.3">
      <c r="A189" s="10">
        <v>45992.75000497685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</row>
    <row r="190" spans="1:7" x14ac:dyDescent="0.3">
      <c r="A190" s="10">
        <v>45992.791671701387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</row>
    <row r="191" spans="1:7" x14ac:dyDescent="0.3">
      <c r="A191" s="10">
        <v>45992.833338425924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</row>
    <row r="192" spans="1:7" x14ac:dyDescent="0.3">
      <c r="A192" s="10">
        <v>45992.875005150461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</row>
    <row r="193" spans="1:7" x14ac:dyDescent="0.3">
      <c r="A193" s="10">
        <v>45992.916671874998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</row>
    <row r="194" spans="1:7" x14ac:dyDescent="0.3">
      <c r="A194" s="10">
        <v>45992.958338599536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</row>
    <row r="195" spans="1:7" x14ac:dyDescent="0.3">
      <c r="A195" s="10">
        <v>45993.000005324073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</row>
    <row r="196" spans="1:7" x14ac:dyDescent="0.3">
      <c r="A196" s="10">
        <v>45993.04167204861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</row>
    <row r="197" spans="1:7" x14ac:dyDescent="0.3">
      <c r="A197" s="10">
        <v>45993.083338773147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</row>
    <row r="198" spans="1:7" x14ac:dyDescent="0.3">
      <c r="A198" s="10">
        <v>45993.125005497684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</row>
    <row r="199" spans="1:7" x14ac:dyDescent="0.3">
      <c r="A199" s="10">
        <v>45993.166672222222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</row>
    <row r="200" spans="1:7" x14ac:dyDescent="0.3">
      <c r="A200" s="10">
        <v>45993.208338946759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</row>
    <row r="201" spans="1:7" x14ac:dyDescent="0.3">
      <c r="A201" s="10">
        <v>45993.250005671296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</row>
    <row r="202" spans="1:7" x14ac:dyDescent="0.3">
      <c r="A202" s="10">
        <v>45993.291672395833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</row>
    <row r="203" spans="1:7" x14ac:dyDescent="0.3">
      <c r="A203" s="10">
        <v>45993.333339120371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</row>
    <row r="204" spans="1:7" x14ac:dyDescent="0.3">
      <c r="A204" s="10">
        <v>45993.375005844908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</row>
    <row r="205" spans="1:7" x14ac:dyDescent="0.3">
      <c r="A205" s="10">
        <v>45993.416672569445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</row>
    <row r="206" spans="1:7" x14ac:dyDescent="0.3">
      <c r="A206" s="10">
        <v>45993.458339293982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</row>
    <row r="207" spans="1:7" x14ac:dyDescent="0.3">
      <c r="A207" s="10">
        <v>45993.500006018519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</row>
    <row r="208" spans="1:7" x14ac:dyDescent="0.3">
      <c r="A208" s="10">
        <v>45993.541672743057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</row>
    <row r="209" spans="1:7" x14ac:dyDescent="0.3">
      <c r="A209" s="10">
        <v>45993.583339467594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</row>
    <row r="210" spans="1:7" x14ac:dyDescent="0.3">
      <c r="A210" s="10">
        <v>45993.625006192131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</row>
    <row r="211" spans="1:7" x14ac:dyDescent="0.3">
      <c r="A211" s="10">
        <v>45993.666672916668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</row>
    <row r="212" spans="1:7" x14ac:dyDescent="0.3">
      <c r="A212" s="10">
        <v>45993.708339641205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</row>
    <row r="213" spans="1:7" x14ac:dyDescent="0.3">
      <c r="A213" s="10">
        <v>45993.750006365743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</row>
    <row r="214" spans="1:7" x14ac:dyDescent="0.3">
      <c r="A214" s="10">
        <v>45993.79167309028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</row>
    <row r="215" spans="1:7" x14ac:dyDescent="0.3">
      <c r="A215" s="10">
        <v>45993.833339814817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</row>
    <row r="216" spans="1:7" x14ac:dyDescent="0.3">
      <c r="A216" s="10">
        <v>45993.875006539354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</row>
    <row r="217" spans="1:7" x14ac:dyDescent="0.3">
      <c r="A217" s="10">
        <v>45993.916673263891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</row>
    <row r="218" spans="1:7" x14ac:dyDescent="0.3">
      <c r="A218" s="10">
        <v>45993.958339988429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</row>
    <row r="219" spans="1:7" x14ac:dyDescent="0.3">
      <c r="A219" s="10">
        <v>45994.000006712966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</row>
    <row r="220" spans="1:7" x14ac:dyDescent="0.3">
      <c r="A220" s="10">
        <v>45994.041673437503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</row>
    <row r="221" spans="1:7" x14ac:dyDescent="0.3">
      <c r="A221" s="10">
        <v>45994.08334016204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</row>
    <row r="222" spans="1:7" x14ac:dyDescent="0.3">
      <c r="A222" s="10">
        <v>45994.125006886577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</row>
    <row r="223" spans="1:7" x14ac:dyDescent="0.3">
      <c r="A223" s="10">
        <v>45994.166673611115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</row>
    <row r="224" spans="1:7" x14ac:dyDescent="0.3">
      <c r="A224" s="10">
        <v>45994.208340335645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</row>
    <row r="225" spans="1:7" x14ac:dyDescent="0.3">
      <c r="A225" s="10">
        <v>45994.250007060182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</row>
    <row r="226" spans="1:7" x14ac:dyDescent="0.3">
      <c r="A226" s="10">
        <v>45994.291673784719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</row>
    <row r="227" spans="1:7" x14ac:dyDescent="0.3">
      <c r="A227" s="10">
        <v>45994.333340509256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</row>
    <row r="228" spans="1:7" x14ac:dyDescent="0.3">
      <c r="A228" s="10">
        <v>45994.375007233793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</row>
    <row r="229" spans="1:7" x14ac:dyDescent="0.3">
      <c r="A229" s="10">
        <v>45994.416673958331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</row>
    <row r="230" spans="1:7" x14ac:dyDescent="0.3">
      <c r="A230" s="10">
        <v>45994.458340682868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</row>
    <row r="231" spans="1:7" x14ac:dyDescent="0.3">
      <c r="A231" s="10">
        <v>45994.500007407405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</row>
    <row r="232" spans="1:7" x14ac:dyDescent="0.3">
      <c r="A232" s="10">
        <v>45994.541674131942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</row>
    <row r="233" spans="1:7" x14ac:dyDescent="0.3">
      <c r="A233" s="10">
        <v>45994.583340856479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</row>
    <row r="234" spans="1:7" x14ac:dyDescent="0.3">
      <c r="A234" s="10">
        <v>45994.625007581017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</row>
    <row r="235" spans="1:7" x14ac:dyDescent="0.3">
      <c r="A235" s="10">
        <v>45994.666674305554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</row>
    <row r="236" spans="1:7" x14ac:dyDescent="0.3">
      <c r="A236" s="10">
        <v>45994.708341030091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</row>
    <row r="237" spans="1:7" x14ac:dyDescent="0.3">
      <c r="A237" s="10">
        <v>45994.750007754628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</row>
    <row r="238" spans="1:7" x14ac:dyDescent="0.3">
      <c r="A238" s="10">
        <v>45994.791674479166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</row>
    <row r="239" spans="1:7" x14ac:dyDescent="0.3">
      <c r="A239" s="10">
        <v>45994.833341203703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</row>
    <row r="240" spans="1:7" x14ac:dyDescent="0.3">
      <c r="A240" s="10">
        <v>45994.87500792824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</row>
    <row r="241" spans="1:7" x14ac:dyDescent="0.3">
      <c r="A241" s="10">
        <v>45994.916674652777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</row>
    <row r="242" spans="1:7" x14ac:dyDescent="0.3">
      <c r="A242" s="10">
        <v>45994.958341377314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</row>
    <row r="243" spans="1:7" x14ac:dyDescent="0.3">
      <c r="A243" s="10">
        <v>45995.000008101852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</row>
    <row r="244" spans="1:7" x14ac:dyDescent="0.3">
      <c r="A244" s="10">
        <v>45995.041674826389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</row>
    <row r="245" spans="1:7" x14ac:dyDescent="0.3">
      <c r="A245" s="10">
        <v>45995.083341550926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</row>
    <row r="246" spans="1:7" x14ac:dyDescent="0.3">
      <c r="A246" s="10">
        <v>45995.125008275463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</row>
    <row r="247" spans="1:7" x14ac:dyDescent="0.3">
      <c r="A247" s="10">
        <v>45995.166675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</row>
    <row r="248" spans="1:7" x14ac:dyDescent="0.3">
      <c r="A248" s="10">
        <v>45995.208341724538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</row>
    <row r="249" spans="1:7" x14ac:dyDescent="0.3">
      <c r="A249" s="10">
        <v>45995.250008449075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</row>
    <row r="250" spans="1:7" x14ac:dyDescent="0.3">
      <c r="A250" s="10">
        <v>45995.291675173612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</row>
    <row r="251" spans="1:7" x14ac:dyDescent="0.3">
      <c r="A251" s="10">
        <v>45995.333341898149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</row>
    <row r="252" spans="1:7" x14ac:dyDescent="0.3">
      <c r="A252" s="10">
        <v>45995.375008622686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</row>
    <row r="253" spans="1:7" x14ac:dyDescent="0.3">
      <c r="A253" s="10">
        <v>45995.416675347224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</row>
    <row r="254" spans="1:7" x14ac:dyDescent="0.3">
      <c r="A254" s="10">
        <v>45995.458342071761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</row>
    <row r="255" spans="1:7" x14ac:dyDescent="0.3">
      <c r="A255" s="10">
        <v>45995.500008796298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</row>
    <row r="256" spans="1:7" x14ac:dyDescent="0.3">
      <c r="A256" s="10">
        <v>45995.541675520835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</row>
    <row r="257" spans="1:7" x14ac:dyDescent="0.3">
      <c r="A257" s="10">
        <v>45995.583342245372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1.9</v>
      </c>
    </row>
    <row r="258" spans="1:7" x14ac:dyDescent="0.3">
      <c r="A258" s="10">
        <v>45995.62500896991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2.2999999999999998</v>
      </c>
    </row>
    <row r="259" spans="1:7" x14ac:dyDescent="0.3">
      <c r="A259" s="10">
        <v>45995.666675694447</v>
      </c>
      <c r="B259" s="9">
        <v>0</v>
      </c>
      <c r="C259" s="9">
        <v>20.3</v>
      </c>
      <c r="D259" s="9">
        <v>0</v>
      </c>
      <c r="E259" s="9">
        <v>0</v>
      </c>
      <c r="F259" s="9">
        <v>0</v>
      </c>
      <c r="G259" s="9">
        <v>1.3</v>
      </c>
    </row>
    <row r="260" spans="1:7" x14ac:dyDescent="0.3">
      <c r="A260" s="10">
        <v>45995.708342418984</v>
      </c>
      <c r="B260" s="9">
        <v>3.1</v>
      </c>
      <c r="C260" s="9">
        <v>15.9</v>
      </c>
      <c r="D260" s="9">
        <v>3</v>
      </c>
      <c r="E260" s="9">
        <v>0</v>
      </c>
      <c r="F260" s="9">
        <v>10.199999999999999</v>
      </c>
      <c r="G260" s="9">
        <v>0</v>
      </c>
    </row>
    <row r="261" spans="1:7" x14ac:dyDescent="0.3">
      <c r="A261" s="10">
        <v>45995.750009143521</v>
      </c>
      <c r="B261" s="9">
        <v>2</v>
      </c>
      <c r="C261" s="9">
        <v>0</v>
      </c>
      <c r="D261" s="9">
        <v>0</v>
      </c>
      <c r="E261" s="9">
        <v>0</v>
      </c>
      <c r="F261" s="9">
        <v>6.6</v>
      </c>
      <c r="G261" s="9">
        <v>0</v>
      </c>
    </row>
    <row r="262" spans="1:7" x14ac:dyDescent="0.3">
      <c r="A262" s="10">
        <v>45995.791675868059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</row>
    <row r="263" spans="1:7" x14ac:dyDescent="0.3">
      <c r="A263" s="10">
        <v>45995.833342592596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</row>
    <row r="264" spans="1:7" x14ac:dyDescent="0.3">
      <c r="A264" s="10">
        <v>45995.875009317133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</row>
    <row r="265" spans="1:7" x14ac:dyDescent="0.3">
      <c r="A265" s="10">
        <v>45995.91667604167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</row>
    <row r="266" spans="1:7" x14ac:dyDescent="0.3">
      <c r="A266" s="10">
        <v>45995.9583427662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</row>
    <row r="267" spans="1:7" x14ac:dyDescent="0.3">
      <c r="A267" s="10">
        <v>45996.000009490737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</row>
    <row r="268" spans="1:7" x14ac:dyDescent="0.3">
      <c r="A268" s="10">
        <v>45996.041676157409</v>
      </c>
    </row>
    <row r="269" spans="1:7" x14ac:dyDescent="0.3">
      <c r="A269" s="10">
        <v>45996.083342881946</v>
      </c>
    </row>
    <row r="270" spans="1:7" x14ac:dyDescent="0.3">
      <c r="A270" s="10">
        <v>45996.125009606483</v>
      </c>
    </row>
    <row r="271" spans="1:7" x14ac:dyDescent="0.3">
      <c r="A271" s="10">
        <v>45996.16667633102</v>
      </c>
    </row>
    <row r="272" spans="1:7" x14ac:dyDescent="0.3">
      <c r="A272" s="10">
        <v>45996.208343055558</v>
      </c>
    </row>
    <row r="273" spans="1:1" x14ac:dyDescent="0.3">
      <c r="A273" s="10">
        <v>45996.250009780095</v>
      </c>
    </row>
    <row r="274" spans="1:1" x14ac:dyDescent="0.3">
      <c r="A274" s="10">
        <v>45996.291676504632</v>
      </c>
    </row>
    <row r="275" spans="1:1" x14ac:dyDescent="0.3">
      <c r="A275" s="10">
        <v>45996.333343229169</v>
      </c>
    </row>
    <row r="276" spans="1:1" x14ac:dyDescent="0.3">
      <c r="A276" s="10">
        <v>45996.375009953706</v>
      </c>
    </row>
    <row r="277" spans="1:1" x14ac:dyDescent="0.3">
      <c r="A277" s="10">
        <v>45996.416676678244</v>
      </c>
    </row>
    <row r="278" spans="1:1" x14ac:dyDescent="0.3">
      <c r="A278" s="10">
        <v>45996.458343402781</v>
      </c>
    </row>
    <row r="279" spans="1:1" x14ac:dyDescent="0.3">
      <c r="A279" s="10">
        <v>45996.500010127318</v>
      </c>
    </row>
    <row r="280" spans="1:1" x14ac:dyDescent="0.3">
      <c r="A280" s="10">
        <v>45996.541676851855</v>
      </c>
    </row>
    <row r="281" spans="1:1" x14ac:dyDescent="0.3">
      <c r="A281" s="10">
        <v>45996.583343576393</v>
      </c>
    </row>
    <row r="282" spans="1:1" x14ac:dyDescent="0.3">
      <c r="A282" s="10">
        <v>45996.625010300922</v>
      </c>
    </row>
    <row r="283" spans="1:1" x14ac:dyDescent="0.3">
      <c r="A283" s="10">
        <v>45996.66667702546</v>
      </c>
    </row>
    <row r="284" spans="1:1" x14ac:dyDescent="0.3">
      <c r="A284" s="10">
        <v>45996.708343749997</v>
      </c>
    </row>
    <row r="285" spans="1:1" x14ac:dyDescent="0.3">
      <c r="A285" s="10">
        <v>45996.750010474534</v>
      </c>
    </row>
    <row r="286" spans="1:1" x14ac:dyDescent="0.3">
      <c r="A286" s="10">
        <v>45996.791677199071</v>
      </c>
    </row>
    <row r="287" spans="1:1" x14ac:dyDescent="0.3">
      <c r="A287" s="10">
        <v>45996.833343923608</v>
      </c>
    </row>
    <row r="288" spans="1:1" x14ac:dyDescent="0.3">
      <c r="A288" s="10">
        <v>45996.875010648146</v>
      </c>
    </row>
    <row r="289" spans="1:1" x14ac:dyDescent="0.3">
      <c r="A289" s="10">
        <v>45996.916677372683</v>
      </c>
    </row>
    <row r="290" spans="1:1" x14ac:dyDescent="0.3">
      <c r="A290" s="10">
        <v>45996.95834409722</v>
      </c>
    </row>
    <row r="291" spans="1:1" x14ac:dyDescent="0.3">
      <c r="A291" s="10">
        <v>45997.000010821757</v>
      </c>
    </row>
    <row r="292" spans="1:1" x14ac:dyDescent="0.3">
      <c r="A292" s="10">
        <v>45997.041677546295</v>
      </c>
    </row>
    <row r="293" spans="1:1" x14ac:dyDescent="0.3">
      <c r="A293" s="10">
        <v>45997.083344270832</v>
      </c>
    </row>
    <row r="294" spans="1:1" x14ac:dyDescent="0.3">
      <c r="A294" s="10">
        <v>45997.125010995369</v>
      </c>
    </row>
    <row r="295" spans="1:1" x14ac:dyDescent="0.3">
      <c r="A295" s="10">
        <v>45997.166677719906</v>
      </c>
    </row>
    <row r="296" spans="1:1" x14ac:dyDescent="0.3">
      <c r="A296" s="10">
        <v>45997.208344444443</v>
      </c>
    </row>
    <row r="297" spans="1:1" x14ac:dyDescent="0.3">
      <c r="A297" s="10">
        <v>45997.250011168981</v>
      </c>
    </row>
    <row r="298" spans="1:1" x14ac:dyDescent="0.3">
      <c r="A298" s="10">
        <v>45997.291677893518</v>
      </c>
    </row>
    <row r="299" spans="1:1" x14ac:dyDescent="0.3">
      <c r="A299" s="10">
        <v>45997.333344618055</v>
      </c>
    </row>
    <row r="300" spans="1:1" x14ac:dyDescent="0.3">
      <c r="A300" s="10">
        <v>45997.375011342592</v>
      </c>
    </row>
    <row r="301" spans="1:1" x14ac:dyDescent="0.3">
      <c r="A301" s="10">
        <v>45997.416678067129</v>
      </c>
    </row>
    <row r="302" spans="1:1" x14ac:dyDescent="0.3">
      <c r="A302" s="10">
        <v>45997.458344791667</v>
      </c>
    </row>
    <row r="303" spans="1:1" x14ac:dyDescent="0.3">
      <c r="A303" s="10">
        <v>45997.500011516204</v>
      </c>
    </row>
    <row r="304" spans="1:1" x14ac:dyDescent="0.3">
      <c r="A304" s="10">
        <v>45997.541678240741</v>
      </c>
    </row>
    <row r="305" spans="1:1" x14ac:dyDescent="0.3">
      <c r="A305" s="10">
        <v>45997.583344965278</v>
      </c>
    </row>
    <row r="306" spans="1:1" x14ac:dyDescent="0.3">
      <c r="A306" s="10">
        <v>45997.625011689815</v>
      </c>
    </row>
    <row r="307" spans="1:1" x14ac:dyDescent="0.3">
      <c r="A307" s="10">
        <v>45997.666678414353</v>
      </c>
    </row>
    <row r="308" spans="1:1" x14ac:dyDescent="0.3">
      <c r="A308" s="10">
        <v>45997.70834513889</v>
      </c>
    </row>
    <row r="309" spans="1:1" x14ac:dyDescent="0.3">
      <c r="A309" s="10">
        <v>45997.750011863427</v>
      </c>
    </row>
    <row r="310" spans="1:1" x14ac:dyDescent="0.3">
      <c r="A310" s="10">
        <v>45997.791678587964</v>
      </c>
    </row>
    <row r="311" spans="1:1" x14ac:dyDescent="0.3">
      <c r="A311" s="10">
        <v>45997.833345312501</v>
      </c>
    </row>
    <row r="312" spans="1:1" x14ac:dyDescent="0.3">
      <c r="A312" s="10">
        <v>45997.875012037039</v>
      </c>
    </row>
    <row r="313" spans="1:1" x14ac:dyDescent="0.3">
      <c r="A313" s="10">
        <v>45997.916678761576</v>
      </c>
    </row>
    <row r="314" spans="1:1" x14ac:dyDescent="0.3">
      <c r="A314" s="10">
        <v>45997.958345486113</v>
      </c>
    </row>
    <row r="315" spans="1:1" x14ac:dyDescent="0.3">
      <c r="A315" s="10">
        <v>45998.00001221065</v>
      </c>
    </row>
    <row r="316" spans="1:1" x14ac:dyDescent="0.3">
      <c r="A316" s="10">
        <v>45998.041678935188</v>
      </c>
    </row>
    <row r="317" spans="1:1" x14ac:dyDescent="0.3">
      <c r="A317" s="10">
        <v>45998.083345659725</v>
      </c>
    </row>
    <row r="318" spans="1:1" x14ac:dyDescent="0.3">
      <c r="A318" s="10">
        <v>45998.125012384262</v>
      </c>
    </row>
    <row r="319" spans="1:1" x14ac:dyDescent="0.3">
      <c r="A319" s="10">
        <v>45998.166679108799</v>
      </c>
    </row>
    <row r="320" spans="1:1" x14ac:dyDescent="0.3">
      <c r="A320" s="10">
        <v>45998.208345833336</v>
      </c>
    </row>
    <row r="321" spans="1:1" x14ac:dyDescent="0.3">
      <c r="A321" s="10">
        <v>45998.250012557874</v>
      </c>
    </row>
    <row r="322" spans="1:1" x14ac:dyDescent="0.3">
      <c r="A322" s="10">
        <v>45998.291679282411</v>
      </c>
    </row>
    <row r="323" spans="1:1" x14ac:dyDescent="0.3">
      <c r="A323" s="10">
        <v>45998.333346006948</v>
      </c>
    </row>
    <row r="324" spans="1:1" x14ac:dyDescent="0.3">
      <c r="A324" s="10">
        <v>45998.375012731478</v>
      </c>
    </row>
    <row r="325" spans="1:1" x14ac:dyDescent="0.3">
      <c r="A325" s="10">
        <v>45998.416679456015</v>
      </c>
    </row>
    <row r="326" spans="1:1" x14ac:dyDescent="0.3">
      <c r="A326" s="10">
        <v>45998.458346180552</v>
      </c>
    </row>
    <row r="327" spans="1:1" x14ac:dyDescent="0.3">
      <c r="A327" s="10">
        <v>45998.50001290509</v>
      </c>
    </row>
    <row r="328" spans="1:1" x14ac:dyDescent="0.3">
      <c r="A328" s="10">
        <v>45998.541679629627</v>
      </c>
    </row>
    <row r="329" spans="1:1" x14ac:dyDescent="0.3">
      <c r="A329" s="10">
        <v>45998.583346354164</v>
      </c>
    </row>
    <row r="330" spans="1:1" x14ac:dyDescent="0.3">
      <c r="A330" s="10">
        <v>45998.625013078701</v>
      </c>
    </row>
    <row r="331" spans="1:1" x14ac:dyDescent="0.3">
      <c r="A331" s="10">
        <v>45998.666679803238</v>
      </c>
    </row>
    <row r="332" spans="1:1" x14ac:dyDescent="0.3">
      <c r="A332" s="10">
        <v>45998.708346527776</v>
      </c>
    </row>
    <row r="333" spans="1:1" x14ac:dyDescent="0.3">
      <c r="A333" s="10">
        <v>45998.750013252313</v>
      </c>
    </row>
    <row r="334" spans="1:1" x14ac:dyDescent="0.3">
      <c r="A334" s="10">
        <v>45998.79167997685</v>
      </c>
    </row>
    <row r="335" spans="1:1" x14ac:dyDescent="0.3">
      <c r="A335" s="10">
        <v>45998.833346701387</v>
      </c>
    </row>
    <row r="336" spans="1:1" x14ac:dyDescent="0.3">
      <c r="A336" s="10">
        <v>45998.875013425924</v>
      </c>
    </row>
    <row r="337" spans="1:1" x14ac:dyDescent="0.3">
      <c r="A337" s="10">
        <v>45998.916680150462</v>
      </c>
    </row>
    <row r="338" spans="1:1" x14ac:dyDescent="0.3">
      <c r="A338" s="10">
        <v>45998.958346874999</v>
      </c>
    </row>
    <row r="339" spans="1:1" x14ac:dyDescent="0.3">
      <c r="A339" s="10">
        <v>45999.000013599536</v>
      </c>
    </row>
    <row r="340" spans="1:1" x14ac:dyDescent="0.3">
      <c r="A340" s="10">
        <v>45999.041680324073</v>
      </c>
    </row>
    <row r="341" spans="1:1" x14ac:dyDescent="0.3">
      <c r="A341" s="10">
        <v>45999.08334704861</v>
      </c>
    </row>
    <row r="342" spans="1:1" x14ac:dyDescent="0.3">
      <c r="A342" s="10">
        <v>45999.125013773148</v>
      </c>
    </row>
    <row r="343" spans="1:1" x14ac:dyDescent="0.3">
      <c r="A343" s="10">
        <v>45999.166680497685</v>
      </c>
    </row>
    <row r="344" spans="1:1" x14ac:dyDescent="0.3">
      <c r="A344" s="10">
        <v>45999.208347222222</v>
      </c>
    </row>
    <row r="345" spans="1:1" x14ac:dyDescent="0.3">
      <c r="A345" s="10">
        <v>45999.250013946759</v>
      </c>
    </row>
    <row r="346" spans="1:1" x14ac:dyDescent="0.3">
      <c r="A346" s="10">
        <v>45999.291680671296</v>
      </c>
    </row>
    <row r="347" spans="1:1" x14ac:dyDescent="0.3">
      <c r="A347" s="10">
        <v>45999.333347395834</v>
      </c>
    </row>
    <row r="348" spans="1:1" x14ac:dyDescent="0.3">
      <c r="A348" s="10">
        <v>45999.375014120371</v>
      </c>
    </row>
    <row r="349" spans="1:1" x14ac:dyDescent="0.3">
      <c r="A349" s="10">
        <v>45999.416680844908</v>
      </c>
    </row>
    <row r="350" spans="1:1" x14ac:dyDescent="0.3">
      <c r="A350" s="10">
        <v>45999.458347569445</v>
      </c>
    </row>
    <row r="351" spans="1:1" x14ac:dyDescent="0.3">
      <c r="A351" s="10">
        <v>45999.500014293983</v>
      </c>
    </row>
    <row r="352" spans="1:1" x14ac:dyDescent="0.3">
      <c r="A352" s="10">
        <v>45999.54168101852</v>
      </c>
    </row>
    <row r="353" spans="1:1" x14ac:dyDescent="0.3">
      <c r="A353" s="10">
        <v>45999.583347743057</v>
      </c>
    </row>
    <row r="354" spans="1:1" x14ac:dyDescent="0.3">
      <c r="A354" s="10">
        <v>45999.625014467594</v>
      </c>
    </row>
    <row r="355" spans="1:1" x14ac:dyDescent="0.3">
      <c r="A355" s="10">
        <v>45999.666681192131</v>
      </c>
    </row>
    <row r="356" spans="1:1" x14ac:dyDescent="0.3">
      <c r="A356" s="10">
        <v>45999.708347916669</v>
      </c>
    </row>
    <row r="357" spans="1:1" x14ac:dyDescent="0.3">
      <c r="A357" s="10">
        <v>45999.750014641206</v>
      </c>
    </row>
    <row r="358" spans="1:1" x14ac:dyDescent="0.3">
      <c r="A358" s="10">
        <v>45999.791681365743</v>
      </c>
    </row>
    <row r="359" spans="1:1" x14ac:dyDescent="0.3">
      <c r="A359" s="10">
        <v>45999.83334809028</v>
      </c>
    </row>
    <row r="360" spans="1:1" x14ac:dyDescent="0.3">
      <c r="A360" s="10">
        <v>45999.875014814817</v>
      </c>
    </row>
    <row r="361" spans="1:1" x14ac:dyDescent="0.3">
      <c r="A361" s="10">
        <v>45999.916681539355</v>
      </c>
    </row>
    <row r="362" spans="1:1" x14ac:dyDescent="0.3">
      <c r="A362" s="10">
        <v>45999.958348263892</v>
      </c>
    </row>
    <row r="363" spans="1:1" x14ac:dyDescent="0.3">
      <c r="A363" s="10">
        <v>46000.000014988429</v>
      </c>
    </row>
    <row r="364" spans="1:1" x14ac:dyDescent="0.3">
      <c r="A364" s="10">
        <v>46000.041681712966</v>
      </c>
    </row>
    <row r="365" spans="1:1" x14ac:dyDescent="0.3">
      <c r="A365" s="10">
        <v>46000.083348437503</v>
      </c>
    </row>
    <row r="366" spans="1:1" x14ac:dyDescent="0.3">
      <c r="A366" s="10">
        <v>46000.125015162041</v>
      </c>
    </row>
    <row r="367" spans="1:1" x14ac:dyDescent="0.3">
      <c r="A367" s="10">
        <v>46000.166681886571</v>
      </c>
    </row>
    <row r="368" spans="1:1" x14ac:dyDescent="0.3">
      <c r="A368" s="10">
        <v>46000.208348611108</v>
      </c>
    </row>
    <row r="369" spans="1:1" x14ac:dyDescent="0.3">
      <c r="A369" s="10">
        <v>46000.250015335645</v>
      </c>
    </row>
    <row r="370" spans="1:1" x14ac:dyDescent="0.3">
      <c r="A370" s="10">
        <v>46000.291682060182</v>
      </c>
    </row>
    <row r="371" spans="1:1" x14ac:dyDescent="0.3">
      <c r="A371" s="10">
        <v>46000.333348784719</v>
      </c>
    </row>
    <row r="372" spans="1:1" x14ac:dyDescent="0.3">
      <c r="A372" s="10">
        <v>46000.375015509257</v>
      </c>
    </row>
    <row r="373" spans="1:1" x14ac:dyDescent="0.3">
      <c r="A373" s="10">
        <v>46000.416682233794</v>
      </c>
    </row>
    <row r="374" spans="1:1" x14ac:dyDescent="0.3">
      <c r="A374" s="10">
        <v>46000.458348958331</v>
      </c>
    </row>
    <row r="375" spans="1:1" x14ac:dyDescent="0.3">
      <c r="A375" s="10">
        <v>46000.500015682868</v>
      </c>
    </row>
    <row r="376" spans="1:1" x14ac:dyDescent="0.3">
      <c r="A376" s="10">
        <v>46000.541682407405</v>
      </c>
    </row>
    <row r="377" spans="1:1" x14ac:dyDescent="0.3">
      <c r="A377" s="10">
        <v>46000.583349131943</v>
      </c>
    </row>
    <row r="378" spans="1:1" x14ac:dyDescent="0.3">
      <c r="A378" s="10">
        <v>46000.62501585648</v>
      </c>
    </row>
    <row r="379" spans="1:1" x14ac:dyDescent="0.3">
      <c r="A379" s="10">
        <v>46000.666682581017</v>
      </c>
    </row>
    <row r="380" spans="1:1" x14ac:dyDescent="0.3">
      <c r="A380" s="10">
        <v>46000.708349305554</v>
      </c>
    </row>
    <row r="381" spans="1:1" x14ac:dyDescent="0.3">
      <c r="A381" s="10">
        <v>46000.750016030092</v>
      </c>
    </row>
    <row r="382" spans="1:1" x14ac:dyDescent="0.3">
      <c r="A382" s="10">
        <v>46000.791682754629</v>
      </c>
    </row>
    <row r="383" spans="1:1" x14ac:dyDescent="0.3">
      <c r="A383" s="10">
        <v>46000.833349479166</v>
      </c>
    </row>
    <row r="384" spans="1:1" x14ac:dyDescent="0.3">
      <c r="A384" s="10">
        <v>46000.875016203703</v>
      </c>
    </row>
    <row r="385" spans="1:1" x14ac:dyDescent="0.3">
      <c r="A385" s="10">
        <v>46000.91668292824</v>
      </c>
    </row>
    <row r="386" spans="1:1" x14ac:dyDescent="0.3">
      <c r="A386" s="10">
        <v>46000.958349652778</v>
      </c>
    </row>
    <row r="387" spans="1:1" x14ac:dyDescent="0.3">
      <c r="A387" s="10">
        <v>46001.000016377315</v>
      </c>
    </row>
    <row r="388" spans="1:1" x14ac:dyDescent="0.3">
      <c r="A388" s="10">
        <v>46001.041683101852</v>
      </c>
    </row>
    <row r="389" spans="1:1" x14ac:dyDescent="0.3">
      <c r="A389" s="10">
        <v>46001.083349826389</v>
      </c>
    </row>
    <row r="390" spans="1:1" x14ac:dyDescent="0.3">
      <c r="A390" s="10">
        <v>46001.125016550926</v>
      </c>
    </row>
    <row r="391" spans="1:1" x14ac:dyDescent="0.3">
      <c r="A391" s="10">
        <v>46001.166683275464</v>
      </c>
    </row>
    <row r="392" spans="1:1" x14ac:dyDescent="0.3">
      <c r="A392" s="10">
        <v>46001.208350000001</v>
      </c>
    </row>
    <row r="393" spans="1:1" x14ac:dyDescent="0.3">
      <c r="A393" s="10">
        <v>46001.250016724538</v>
      </c>
    </row>
    <row r="394" spans="1:1" x14ac:dyDescent="0.3">
      <c r="A394" s="10">
        <v>46001.291683449075</v>
      </c>
    </row>
    <row r="395" spans="1:1" x14ac:dyDescent="0.3">
      <c r="A395" s="10">
        <v>46001.333350173612</v>
      </c>
    </row>
    <row r="396" spans="1:1" x14ac:dyDescent="0.3">
      <c r="A396" s="10">
        <v>46001.37501689815</v>
      </c>
    </row>
    <row r="397" spans="1:1" x14ac:dyDescent="0.3">
      <c r="A397" s="10">
        <v>46001.416683622687</v>
      </c>
    </row>
    <row r="398" spans="1:1" x14ac:dyDescent="0.3">
      <c r="A398" s="10">
        <v>46001.458350347224</v>
      </c>
    </row>
    <row r="399" spans="1:1" x14ac:dyDescent="0.3">
      <c r="A399" s="10">
        <v>46001.500017071761</v>
      </c>
    </row>
    <row r="400" spans="1:1" x14ac:dyDescent="0.3">
      <c r="A400" s="10">
        <v>46001.541683796298</v>
      </c>
    </row>
    <row r="401" spans="1:1" x14ac:dyDescent="0.3">
      <c r="A401" s="10">
        <v>46001.583350520836</v>
      </c>
    </row>
    <row r="402" spans="1:1" x14ac:dyDescent="0.3">
      <c r="A402" s="10">
        <v>46001.625017245373</v>
      </c>
    </row>
    <row r="403" spans="1:1" x14ac:dyDescent="0.3">
      <c r="A403" s="10">
        <v>46001.66668396991</v>
      </c>
    </row>
    <row r="404" spans="1:1" x14ac:dyDescent="0.3">
      <c r="A404" s="10">
        <v>46001.708350694447</v>
      </c>
    </row>
    <row r="405" spans="1:1" x14ac:dyDescent="0.3">
      <c r="A405" s="10">
        <v>46001.750017418984</v>
      </c>
    </row>
    <row r="406" spans="1:1" x14ac:dyDescent="0.3">
      <c r="A406" s="10">
        <v>46001.791684143522</v>
      </c>
    </row>
    <row r="407" spans="1:1" x14ac:dyDescent="0.3">
      <c r="A407" s="10">
        <v>46001.833350868059</v>
      </c>
    </row>
    <row r="408" spans="1:1" x14ac:dyDescent="0.3">
      <c r="A408" s="10">
        <v>46001.875017592596</v>
      </c>
    </row>
    <row r="409" spans="1:1" x14ac:dyDescent="0.3">
      <c r="A409" s="10">
        <v>46001.916684317126</v>
      </c>
    </row>
    <row r="410" spans="1:1" x14ac:dyDescent="0.3">
      <c r="A410" s="10">
        <v>46001.958351041663</v>
      </c>
    </row>
    <row r="411" spans="1:1" x14ac:dyDescent="0.3">
      <c r="A411" s="10">
        <v>46002.0000177662</v>
      </c>
    </row>
    <row r="412" spans="1:1" x14ac:dyDescent="0.3">
      <c r="A412" s="10">
        <v>46002.041684490738</v>
      </c>
    </row>
    <row r="413" spans="1:1" x14ac:dyDescent="0.3">
      <c r="A413" s="10">
        <v>46002.083351215275</v>
      </c>
    </row>
    <row r="414" spans="1:1" x14ac:dyDescent="0.3">
      <c r="A414" s="10">
        <v>46002.125017939812</v>
      </c>
    </row>
    <row r="415" spans="1:1" x14ac:dyDescent="0.3">
      <c r="A415" s="10">
        <v>46002.166684664349</v>
      </c>
    </row>
    <row r="416" spans="1:1" x14ac:dyDescent="0.3">
      <c r="A416" s="10">
        <v>46002.208351388887</v>
      </c>
    </row>
    <row r="417" spans="1:1" x14ac:dyDescent="0.3">
      <c r="A417" s="10">
        <v>46002.250018113424</v>
      </c>
    </row>
    <row r="418" spans="1:1" x14ac:dyDescent="0.3">
      <c r="A418" s="10">
        <v>46002.291684837961</v>
      </c>
    </row>
    <row r="419" spans="1:1" x14ac:dyDescent="0.3">
      <c r="A419" s="10">
        <v>46002.333351562498</v>
      </c>
    </row>
    <row r="420" spans="1:1" x14ac:dyDescent="0.3">
      <c r="A420" s="10">
        <v>46002.375018287035</v>
      </c>
    </row>
    <row r="421" spans="1:1" x14ac:dyDescent="0.3">
      <c r="A421" s="10">
        <v>46002.416685011573</v>
      </c>
    </row>
    <row r="422" spans="1:1" x14ac:dyDescent="0.3">
      <c r="A422" s="10">
        <v>46002.45835173611</v>
      </c>
    </row>
    <row r="423" spans="1:1" x14ac:dyDescent="0.3">
      <c r="A423" s="10">
        <v>46002.500018460647</v>
      </c>
    </row>
    <row r="424" spans="1:1" x14ac:dyDescent="0.3">
      <c r="A424" s="10">
        <v>46002.541685185184</v>
      </c>
    </row>
    <row r="425" spans="1:1" x14ac:dyDescent="0.3">
      <c r="A425" s="10">
        <v>46002.583351909721</v>
      </c>
    </row>
    <row r="426" spans="1:1" x14ac:dyDescent="0.3">
      <c r="A426" s="10">
        <v>46002.625018634259</v>
      </c>
    </row>
    <row r="427" spans="1:1" x14ac:dyDescent="0.3">
      <c r="A427" s="10">
        <v>46002.666685358796</v>
      </c>
    </row>
    <row r="428" spans="1:1" x14ac:dyDescent="0.3">
      <c r="A428" s="10">
        <v>46002.708352083333</v>
      </c>
    </row>
    <row r="429" spans="1:1" x14ac:dyDescent="0.3">
      <c r="A429" s="10">
        <v>46002.75001880787</v>
      </c>
    </row>
    <row r="430" spans="1:1" x14ac:dyDescent="0.3">
      <c r="A430" s="10">
        <v>46002.791685532407</v>
      </c>
    </row>
    <row r="431" spans="1:1" x14ac:dyDescent="0.3">
      <c r="A431" s="10">
        <v>46002.833352256945</v>
      </c>
    </row>
    <row r="432" spans="1:1" x14ac:dyDescent="0.3">
      <c r="A432" s="10">
        <v>46002.875018981482</v>
      </c>
    </row>
    <row r="433" spans="1:1" x14ac:dyDescent="0.3">
      <c r="A433" s="10">
        <v>46002.916685706019</v>
      </c>
    </row>
    <row r="434" spans="1:1" x14ac:dyDescent="0.3">
      <c r="A434" s="10">
        <v>46002.958352430556</v>
      </c>
    </row>
    <row r="435" spans="1:1" x14ac:dyDescent="0.3">
      <c r="A435" s="10">
        <v>46003.000019155093</v>
      </c>
    </row>
    <row r="436" spans="1:1" x14ac:dyDescent="0.3">
      <c r="A436" s="10">
        <v>46003.041685879631</v>
      </c>
    </row>
    <row r="437" spans="1:1" x14ac:dyDescent="0.3">
      <c r="A437" s="10">
        <v>46003.083352604168</v>
      </c>
    </row>
    <row r="438" spans="1:1" x14ac:dyDescent="0.3">
      <c r="A438" s="10">
        <v>46003.125019328705</v>
      </c>
    </row>
    <row r="439" spans="1:1" x14ac:dyDescent="0.3">
      <c r="A439" s="10">
        <v>46003.166686053242</v>
      </c>
    </row>
    <row r="440" spans="1:1" x14ac:dyDescent="0.3">
      <c r="A440" s="10">
        <v>46003.20835277778</v>
      </c>
    </row>
    <row r="441" spans="1:1" x14ac:dyDescent="0.3">
      <c r="A441" s="10">
        <v>46003.250019502317</v>
      </c>
    </row>
    <row r="442" spans="1:1" x14ac:dyDescent="0.3">
      <c r="A442" s="10">
        <v>46003.291686226854</v>
      </c>
    </row>
    <row r="443" spans="1:1" x14ac:dyDescent="0.3">
      <c r="A443" s="10">
        <v>46003.333352951391</v>
      </c>
    </row>
    <row r="444" spans="1:1" x14ac:dyDescent="0.3">
      <c r="A444" s="10">
        <v>46003.375019675928</v>
      </c>
    </row>
    <row r="445" spans="1:1" x14ac:dyDescent="0.3">
      <c r="A445" s="10">
        <v>46003.416686400466</v>
      </c>
    </row>
    <row r="446" spans="1:1" x14ac:dyDescent="0.3">
      <c r="A446" s="10">
        <v>46003.458353125003</v>
      </c>
    </row>
    <row r="447" spans="1:1" x14ac:dyDescent="0.3">
      <c r="A447" s="10">
        <v>46003.50001984954</v>
      </c>
    </row>
    <row r="448" spans="1:1" x14ac:dyDescent="0.3">
      <c r="A448" s="10">
        <v>46003.541686574077</v>
      </c>
    </row>
    <row r="449" spans="1:1" x14ac:dyDescent="0.3">
      <c r="A449" s="10">
        <v>46003.583353298614</v>
      </c>
    </row>
    <row r="450" spans="1:1" x14ac:dyDescent="0.3">
      <c r="A450" s="10">
        <v>46003.625020023152</v>
      </c>
    </row>
    <row r="451" spans="1:1" x14ac:dyDescent="0.3">
      <c r="A451" s="10">
        <v>46003.666686747689</v>
      </c>
    </row>
    <row r="452" spans="1:1" x14ac:dyDescent="0.3">
      <c r="A452" s="10">
        <v>46003.708353472219</v>
      </c>
    </row>
    <row r="453" spans="1:1" x14ac:dyDescent="0.3">
      <c r="A453" s="10">
        <v>46003.750020196756</v>
      </c>
    </row>
    <row r="454" spans="1:1" x14ac:dyDescent="0.3">
      <c r="A454" s="10">
        <v>46003.791686921293</v>
      </c>
    </row>
    <row r="455" spans="1:1" x14ac:dyDescent="0.3">
      <c r="A455" s="10">
        <v>46003.83335364583</v>
      </c>
    </row>
    <row r="456" spans="1:1" x14ac:dyDescent="0.3">
      <c r="A456" s="10">
        <v>46003.875020370368</v>
      </c>
    </row>
    <row r="457" spans="1:1" x14ac:dyDescent="0.3">
      <c r="A457" s="10">
        <v>46003.916687094905</v>
      </c>
    </row>
    <row r="458" spans="1:1" x14ac:dyDescent="0.3">
      <c r="A458" s="10">
        <v>46003.958353819442</v>
      </c>
    </row>
    <row r="459" spans="1:1" x14ac:dyDescent="0.3">
      <c r="A459" s="10">
        <v>46004.000020543979</v>
      </c>
    </row>
    <row r="460" spans="1:1" x14ac:dyDescent="0.3">
      <c r="A460" s="10">
        <v>46004.041687268516</v>
      </c>
    </row>
    <row r="461" spans="1:1" x14ac:dyDescent="0.3">
      <c r="A461" s="10">
        <v>46004.083353993054</v>
      </c>
    </row>
    <row r="462" spans="1:1" x14ac:dyDescent="0.3">
      <c r="A462" s="10">
        <v>46004.125020717591</v>
      </c>
    </row>
    <row r="463" spans="1:1" x14ac:dyDescent="0.3">
      <c r="A463" s="10">
        <v>46004.166687442128</v>
      </c>
    </row>
    <row r="464" spans="1:1" x14ac:dyDescent="0.3">
      <c r="A464" s="10">
        <v>46004.208354166665</v>
      </c>
    </row>
    <row r="465" spans="1:1" x14ac:dyDescent="0.3">
      <c r="A465" s="10">
        <v>46004.250020891202</v>
      </c>
    </row>
    <row r="466" spans="1:1" x14ac:dyDescent="0.3">
      <c r="A466" s="10">
        <v>46004.29168761574</v>
      </c>
    </row>
    <row r="467" spans="1:1" x14ac:dyDescent="0.3">
      <c r="A467" s="10">
        <v>46004.333354340277</v>
      </c>
    </row>
    <row r="468" spans="1:1" x14ac:dyDescent="0.3">
      <c r="A468" s="10">
        <v>46004.375021064814</v>
      </c>
    </row>
    <row r="469" spans="1:1" x14ac:dyDescent="0.3">
      <c r="A469" s="10">
        <v>46004.416687789351</v>
      </c>
    </row>
    <row r="470" spans="1:1" x14ac:dyDescent="0.3">
      <c r="A470" s="10">
        <v>46004.458354513888</v>
      </c>
    </row>
    <row r="471" spans="1:1" x14ac:dyDescent="0.3">
      <c r="A471" s="10">
        <v>46004.500021238426</v>
      </c>
    </row>
    <row r="472" spans="1:1" x14ac:dyDescent="0.3">
      <c r="A472" s="10">
        <v>46004.541687962963</v>
      </c>
    </row>
    <row r="473" spans="1:1" x14ac:dyDescent="0.3">
      <c r="A473" s="10">
        <v>46004.5833546875</v>
      </c>
    </row>
    <row r="474" spans="1:1" x14ac:dyDescent="0.3">
      <c r="A474" s="10">
        <v>46004.625021412037</v>
      </c>
    </row>
    <row r="475" spans="1:1" x14ac:dyDescent="0.3">
      <c r="A475" s="10">
        <v>46004.666688136575</v>
      </c>
    </row>
    <row r="476" spans="1:1" x14ac:dyDescent="0.3">
      <c r="A476" s="10">
        <v>46004.708354861112</v>
      </c>
    </row>
    <row r="477" spans="1:1" x14ac:dyDescent="0.3">
      <c r="A477" s="10">
        <v>46004.750021585649</v>
      </c>
    </row>
    <row r="478" spans="1:1" x14ac:dyDescent="0.3">
      <c r="A478" s="10">
        <v>46004.791688310186</v>
      </c>
    </row>
    <row r="479" spans="1:1" x14ac:dyDescent="0.3">
      <c r="A479" s="10">
        <v>46004.833355034723</v>
      </c>
    </row>
    <row r="480" spans="1:1" x14ac:dyDescent="0.3">
      <c r="A480" s="10">
        <v>46004.875021759261</v>
      </c>
    </row>
    <row r="481" spans="1:1" x14ac:dyDescent="0.3">
      <c r="A481" s="10">
        <v>46004.916688483798</v>
      </c>
    </row>
    <row r="482" spans="1:1" x14ac:dyDescent="0.3">
      <c r="A482" s="10">
        <v>46004.958355208335</v>
      </c>
    </row>
    <row r="483" spans="1:1" x14ac:dyDescent="0.3">
      <c r="A483" s="10">
        <v>46005.000021932872</v>
      </c>
    </row>
    <row r="484" spans="1:1" x14ac:dyDescent="0.3">
      <c r="A484" s="10">
        <v>46005.041688657409</v>
      </c>
    </row>
    <row r="485" spans="1:1" x14ac:dyDescent="0.3">
      <c r="A485" s="10">
        <v>46005.083355381947</v>
      </c>
    </row>
    <row r="486" spans="1:1" x14ac:dyDescent="0.3">
      <c r="A486" s="10">
        <v>46005.125022106484</v>
      </c>
    </row>
    <row r="487" spans="1:1" x14ac:dyDescent="0.3">
      <c r="A487" s="10">
        <v>46005.166688831021</v>
      </c>
    </row>
    <row r="488" spans="1:1" x14ac:dyDescent="0.3">
      <c r="A488" s="10">
        <v>46005.208355555558</v>
      </c>
    </row>
    <row r="489" spans="1:1" x14ac:dyDescent="0.3">
      <c r="A489" s="10">
        <v>46005.250022280095</v>
      </c>
    </row>
    <row r="490" spans="1:1" x14ac:dyDescent="0.3">
      <c r="A490" s="10">
        <v>46005.291689004633</v>
      </c>
    </row>
    <row r="491" spans="1:1" x14ac:dyDescent="0.3">
      <c r="A491" s="10">
        <v>46005.33335572917</v>
      </c>
    </row>
    <row r="492" spans="1:1" x14ac:dyDescent="0.3">
      <c r="A492" s="10">
        <v>46005.375022453707</v>
      </c>
    </row>
    <row r="493" spans="1:1" x14ac:dyDescent="0.3">
      <c r="A493" s="10">
        <v>46005.416689178244</v>
      </c>
    </row>
    <row r="494" spans="1:1" x14ac:dyDescent="0.3">
      <c r="A494" s="10">
        <v>46005.458355902774</v>
      </c>
    </row>
    <row r="495" spans="1:1" x14ac:dyDescent="0.3">
      <c r="A495" s="10">
        <v>46005.500022627311</v>
      </c>
    </row>
    <row r="496" spans="1:1" x14ac:dyDescent="0.3">
      <c r="A496" s="10">
        <v>46005.541689351849</v>
      </c>
    </row>
    <row r="497" spans="1:1" x14ac:dyDescent="0.3">
      <c r="A497" s="10">
        <v>46005.583356076386</v>
      </c>
    </row>
    <row r="498" spans="1:1" x14ac:dyDescent="0.3">
      <c r="A498" s="10">
        <v>46005.625022800923</v>
      </c>
    </row>
    <row r="499" spans="1:1" x14ac:dyDescent="0.3">
      <c r="A499" s="10">
        <v>46005.66668952546</v>
      </c>
    </row>
    <row r="500" spans="1:1" x14ac:dyDescent="0.3">
      <c r="A500" s="10">
        <v>46005.708356249997</v>
      </c>
    </row>
    <row r="501" spans="1:1" x14ac:dyDescent="0.3">
      <c r="A501" s="10">
        <v>46005.750022974535</v>
      </c>
    </row>
    <row r="502" spans="1:1" x14ac:dyDescent="0.3">
      <c r="A502" s="10">
        <v>46005.791689699072</v>
      </c>
    </row>
    <row r="503" spans="1:1" x14ac:dyDescent="0.3">
      <c r="A503" s="10">
        <v>46005.833356423609</v>
      </c>
    </row>
    <row r="504" spans="1:1" x14ac:dyDescent="0.3">
      <c r="A504" s="10">
        <v>46005.875023148146</v>
      </c>
    </row>
    <row r="505" spans="1:1" x14ac:dyDescent="0.3">
      <c r="A505" s="10">
        <v>46005.916689872683</v>
      </c>
    </row>
    <row r="506" spans="1:1" x14ac:dyDescent="0.3">
      <c r="A506" s="10">
        <v>46005.958356597221</v>
      </c>
    </row>
    <row r="507" spans="1:1" x14ac:dyDescent="0.3">
      <c r="A507" s="10">
        <v>46006.000023321758</v>
      </c>
    </row>
    <row r="508" spans="1:1" x14ac:dyDescent="0.3">
      <c r="A508" s="10">
        <v>46006.041690046295</v>
      </c>
    </row>
    <row r="509" spans="1:1" x14ac:dyDescent="0.3">
      <c r="A509" s="10">
        <v>46006.083356770832</v>
      </c>
    </row>
    <row r="510" spans="1:1" x14ac:dyDescent="0.3">
      <c r="A510" s="10">
        <v>46006.12502349537</v>
      </c>
    </row>
    <row r="511" spans="1:1" x14ac:dyDescent="0.3">
      <c r="A511" s="10">
        <v>46006.166690219907</v>
      </c>
    </row>
    <row r="512" spans="1:1" x14ac:dyDescent="0.3">
      <c r="A512" s="10">
        <v>46006.208356944444</v>
      </c>
    </row>
    <row r="513" spans="1:1" x14ac:dyDescent="0.3">
      <c r="A513" s="10">
        <v>46006.250023668981</v>
      </c>
    </row>
    <row r="514" spans="1:1" x14ac:dyDescent="0.3">
      <c r="A514" s="10">
        <v>46006.291690393518</v>
      </c>
    </row>
    <row r="515" spans="1:1" x14ac:dyDescent="0.3">
      <c r="A515" s="10">
        <v>46006.333357118056</v>
      </c>
    </row>
    <row r="516" spans="1:1" x14ac:dyDescent="0.3">
      <c r="A516" s="10">
        <v>46006.375023842593</v>
      </c>
    </row>
    <row r="517" spans="1:1" x14ac:dyDescent="0.3">
      <c r="A517" s="10">
        <v>46006.41669056713</v>
      </c>
    </row>
    <row r="518" spans="1:1" x14ac:dyDescent="0.3">
      <c r="A518" s="10">
        <v>46006.458357291667</v>
      </c>
    </row>
    <row r="519" spans="1:1" x14ac:dyDescent="0.3">
      <c r="A519" s="10">
        <v>46006.500024016204</v>
      </c>
    </row>
    <row r="520" spans="1:1" x14ac:dyDescent="0.3">
      <c r="A520" s="10">
        <v>46006.541690740742</v>
      </c>
    </row>
    <row r="521" spans="1:1" x14ac:dyDescent="0.3">
      <c r="A521" s="10">
        <v>46006.583357465279</v>
      </c>
    </row>
    <row r="522" spans="1:1" x14ac:dyDescent="0.3">
      <c r="A522" s="10">
        <v>46006.625024189816</v>
      </c>
    </row>
    <row r="523" spans="1:1" x14ac:dyDescent="0.3">
      <c r="A523" s="10">
        <v>46006.666690914353</v>
      </c>
    </row>
    <row r="524" spans="1:1" x14ac:dyDescent="0.3">
      <c r="A524" s="10">
        <v>46006.70835763889</v>
      </c>
    </row>
    <row r="525" spans="1:1" x14ac:dyDescent="0.3">
      <c r="A525" s="10">
        <v>46006.750024363428</v>
      </c>
    </row>
    <row r="526" spans="1:1" x14ac:dyDescent="0.3">
      <c r="A526" s="10">
        <v>46006.791691087965</v>
      </c>
    </row>
    <row r="527" spans="1:1" x14ac:dyDescent="0.3">
      <c r="A527" s="10">
        <v>46006.833357812502</v>
      </c>
    </row>
    <row r="528" spans="1:1" x14ac:dyDescent="0.3">
      <c r="A528" s="10">
        <v>46006.875024537039</v>
      </c>
    </row>
    <row r="529" spans="1:1" x14ac:dyDescent="0.3">
      <c r="A529" s="10">
        <v>46006.916691261576</v>
      </c>
    </row>
    <row r="530" spans="1:1" x14ac:dyDescent="0.3">
      <c r="A530" s="10">
        <v>46006.958357986114</v>
      </c>
    </row>
    <row r="531" spans="1:1" x14ac:dyDescent="0.3">
      <c r="A531" s="10">
        <v>46007.000024710651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830F-5EB1-43C6-9C3C-5BAAA43A0203}">
  <dimension ref="A1:N16"/>
  <sheetViews>
    <sheetView workbookViewId="0">
      <selection activeCell="N20" sqref="N20"/>
    </sheetView>
  </sheetViews>
  <sheetFormatPr defaultRowHeight="14.4" x14ac:dyDescent="0.3"/>
  <cols>
    <col min="1" max="1" width="22.88671875" style="15" customWidth="1"/>
    <col min="2" max="4" width="10.33203125" style="15" customWidth="1"/>
    <col min="5" max="11" width="10.88671875" customWidth="1"/>
    <col min="12" max="12" width="11" customWidth="1"/>
    <col min="13" max="13" width="10.77734375" customWidth="1"/>
    <col min="14" max="14" width="10.44140625" customWidth="1"/>
  </cols>
  <sheetData>
    <row r="1" spans="1:14" ht="21" x14ac:dyDescent="0.4">
      <c r="A1" s="2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" x14ac:dyDescent="0.35">
      <c r="A2" s="27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s="15" customFormat="1" x14ac:dyDescent="0.3">
      <c r="A4" s="13" t="s">
        <v>12</v>
      </c>
      <c r="B4" s="14">
        <v>45983</v>
      </c>
      <c r="C4" s="14">
        <v>45984</v>
      </c>
      <c r="D4" s="14">
        <v>45985</v>
      </c>
      <c r="E4" s="14">
        <v>45986</v>
      </c>
      <c r="F4" s="14">
        <v>45987</v>
      </c>
      <c r="G4" s="14">
        <v>45988</v>
      </c>
      <c r="H4" s="14">
        <v>45989</v>
      </c>
      <c r="I4" s="14">
        <v>45990</v>
      </c>
      <c r="J4" s="14">
        <v>45991</v>
      </c>
      <c r="K4" s="14">
        <v>45992</v>
      </c>
      <c r="L4" s="19">
        <v>45993</v>
      </c>
      <c r="M4" s="19">
        <v>45994</v>
      </c>
      <c r="N4" s="19">
        <v>45995</v>
      </c>
    </row>
    <row r="5" spans="1:14" x14ac:dyDescent="0.3">
      <c r="A5" s="16" t="s">
        <v>1</v>
      </c>
      <c r="B5" s="17">
        <v>26.2</v>
      </c>
      <c r="C5" s="17">
        <v>13</v>
      </c>
      <c r="D5" s="17">
        <v>29.9</v>
      </c>
      <c r="E5" s="17">
        <v>27.6</v>
      </c>
      <c r="F5" s="17">
        <v>4.2</v>
      </c>
      <c r="G5" s="17">
        <v>48.2</v>
      </c>
      <c r="H5" s="17">
        <v>193.8</v>
      </c>
      <c r="I5" s="17">
        <v>41.6</v>
      </c>
      <c r="J5" s="17">
        <v>0</v>
      </c>
      <c r="K5" s="18">
        <v>0</v>
      </c>
      <c r="L5" s="20"/>
      <c r="M5" s="20"/>
      <c r="N5" s="20"/>
    </row>
    <row r="6" spans="1:14" x14ac:dyDescent="0.3">
      <c r="A6" s="16" t="s">
        <v>2</v>
      </c>
      <c r="B6" s="17">
        <v>22.2</v>
      </c>
      <c r="C6" s="17">
        <v>10.199999999999999</v>
      </c>
      <c r="D6" s="17">
        <v>16.100000000000001</v>
      </c>
      <c r="E6" s="17">
        <v>9.6</v>
      </c>
      <c r="F6" s="17">
        <v>14.4</v>
      </c>
      <c r="G6" s="17">
        <v>61.9</v>
      </c>
      <c r="H6" s="17">
        <v>215.1</v>
      </c>
      <c r="I6" s="17">
        <v>102.6</v>
      </c>
      <c r="J6" s="17">
        <v>0</v>
      </c>
      <c r="K6" s="18">
        <v>0</v>
      </c>
      <c r="L6" s="20"/>
      <c r="M6" s="20"/>
      <c r="N6" s="20"/>
    </row>
    <row r="7" spans="1:14" x14ac:dyDescent="0.3">
      <c r="A7" s="16" t="s">
        <v>3</v>
      </c>
      <c r="B7" s="17">
        <v>39.299999999999997</v>
      </c>
      <c r="C7" s="17">
        <v>6.2</v>
      </c>
      <c r="D7" s="17">
        <v>9.3000000000000007</v>
      </c>
      <c r="E7" s="17">
        <v>15.4</v>
      </c>
      <c r="F7" s="17">
        <v>22.4</v>
      </c>
      <c r="G7" s="17">
        <v>93.3</v>
      </c>
      <c r="H7" s="17">
        <v>231.3</v>
      </c>
      <c r="I7" s="17">
        <v>160.30000000000001</v>
      </c>
      <c r="J7" s="17">
        <v>2</v>
      </c>
      <c r="K7" s="18">
        <v>0</v>
      </c>
      <c r="L7" s="20"/>
      <c r="M7" s="20"/>
      <c r="N7" s="20"/>
    </row>
    <row r="8" spans="1:14" x14ac:dyDescent="0.3">
      <c r="A8" s="16" t="s">
        <v>4</v>
      </c>
      <c r="B8" s="17">
        <v>11.4</v>
      </c>
      <c r="C8" s="17">
        <v>28.1</v>
      </c>
      <c r="D8" s="17">
        <v>44</v>
      </c>
      <c r="E8" s="17">
        <v>8.3000000000000007</v>
      </c>
      <c r="F8" s="17">
        <v>20.6</v>
      </c>
      <c r="G8" s="17">
        <v>121.9</v>
      </c>
      <c r="H8" s="17">
        <v>160.4</v>
      </c>
      <c r="I8" s="17" t="s">
        <v>13</v>
      </c>
      <c r="J8" s="17">
        <v>0.3</v>
      </c>
      <c r="K8" s="18">
        <v>0</v>
      </c>
      <c r="L8" s="20"/>
      <c r="M8" s="20"/>
      <c r="N8" s="20"/>
    </row>
    <row r="9" spans="1:14" x14ac:dyDescent="0.3">
      <c r="A9" s="16" t="s">
        <v>5</v>
      </c>
      <c r="B9" s="17">
        <v>38.4</v>
      </c>
      <c r="C9" s="17">
        <v>4.7</v>
      </c>
      <c r="D9" s="17">
        <v>7.8</v>
      </c>
      <c r="E9" s="17">
        <v>77.7</v>
      </c>
      <c r="F9" s="17">
        <v>15.1</v>
      </c>
      <c r="G9" s="17">
        <v>116.5</v>
      </c>
      <c r="H9" s="17">
        <v>251.5</v>
      </c>
      <c r="I9" s="17">
        <v>92.9</v>
      </c>
      <c r="J9" s="17">
        <v>0.7</v>
      </c>
      <c r="K9" s="18">
        <v>0</v>
      </c>
      <c r="L9" s="20"/>
      <c r="M9" s="20"/>
      <c r="N9" s="20"/>
    </row>
    <row r="10" spans="1:14" x14ac:dyDescent="0.3">
      <c r="A10" s="16" t="s">
        <v>6</v>
      </c>
      <c r="B10" s="17">
        <v>6.5</v>
      </c>
      <c r="C10" s="17">
        <v>24.8</v>
      </c>
      <c r="D10" s="17">
        <v>49.9</v>
      </c>
      <c r="E10" s="17">
        <v>18.600000000000001</v>
      </c>
      <c r="F10" s="17">
        <v>16</v>
      </c>
      <c r="G10" s="17">
        <v>92</v>
      </c>
      <c r="H10" s="17">
        <v>150.6</v>
      </c>
      <c r="I10" s="17" t="s">
        <v>13</v>
      </c>
      <c r="J10" s="17">
        <v>2.2999999999999998</v>
      </c>
      <c r="K10" s="18">
        <v>0</v>
      </c>
      <c r="L10" s="20"/>
      <c r="M10" s="20"/>
      <c r="N10" s="20"/>
    </row>
    <row r="11" spans="1:14" x14ac:dyDescent="0.3">
      <c r="A11" s="16" t="s">
        <v>14</v>
      </c>
      <c r="B11" s="17">
        <v>2</v>
      </c>
      <c r="C11" s="17">
        <v>15</v>
      </c>
      <c r="D11" s="17">
        <v>71</v>
      </c>
      <c r="E11" s="17">
        <v>46</v>
      </c>
      <c r="F11" s="17">
        <v>14</v>
      </c>
      <c r="G11" s="17">
        <v>73.5</v>
      </c>
      <c r="H11" s="17">
        <v>275</v>
      </c>
      <c r="I11" s="17">
        <v>191</v>
      </c>
      <c r="J11" s="17">
        <v>12</v>
      </c>
      <c r="K11" s="18">
        <v>0</v>
      </c>
      <c r="L11" s="20"/>
      <c r="M11" s="20"/>
      <c r="N11" s="20"/>
    </row>
    <row r="12" spans="1:14" x14ac:dyDescent="0.3">
      <c r="A12" s="16" t="s">
        <v>15</v>
      </c>
      <c r="B12" s="17">
        <v>18.5</v>
      </c>
      <c r="C12" s="17">
        <v>16.399999999999999</v>
      </c>
      <c r="D12" s="17">
        <v>25.5</v>
      </c>
      <c r="E12" s="17">
        <v>38.9</v>
      </c>
      <c r="F12" s="17">
        <v>15</v>
      </c>
      <c r="G12" s="17">
        <v>79.5</v>
      </c>
      <c r="H12" s="17">
        <v>358.2</v>
      </c>
      <c r="I12" s="17">
        <v>146</v>
      </c>
      <c r="J12" s="17">
        <v>16.5</v>
      </c>
      <c r="K12" s="18">
        <v>0</v>
      </c>
      <c r="L12" s="20"/>
      <c r="M12" s="20"/>
      <c r="N12" s="20"/>
    </row>
    <row r="13" spans="1:14" x14ac:dyDescent="0.3">
      <c r="A13" s="16" t="s">
        <v>16</v>
      </c>
      <c r="B13" s="17">
        <v>8</v>
      </c>
      <c r="C13" s="17">
        <v>16.8</v>
      </c>
      <c r="D13" s="17">
        <v>27</v>
      </c>
      <c r="E13" s="17">
        <v>40</v>
      </c>
      <c r="F13" s="17">
        <v>13.4</v>
      </c>
      <c r="G13" s="17">
        <v>67</v>
      </c>
      <c r="H13" s="17">
        <v>182</v>
      </c>
      <c r="I13" s="17">
        <v>177</v>
      </c>
      <c r="J13" s="17">
        <v>18</v>
      </c>
      <c r="K13" s="18">
        <v>0</v>
      </c>
      <c r="L13" s="20"/>
      <c r="M13" s="20"/>
      <c r="N13" s="20"/>
    </row>
    <row r="14" spans="1:14" x14ac:dyDescent="0.3">
      <c r="A14" s="16" t="s">
        <v>17</v>
      </c>
      <c r="B14" s="17">
        <v>9.6</v>
      </c>
      <c r="C14" s="17">
        <v>11.3</v>
      </c>
      <c r="D14" s="17">
        <v>37.4</v>
      </c>
      <c r="E14" s="17">
        <v>24.5</v>
      </c>
      <c r="F14" s="17">
        <v>12.3</v>
      </c>
      <c r="G14" s="17">
        <v>78.599999999999994</v>
      </c>
      <c r="H14" s="17">
        <v>271.60000000000002</v>
      </c>
      <c r="I14" s="17">
        <v>247.9</v>
      </c>
      <c r="J14" s="17">
        <v>20</v>
      </c>
      <c r="K14" s="18">
        <v>0</v>
      </c>
      <c r="L14" s="20"/>
      <c r="M14" s="20"/>
      <c r="N14" s="20"/>
    </row>
    <row r="15" spans="1:14" x14ac:dyDescent="0.3">
      <c r="A15" s="16" t="s">
        <v>18</v>
      </c>
      <c r="B15" s="17">
        <v>29</v>
      </c>
      <c r="C15" s="17">
        <v>9</v>
      </c>
      <c r="D15" s="17">
        <v>21</v>
      </c>
      <c r="E15" s="17">
        <v>26</v>
      </c>
      <c r="F15" s="17">
        <v>12.9</v>
      </c>
      <c r="G15" s="17">
        <v>69.599999999999994</v>
      </c>
      <c r="H15" s="17">
        <v>294.3</v>
      </c>
      <c r="I15" s="17">
        <v>226.4</v>
      </c>
      <c r="J15" s="17">
        <v>0</v>
      </c>
      <c r="K15" s="18">
        <v>0</v>
      </c>
      <c r="L15" s="20"/>
      <c r="M15" s="20"/>
      <c r="N15" s="20"/>
    </row>
    <row r="16" spans="1:14" x14ac:dyDescent="0.3">
      <c r="A16" s="16" t="s">
        <v>27</v>
      </c>
      <c r="B16" s="17">
        <v>5.4</v>
      </c>
      <c r="C16" s="17">
        <v>1.4</v>
      </c>
      <c r="D16" s="17">
        <v>0.7</v>
      </c>
      <c r="E16" s="17">
        <v>1.8</v>
      </c>
      <c r="F16" s="17">
        <v>3.5</v>
      </c>
      <c r="G16" s="17">
        <v>55.5</v>
      </c>
      <c r="H16" s="17">
        <v>145.80000000000001</v>
      </c>
      <c r="I16" s="17">
        <v>34.5</v>
      </c>
      <c r="J16" s="17">
        <v>0</v>
      </c>
      <c r="K16" s="18">
        <v>0</v>
      </c>
      <c r="L16" s="20"/>
      <c r="M16" s="20"/>
      <c r="N1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A111-806F-497A-85C4-E7B0DEEC8084}">
  <dimension ref="A1:Q267"/>
  <sheetViews>
    <sheetView topLeftCell="A135" workbookViewId="0">
      <selection activeCell="A147" sqref="A147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1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2.2999999999999998</v>
      </c>
      <c r="C4" s="6">
        <f>IF(B4="","",IF((B4+0.56)&gt;4,13.194*(B4+0.56)^2+13.311*(B4+0.56)-0.8227,27.012*(B4+0.56)^1.6477))</f>
        <v>152.58472307802754</v>
      </c>
      <c r="D4" s="9">
        <v>0</v>
      </c>
      <c r="E4" s="11">
        <v>7</v>
      </c>
      <c r="F4" s="11">
        <v>8</v>
      </c>
      <c r="G4" s="11">
        <v>10</v>
      </c>
      <c r="I4" s="23">
        <v>12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2.3199999999999998</v>
      </c>
      <c r="C5" s="6">
        <f t="shared" ref="C5:C68" si="0">IF(B5="","",IF((B5+0.56)&gt;4,13.194*(B5+0.56)^2+13.311*(B5+0.56)-0.8227,27.012*(B5+0.56)^1.6477))</f>
        <v>154.34684024579826</v>
      </c>
      <c r="D5" s="9">
        <v>0</v>
      </c>
      <c r="E5" s="11">
        <v>7</v>
      </c>
      <c r="F5" s="11">
        <v>8</v>
      </c>
      <c r="G5" s="11">
        <v>10</v>
      </c>
      <c r="K5" s="1"/>
      <c r="Q5" s="25"/>
    </row>
    <row r="6" spans="1:17" x14ac:dyDescent="0.3">
      <c r="A6" s="1">
        <v>45985.125000057873</v>
      </c>
      <c r="B6" s="5">
        <v>2.38</v>
      </c>
      <c r="C6" s="6">
        <f t="shared" si="0"/>
        <v>159.68077705919112</v>
      </c>
      <c r="D6" s="9">
        <v>0</v>
      </c>
      <c r="E6" s="11">
        <v>7</v>
      </c>
      <c r="F6" s="11">
        <v>8</v>
      </c>
      <c r="G6" s="11">
        <v>10</v>
      </c>
      <c r="K6" s="1"/>
      <c r="M6" s="1"/>
    </row>
    <row r="7" spans="1:17" x14ac:dyDescent="0.3">
      <c r="A7" s="1">
        <v>45985.16666678241</v>
      </c>
      <c r="B7" s="5">
        <v>2.6</v>
      </c>
      <c r="C7" s="6">
        <f t="shared" si="0"/>
        <v>179.84200970198029</v>
      </c>
      <c r="D7" s="9">
        <v>0</v>
      </c>
      <c r="E7" s="11">
        <v>7</v>
      </c>
      <c r="F7" s="11">
        <v>8</v>
      </c>
      <c r="G7" s="11">
        <v>10</v>
      </c>
    </row>
    <row r="8" spans="1:17" x14ac:dyDescent="0.3">
      <c r="A8" s="1">
        <v>45985.208333506947</v>
      </c>
      <c r="B8" s="5">
        <v>2.84</v>
      </c>
      <c r="C8" s="6">
        <f t="shared" si="0"/>
        <v>202.89649869946464</v>
      </c>
      <c r="D8" s="9">
        <v>0</v>
      </c>
      <c r="E8" s="11">
        <v>7</v>
      </c>
      <c r="F8" s="11">
        <v>8</v>
      </c>
      <c r="G8" s="11">
        <v>10</v>
      </c>
    </row>
    <row r="9" spans="1:17" x14ac:dyDescent="0.3">
      <c r="A9" s="1">
        <v>45985.250000231485</v>
      </c>
      <c r="B9" s="5">
        <v>2.96</v>
      </c>
      <c r="C9" s="6">
        <f t="shared" si="0"/>
        <v>214.83007875799075</v>
      </c>
      <c r="D9" s="9">
        <v>0</v>
      </c>
      <c r="E9" s="11">
        <v>7</v>
      </c>
      <c r="F9" s="11">
        <v>8</v>
      </c>
      <c r="G9" s="11">
        <v>10</v>
      </c>
    </row>
    <row r="10" spans="1:17" x14ac:dyDescent="0.3">
      <c r="A10" s="1">
        <v>45985.291666956022</v>
      </c>
      <c r="B10" s="5">
        <v>3.09</v>
      </c>
      <c r="C10" s="6">
        <f t="shared" si="0"/>
        <v>228.05872595290862</v>
      </c>
      <c r="D10" s="9">
        <v>0.2</v>
      </c>
      <c r="E10" s="11">
        <v>7</v>
      </c>
      <c r="F10" s="11">
        <v>8</v>
      </c>
      <c r="G10" s="11">
        <v>10</v>
      </c>
    </row>
    <row r="11" spans="1:17" x14ac:dyDescent="0.3">
      <c r="A11" s="1">
        <v>45985.333333680559</v>
      </c>
      <c r="B11" s="5">
        <v>3.14</v>
      </c>
      <c r="C11" s="6">
        <f t="shared" si="0"/>
        <v>233.22909215584443</v>
      </c>
      <c r="D11" s="9">
        <v>0</v>
      </c>
      <c r="E11" s="11">
        <v>7</v>
      </c>
      <c r="F11" s="11">
        <v>8</v>
      </c>
      <c r="G11" s="11">
        <v>10</v>
      </c>
    </row>
    <row r="12" spans="1:17" x14ac:dyDescent="0.3">
      <c r="A12" s="1">
        <v>45985.375000405096</v>
      </c>
      <c r="B12" s="5">
        <v>3.15</v>
      </c>
      <c r="C12" s="6">
        <f t="shared" si="0"/>
        <v>234.26862682470207</v>
      </c>
      <c r="D12" s="9">
        <v>0</v>
      </c>
      <c r="E12" s="11">
        <v>7</v>
      </c>
      <c r="F12" s="11">
        <v>8</v>
      </c>
      <c r="G12" s="11">
        <v>10</v>
      </c>
    </row>
    <row r="13" spans="1:17" x14ac:dyDescent="0.3">
      <c r="A13" s="1">
        <v>45985.416667129626</v>
      </c>
      <c r="B13" s="5">
        <v>3.12</v>
      </c>
      <c r="C13" s="6">
        <f t="shared" si="0"/>
        <v>231.15547902418629</v>
      </c>
      <c r="D13" s="9">
        <v>0</v>
      </c>
      <c r="E13" s="11">
        <v>7</v>
      </c>
      <c r="F13" s="11">
        <v>8</v>
      </c>
      <c r="G13" s="11">
        <v>10</v>
      </c>
    </row>
    <row r="14" spans="1:17" x14ac:dyDescent="0.3">
      <c r="A14" s="1">
        <v>45985.458333854163</v>
      </c>
      <c r="B14" s="5">
        <v>3.08</v>
      </c>
      <c r="C14" s="6">
        <f t="shared" si="0"/>
        <v>227.03012637073181</v>
      </c>
      <c r="D14" s="9">
        <v>0</v>
      </c>
      <c r="E14" s="11">
        <v>7</v>
      </c>
      <c r="F14" s="11">
        <v>8</v>
      </c>
      <c r="G14" s="11">
        <v>10</v>
      </c>
    </row>
    <row r="15" spans="1:17" x14ac:dyDescent="0.3">
      <c r="A15" s="1">
        <v>45985.500000578701</v>
      </c>
      <c r="B15" s="5">
        <v>2.97</v>
      </c>
      <c r="C15" s="6">
        <f t="shared" si="0"/>
        <v>215.83661591640163</v>
      </c>
      <c r="D15" s="9">
        <v>0</v>
      </c>
      <c r="E15" s="11">
        <v>7</v>
      </c>
      <c r="F15" s="11">
        <v>8</v>
      </c>
      <c r="G15" s="11">
        <v>10</v>
      </c>
    </row>
    <row r="16" spans="1:17" x14ac:dyDescent="0.3">
      <c r="A16" s="1">
        <v>45985.541667303238</v>
      </c>
      <c r="B16" s="5">
        <v>2.89</v>
      </c>
      <c r="C16" s="6">
        <f t="shared" si="0"/>
        <v>207.83623382374043</v>
      </c>
      <c r="D16" s="9">
        <v>0</v>
      </c>
      <c r="E16" s="11">
        <v>7</v>
      </c>
      <c r="F16" s="11">
        <v>8</v>
      </c>
      <c r="G16" s="11">
        <v>10</v>
      </c>
    </row>
    <row r="17" spans="1:7" x14ac:dyDescent="0.3">
      <c r="A17" s="1">
        <v>45985.583334027775</v>
      </c>
      <c r="B17" s="5">
        <v>2.81</v>
      </c>
      <c r="C17" s="6">
        <f t="shared" si="0"/>
        <v>199.9551198470372</v>
      </c>
      <c r="D17" s="9">
        <v>0</v>
      </c>
      <c r="E17" s="11">
        <v>7</v>
      </c>
      <c r="F17" s="11">
        <v>8</v>
      </c>
      <c r="G17" s="11">
        <v>10</v>
      </c>
    </row>
    <row r="18" spans="1:7" x14ac:dyDescent="0.3">
      <c r="A18" s="1">
        <v>45985.625000752312</v>
      </c>
      <c r="B18" s="5">
        <v>2.74</v>
      </c>
      <c r="C18" s="6">
        <f t="shared" si="0"/>
        <v>193.15775974510467</v>
      </c>
      <c r="D18" s="9">
        <v>0</v>
      </c>
      <c r="E18" s="11">
        <v>7</v>
      </c>
      <c r="F18" s="11">
        <v>8</v>
      </c>
      <c r="G18" s="11">
        <v>10</v>
      </c>
    </row>
    <row r="19" spans="1:7" x14ac:dyDescent="0.3">
      <c r="A19" s="1">
        <v>45985.666667476849</v>
      </c>
      <c r="B19" s="5">
        <v>2.67</v>
      </c>
      <c r="C19" s="6">
        <f t="shared" si="0"/>
        <v>186.453155247175</v>
      </c>
      <c r="D19" s="9">
        <v>22.8</v>
      </c>
      <c r="E19" s="11">
        <v>7</v>
      </c>
      <c r="F19" s="11">
        <v>8</v>
      </c>
      <c r="G19" s="11">
        <v>10</v>
      </c>
    </row>
    <row r="20" spans="1:7" x14ac:dyDescent="0.3">
      <c r="A20" s="1">
        <v>45985.708334201387</v>
      </c>
      <c r="B20" s="5">
        <v>2.6</v>
      </c>
      <c r="C20" s="6">
        <f t="shared" si="0"/>
        <v>179.84200970198029</v>
      </c>
      <c r="D20" s="9">
        <v>1.3</v>
      </c>
      <c r="E20" s="11">
        <v>7</v>
      </c>
      <c r="F20" s="11">
        <v>8</v>
      </c>
      <c r="G20" s="11">
        <v>10</v>
      </c>
    </row>
    <row r="21" spans="1:7" x14ac:dyDescent="0.3">
      <c r="A21" s="1">
        <v>45985.750000925924</v>
      </c>
      <c r="B21" s="5">
        <v>2.56</v>
      </c>
      <c r="C21" s="6">
        <f t="shared" si="0"/>
        <v>176.10645124432691</v>
      </c>
      <c r="D21" s="9">
        <v>2.5</v>
      </c>
      <c r="E21" s="11">
        <v>7</v>
      </c>
      <c r="F21" s="11">
        <v>8</v>
      </c>
      <c r="G21" s="11">
        <v>10</v>
      </c>
    </row>
    <row r="22" spans="1:7" x14ac:dyDescent="0.3">
      <c r="A22" s="1">
        <v>45985.791667650461</v>
      </c>
      <c r="B22" s="5">
        <v>2.54</v>
      </c>
      <c r="C22" s="6">
        <f t="shared" si="0"/>
        <v>174.25024764006761</v>
      </c>
      <c r="D22" s="9">
        <v>1</v>
      </c>
      <c r="E22" s="11">
        <v>7</v>
      </c>
      <c r="F22" s="11">
        <v>8</v>
      </c>
      <c r="G22" s="11">
        <v>10</v>
      </c>
    </row>
    <row r="23" spans="1:7" x14ac:dyDescent="0.3">
      <c r="A23" s="1">
        <v>45985.833334374998</v>
      </c>
      <c r="B23" s="5">
        <v>2.54</v>
      </c>
      <c r="C23" s="6">
        <f t="shared" si="0"/>
        <v>174.25024764006761</v>
      </c>
      <c r="D23" s="9">
        <v>0</v>
      </c>
      <c r="E23" s="11">
        <v>7</v>
      </c>
      <c r="F23" s="11">
        <v>8</v>
      </c>
      <c r="G23" s="11">
        <v>10</v>
      </c>
    </row>
    <row r="24" spans="1:7" x14ac:dyDescent="0.3">
      <c r="A24" s="1">
        <v>45985.875001099535</v>
      </c>
      <c r="B24" s="5">
        <v>2.56</v>
      </c>
      <c r="C24" s="6">
        <f t="shared" si="0"/>
        <v>176.10645124432691</v>
      </c>
      <c r="D24" s="9">
        <v>0</v>
      </c>
      <c r="E24" s="11">
        <v>7</v>
      </c>
      <c r="F24" s="11">
        <v>8</v>
      </c>
      <c r="G24" s="11">
        <v>10</v>
      </c>
    </row>
    <row r="25" spans="1:7" x14ac:dyDescent="0.3">
      <c r="A25" s="1">
        <v>45985.916667824073</v>
      </c>
      <c r="B25" s="5">
        <v>2.63</v>
      </c>
      <c r="C25" s="6">
        <f t="shared" si="0"/>
        <v>182.66386787651069</v>
      </c>
      <c r="D25" s="9">
        <v>0</v>
      </c>
      <c r="E25" s="11">
        <v>7</v>
      </c>
      <c r="F25" s="11">
        <v>8</v>
      </c>
      <c r="G25" s="11">
        <v>10</v>
      </c>
    </row>
    <row r="26" spans="1:7" x14ac:dyDescent="0.3">
      <c r="A26" s="1">
        <v>45985.95833454861</v>
      </c>
      <c r="B26" s="5">
        <v>2.71</v>
      </c>
      <c r="C26" s="6">
        <f t="shared" si="0"/>
        <v>190.27295944361128</v>
      </c>
      <c r="D26" s="9">
        <v>0</v>
      </c>
      <c r="E26" s="11">
        <v>7</v>
      </c>
      <c r="F26" s="11">
        <v>8</v>
      </c>
      <c r="G26" s="11">
        <v>10</v>
      </c>
    </row>
    <row r="27" spans="1:7" x14ac:dyDescent="0.3">
      <c r="A27" s="1">
        <v>45986.000001273147</v>
      </c>
      <c r="B27" s="5">
        <v>2.8</v>
      </c>
      <c r="C27" s="6">
        <f t="shared" si="0"/>
        <v>198.97841560222543</v>
      </c>
      <c r="D27" s="9">
        <v>0</v>
      </c>
      <c r="E27" s="11">
        <v>7</v>
      </c>
      <c r="F27" s="11">
        <v>8</v>
      </c>
      <c r="G27" s="11">
        <v>10</v>
      </c>
    </row>
    <row r="28" spans="1:7" x14ac:dyDescent="0.3">
      <c r="A28" s="1">
        <v>45986.041667997684</v>
      </c>
      <c r="B28" s="5">
        <v>2.93</v>
      </c>
      <c r="C28" s="6">
        <f t="shared" si="0"/>
        <v>211.82157701793605</v>
      </c>
      <c r="D28" s="9">
        <v>0</v>
      </c>
      <c r="E28" s="11">
        <v>7</v>
      </c>
      <c r="F28" s="11">
        <v>8</v>
      </c>
      <c r="G28" s="11">
        <v>10</v>
      </c>
    </row>
    <row r="29" spans="1:7" x14ac:dyDescent="0.3">
      <c r="A29" s="1">
        <v>45986.083334722221</v>
      </c>
      <c r="B29" s="5">
        <v>3.05</v>
      </c>
      <c r="C29" s="6">
        <f t="shared" si="0"/>
        <v>223.9553066816969</v>
      </c>
      <c r="D29" s="9">
        <v>0</v>
      </c>
      <c r="E29" s="11">
        <v>7</v>
      </c>
      <c r="F29" s="11">
        <v>8</v>
      </c>
      <c r="G29" s="11">
        <v>10</v>
      </c>
    </row>
    <row r="30" spans="1:7" x14ac:dyDescent="0.3">
      <c r="A30" s="1">
        <v>45986.125001446759</v>
      </c>
      <c r="B30" s="5">
        <v>3.12</v>
      </c>
      <c r="C30" s="6">
        <f t="shared" si="0"/>
        <v>231.15547902418629</v>
      </c>
      <c r="D30" s="9">
        <v>0</v>
      </c>
      <c r="E30" s="11">
        <v>7</v>
      </c>
      <c r="F30" s="11">
        <v>8</v>
      </c>
      <c r="G30" s="11">
        <v>10</v>
      </c>
    </row>
    <row r="31" spans="1:7" x14ac:dyDescent="0.3">
      <c r="A31" s="1">
        <v>45986.166668171296</v>
      </c>
      <c r="B31" s="5">
        <v>3.14</v>
      </c>
      <c r="C31" s="6">
        <f t="shared" si="0"/>
        <v>233.22909215584443</v>
      </c>
      <c r="D31" s="9">
        <v>0</v>
      </c>
      <c r="E31" s="11">
        <v>7</v>
      </c>
      <c r="F31" s="11">
        <v>8</v>
      </c>
      <c r="G31" s="11">
        <v>10</v>
      </c>
    </row>
    <row r="32" spans="1:7" x14ac:dyDescent="0.3">
      <c r="A32" s="1">
        <v>45986.208334895833</v>
      </c>
      <c r="B32" s="5">
        <v>3.14</v>
      </c>
      <c r="C32" s="6">
        <f t="shared" si="0"/>
        <v>233.22909215584443</v>
      </c>
      <c r="D32" s="9">
        <v>0</v>
      </c>
      <c r="E32" s="11">
        <v>7</v>
      </c>
      <c r="F32" s="11">
        <v>8</v>
      </c>
      <c r="G32" s="11">
        <v>10</v>
      </c>
    </row>
    <row r="33" spans="1:7" x14ac:dyDescent="0.3">
      <c r="A33" s="1">
        <v>45986.25000162037</v>
      </c>
      <c r="B33" s="5">
        <v>3.11</v>
      </c>
      <c r="C33" s="6">
        <f t="shared" si="0"/>
        <v>230.12140403646097</v>
      </c>
      <c r="D33" s="9">
        <v>0</v>
      </c>
      <c r="E33" s="11">
        <v>7</v>
      </c>
      <c r="F33" s="11">
        <v>8</v>
      </c>
      <c r="G33" s="11">
        <v>10</v>
      </c>
    </row>
    <row r="34" spans="1:7" x14ac:dyDescent="0.3">
      <c r="A34" s="1">
        <v>45986.291668344908</v>
      </c>
      <c r="B34" s="5">
        <v>3.04</v>
      </c>
      <c r="C34" s="6">
        <f t="shared" si="0"/>
        <v>222.93403240388417</v>
      </c>
      <c r="D34" s="9">
        <v>0</v>
      </c>
      <c r="E34" s="11">
        <v>7</v>
      </c>
      <c r="F34" s="11">
        <v>8</v>
      </c>
      <c r="G34" s="11">
        <v>10</v>
      </c>
    </row>
    <row r="35" spans="1:7" x14ac:dyDescent="0.3">
      <c r="A35" s="1">
        <v>45986.333335069445</v>
      </c>
      <c r="B35" s="5">
        <v>2.95</v>
      </c>
      <c r="C35" s="6">
        <f t="shared" si="0"/>
        <v>213.8253919838958</v>
      </c>
      <c r="D35" s="9">
        <v>0</v>
      </c>
      <c r="E35" s="11">
        <v>7</v>
      </c>
      <c r="F35" s="11">
        <v>8</v>
      </c>
      <c r="G35" s="11">
        <v>10</v>
      </c>
    </row>
    <row r="36" spans="1:7" x14ac:dyDescent="0.3">
      <c r="A36" s="1">
        <v>45986.375001793982</v>
      </c>
      <c r="B36" s="5">
        <v>2.89</v>
      </c>
      <c r="C36" s="6">
        <f t="shared" si="0"/>
        <v>207.83623382374043</v>
      </c>
      <c r="D36" s="9">
        <v>0</v>
      </c>
      <c r="E36" s="11">
        <v>7</v>
      </c>
      <c r="F36" s="11">
        <v>8</v>
      </c>
      <c r="G36" s="11">
        <v>10</v>
      </c>
    </row>
    <row r="37" spans="1:7" x14ac:dyDescent="0.3">
      <c r="A37" s="1">
        <v>45986.416668518519</v>
      </c>
      <c r="B37" s="5">
        <v>2.82</v>
      </c>
      <c r="C37" s="6">
        <f t="shared" si="0"/>
        <v>200.93370308379045</v>
      </c>
      <c r="D37" s="9">
        <v>0</v>
      </c>
      <c r="E37" s="11">
        <v>7</v>
      </c>
      <c r="F37" s="11">
        <v>8</v>
      </c>
      <c r="G37" s="11">
        <v>10</v>
      </c>
    </row>
    <row r="38" spans="1:7" x14ac:dyDescent="0.3">
      <c r="A38" s="1">
        <v>45986.458335243056</v>
      </c>
      <c r="B38" s="5">
        <v>2.75</v>
      </c>
      <c r="C38" s="6">
        <f t="shared" si="0"/>
        <v>194.12314842515858</v>
      </c>
      <c r="D38" s="9">
        <v>0</v>
      </c>
      <c r="E38" s="11">
        <v>7</v>
      </c>
      <c r="F38" s="11">
        <v>8</v>
      </c>
      <c r="G38" s="11">
        <v>10</v>
      </c>
    </row>
    <row r="39" spans="1:7" x14ac:dyDescent="0.3">
      <c r="A39" s="1">
        <v>45986.500001967594</v>
      </c>
      <c r="B39" s="5">
        <v>2.69</v>
      </c>
      <c r="C39" s="6">
        <f t="shared" si="0"/>
        <v>188.35925104622231</v>
      </c>
      <c r="D39" s="9">
        <v>0</v>
      </c>
      <c r="E39" s="11">
        <v>7</v>
      </c>
      <c r="F39" s="11">
        <v>8</v>
      </c>
      <c r="G39" s="11">
        <v>10</v>
      </c>
    </row>
    <row r="40" spans="1:7" x14ac:dyDescent="0.3">
      <c r="A40" s="1">
        <v>45986.541668692131</v>
      </c>
      <c r="B40" s="5">
        <v>2.63</v>
      </c>
      <c r="C40" s="6">
        <f t="shared" si="0"/>
        <v>182.66386787651069</v>
      </c>
      <c r="D40" s="9">
        <v>0</v>
      </c>
      <c r="E40" s="11">
        <v>7</v>
      </c>
      <c r="F40" s="11">
        <v>8</v>
      </c>
      <c r="G40" s="11">
        <v>10</v>
      </c>
    </row>
    <row r="41" spans="1:7" x14ac:dyDescent="0.3">
      <c r="A41" s="1">
        <v>45986.583335416668</v>
      </c>
      <c r="B41" s="5">
        <v>2.58</v>
      </c>
      <c r="C41" s="6">
        <f t="shared" si="0"/>
        <v>177.97037772021852</v>
      </c>
      <c r="D41" s="9">
        <v>0</v>
      </c>
      <c r="E41" s="11">
        <v>7</v>
      </c>
      <c r="F41" s="11">
        <v>8</v>
      </c>
      <c r="G41" s="11">
        <v>10</v>
      </c>
    </row>
    <row r="42" spans="1:7" x14ac:dyDescent="0.3">
      <c r="A42" s="1">
        <v>45986.625002141205</v>
      </c>
      <c r="B42" s="5">
        <v>2.52</v>
      </c>
      <c r="C42" s="6">
        <f t="shared" si="0"/>
        <v>172.4017844243983</v>
      </c>
      <c r="D42" s="9">
        <v>0</v>
      </c>
      <c r="E42" s="11">
        <v>7</v>
      </c>
      <c r="F42" s="11">
        <v>8</v>
      </c>
      <c r="G42" s="11">
        <v>10</v>
      </c>
    </row>
    <row r="43" spans="1:7" x14ac:dyDescent="0.3">
      <c r="A43" s="1">
        <v>45986.666668865742</v>
      </c>
      <c r="B43" s="5">
        <v>2.4900000000000002</v>
      </c>
      <c r="C43" s="6">
        <f t="shared" si="0"/>
        <v>169.64364152617736</v>
      </c>
      <c r="D43" s="9">
        <v>0</v>
      </c>
      <c r="E43" s="11">
        <v>7</v>
      </c>
      <c r="F43" s="11">
        <v>8</v>
      </c>
      <c r="G43" s="11">
        <v>10</v>
      </c>
    </row>
    <row r="44" spans="1:7" x14ac:dyDescent="0.3">
      <c r="A44" s="1">
        <v>45986.70833559028</v>
      </c>
      <c r="B44" s="5">
        <v>2.42</v>
      </c>
      <c r="C44" s="6">
        <f t="shared" si="0"/>
        <v>163.27619814675629</v>
      </c>
      <c r="D44" s="9">
        <v>0</v>
      </c>
      <c r="E44" s="11">
        <v>7</v>
      </c>
      <c r="F44" s="11">
        <v>8</v>
      </c>
      <c r="G44" s="11">
        <v>10</v>
      </c>
    </row>
    <row r="45" spans="1:7" x14ac:dyDescent="0.3">
      <c r="A45" s="1">
        <v>45986.750002314817</v>
      </c>
      <c r="B45" s="5">
        <v>2.38</v>
      </c>
      <c r="C45" s="6">
        <f t="shared" si="0"/>
        <v>159.68077705919112</v>
      </c>
      <c r="D45" s="9">
        <v>0.5</v>
      </c>
      <c r="E45" s="11">
        <v>7</v>
      </c>
      <c r="F45" s="11">
        <v>8</v>
      </c>
      <c r="G45" s="11">
        <v>10</v>
      </c>
    </row>
    <row r="46" spans="1:7" x14ac:dyDescent="0.3">
      <c r="A46" s="1">
        <v>45986.791669039354</v>
      </c>
      <c r="B46" s="5">
        <v>2.34</v>
      </c>
      <c r="C46" s="6">
        <f t="shared" si="0"/>
        <v>156.11690116469043</v>
      </c>
      <c r="D46" s="9">
        <v>0</v>
      </c>
      <c r="E46" s="11">
        <v>7</v>
      </c>
      <c r="F46" s="11">
        <v>8</v>
      </c>
      <c r="G46" s="11">
        <v>10</v>
      </c>
    </row>
    <row r="47" spans="1:7" x14ac:dyDescent="0.3">
      <c r="A47" s="1">
        <v>45986.833335763891</v>
      </c>
      <c r="B47" s="5">
        <v>2.29</v>
      </c>
      <c r="C47" s="6">
        <f t="shared" si="0"/>
        <v>151.70664949565614</v>
      </c>
      <c r="D47" s="9">
        <v>0</v>
      </c>
      <c r="E47" s="11">
        <v>7</v>
      </c>
      <c r="F47" s="11">
        <v>8</v>
      </c>
      <c r="G47" s="11">
        <v>10</v>
      </c>
    </row>
    <row r="48" spans="1:7" x14ac:dyDescent="0.3">
      <c r="A48" s="1">
        <v>45986.875002488428</v>
      </c>
      <c r="B48" s="5">
        <v>2.2599999999999998</v>
      </c>
      <c r="C48" s="6">
        <f t="shared" si="0"/>
        <v>149.0843982876942</v>
      </c>
      <c r="D48" s="9">
        <v>0</v>
      </c>
      <c r="E48" s="11">
        <v>7</v>
      </c>
      <c r="F48" s="11">
        <v>8</v>
      </c>
      <c r="G48" s="11">
        <v>10</v>
      </c>
    </row>
    <row r="49" spans="1:7" x14ac:dyDescent="0.3">
      <c r="A49" s="1">
        <v>45986.916669212966</v>
      </c>
      <c r="B49" s="5">
        <v>2.21</v>
      </c>
      <c r="C49" s="6">
        <f t="shared" si="0"/>
        <v>144.75402768885613</v>
      </c>
      <c r="D49" s="9">
        <v>0</v>
      </c>
      <c r="E49" s="11">
        <v>7</v>
      </c>
      <c r="F49" s="11">
        <v>8</v>
      </c>
      <c r="G49" s="11">
        <v>10</v>
      </c>
    </row>
    <row r="50" spans="1:7" x14ac:dyDescent="0.3">
      <c r="A50" s="1">
        <v>45986.958335937503</v>
      </c>
      <c r="B50" s="5">
        <v>2.1800000000000002</v>
      </c>
      <c r="C50" s="6">
        <f t="shared" si="0"/>
        <v>142.17994549591933</v>
      </c>
      <c r="D50" s="9">
        <v>0</v>
      </c>
      <c r="E50" s="11">
        <v>7</v>
      </c>
      <c r="F50" s="11">
        <v>8</v>
      </c>
      <c r="G50" s="11">
        <v>10</v>
      </c>
    </row>
    <row r="51" spans="1:7" x14ac:dyDescent="0.3">
      <c r="A51" s="1">
        <v>45987.00000266204</v>
      </c>
      <c r="B51" s="5">
        <v>2.15</v>
      </c>
      <c r="C51" s="6">
        <f t="shared" si="0"/>
        <v>139.62405335047532</v>
      </c>
      <c r="D51" s="9">
        <v>0</v>
      </c>
      <c r="E51" s="11">
        <v>7</v>
      </c>
      <c r="F51" s="11">
        <v>8</v>
      </c>
      <c r="G51" s="11">
        <v>10</v>
      </c>
    </row>
    <row r="52" spans="1:7" x14ac:dyDescent="0.3">
      <c r="A52" s="1">
        <v>45987.041669386577</v>
      </c>
      <c r="B52" s="5">
        <v>2.11</v>
      </c>
      <c r="C52" s="6">
        <f t="shared" si="0"/>
        <v>136.24461511983895</v>
      </c>
      <c r="D52" s="9">
        <v>0</v>
      </c>
      <c r="E52" s="11">
        <v>7</v>
      </c>
      <c r="F52" s="11">
        <v>8</v>
      </c>
      <c r="G52" s="11">
        <v>10</v>
      </c>
    </row>
    <row r="53" spans="1:7" x14ac:dyDescent="0.3">
      <c r="A53" s="1">
        <v>45987.083336111114</v>
      </c>
      <c r="B53" s="5">
        <v>2.09</v>
      </c>
      <c r="C53" s="6">
        <f t="shared" si="0"/>
        <v>134.56712302966548</v>
      </c>
      <c r="D53" s="9">
        <v>2</v>
      </c>
      <c r="E53" s="11">
        <v>7</v>
      </c>
      <c r="F53" s="11">
        <v>8</v>
      </c>
      <c r="G53" s="11">
        <v>10</v>
      </c>
    </row>
    <row r="54" spans="1:7" x14ac:dyDescent="0.3">
      <c r="A54" s="1">
        <v>45987.125002835652</v>
      </c>
      <c r="B54" s="5">
        <v>2.09</v>
      </c>
      <c r="C54" s="6">
        <f t="shared" si="0"/>
        <v>134.56712302966548</v>
      </c>
      <c r="D54" s="9">
        <v>0</v>
      </c>
      <c r="E54" s="11">
        <v>7</v>
      </c>
      <c r="F54" s="11">
        <v>8</v>
      </c>
      <c r="G54" s="11">
        <v>10</v>
      </c>
    </row>
    <row r="55" spans="1:7" x14ac:dyDescent="0.3">
      <c r="A55" s="1">
        <v>45987.166669560182</v>
      </c>
      <c r="B55" s="5">
        <v>2.09</v>
      </c>
      <c r="C55" s="6">
        <f t="shared" si="0"/>
        <v>134.56712302966548</v>
      </c>
      <c r="D55" s="9">
        <v>0</v>
      </c>
      <c r="E55" s="11">
        <v>7</v>
      </c>
      <c r="F55" s="11">
        <v>8</v>
      </c>
      <c r="G55" s="11">
        <v>10</v>
      </c>
    </row>
    <row r="56" spans="1:7" x14ac:dyDescent="0.3">
      <c r="A56" s="1">
        <v>45987.208336284719</v>
      </c>
      <c r="B56" s="5">
        <v>2.1</v>
      </c>
      <c r="C56" s="6">
        <f t="shared" si="0"/>
        <v>135.40484791608642</v>
      </c>
      <c r="D56" s="9">
        <v>0</v>
      </c>
      <c r="E56" s="11">
        <v>7</v>
      </c>
      <c r="F56" s="11">
        <v>8</v>
      </c>
      <c r="G56" s="11">
        <v>10</v>
      </c>
    </row>
    <row r="57" spans="1:7" x14ac:dyDescent="0.3">
      <c r="A57" s="1">
        <v>45987.250003009256</v>
      </c>
      <c r="B57" s="5">
        <v>2.12</v>
      </c>
      <c r="C57" s="6">
        <f t="shared" si="0"/>
        <v>137.0864219428513</v>
      </c>
      <c r="D57" s="9">
        <v>0</v>
      </c>
      <c r="E57" s="11">
        <v>7</v>
      </c>
      <c r="F57" s="11">
        <v>8</v>
      </c>
      <c r="G57" s="11">
        <v>10</v>
      </c>
    </row>
    <row r="58" spans="1:7" x14ac:dyDescent="0.3">
      <c r="A58" s="1">
        <v>45987.291669733793</v>
      </c>
      <c r="B58" s="5">
        <v>2.14</v>
      </c>
      <c r="C58" s="6">
        <f t="shared" si="0"/>
        <v>138.7761437224024</v>
      </c>
      <c r="D58" s="9">
        <v>1.2</v>
      </c>
      <c r="E58" s="11">
        <v>7</v>
      </c>
      <c r="F58" s="11">
        <v>8</v>
      </c>
      <c r="G58" s="11">
        <v>10</v>
      </c>
    </row>
    <row r="59" spans="1:7" x14ac:dyDescent="0.3">
      <c r="A59" s="1">
        <v>45987.33333645833</v>
      </c>
      <c r="B59" s="5">
        <v>2.15</v>
      </c>
      <c r="C59" s="6">
        <f t="shared" si="0"/>
        <v>139.62405335047532</v>
      </c>
      <c r="D59" s="9">
        <v>0.5</v>
      </c>
      <c r="E59" s="11">
        <v>7</v>
      </c>
      <c r="F59" s="11">
        <v>8</v>
      </c>
      <c r="G59" s="11">
        <v>10</v>
      </c>
    </row>
    <row r="60" spans="1:7" x14ac:dyDescent="0.3">
      <c r="A60" s="1">
        <v>45987.375003182868</v>
      </c>
      <c r="B60" s="5">
        <v>2.16</v>
      </c>
      <c r="C60" s="6">
        <f t="shared" si="0"/>
        <v>140.47399194064221</v>
      </c>
      <c r="D60" s="9">
        <v>0.2</v>
      </c>
      <c r="E60" s="11">
        <v>7</v>
      </c>
      <c r="F60" s="11">
        <v>8</v>
      </c>
      <c r="G60" s="11">
        <v>10</v>
      </c>
    </row>
    <row r="61" spans="1:7" x14ac:dyDescent="0.3">
      <c r="A61" s="1">
        <v>45987.416669907405</v>
      </c>
      <c r="B61" s="5">
        <v>2.17</v>
      </c>
      <c r="C61" s="6">
        <f t="shared" si="0"/>
        <v>141.32595686180622</v>
      </c>
      <c r="D61" s="9">
        <v>0.5</v>
      </c>
      <c r="E61" s="11">
        <v>7</v>
      </c>
      <c r="F61" s="11">
        <v>8</v>
      </c>
      <c r="G61" s="11">
        <v>10</v>
      </c>
    </row>
    <row r="62" spans="1:7" x14ac:dyDescent="0.3">
      <c r="A62" s="1">
        <v>45987.458336631942</v>
      </c>
      <c r="B62" s="5">
        <v>2.1800000000000002</v>
      </c>
      <c r="C62" s="6">
        <f t="shared" si="0"/>
        <v>142.17994549591933</v>
      </c>
      <c r="D62" s="9">
        <v>1</v>
      </c>
      <c r="E62" s="11">
        <v>7</v>
      </c>
      <c r="F62" s="11">
        <v>8</v>
      </c>
      <c r="G62" s="11">
        <v>10</v>
      </c>
    </row>
    <row r="63" spans="1:7" x14ac:dyDescent="0.3">
      <c r="A63" s="1">
        <v>45987.500003356479</v>
      </c>
      <c r="B63" s="5">
        <v>2.19</v>
      </c>
      <c r="C63" s="6">
        <f t="shared" si="0"/>
        <v>143.0359552378699</v>
      </c>
      <c r="D63" s="9">
        <v>1</v>
      </c>
      <c r="E63" s="11">
        <v>7</v>
      </c>
      <c r="F63" s="11">
        <v>8</v>
      </c>
      <c r="G63" s="11">
        <v>10</v>
      </c>
    </row>
    <row r="64" spans="1:7" x14ac:dyDescent="0.3">
      <c r="A64" s="1">
        <v>45987.541670081016</v>
      </c>
      <c r="B64" s="5">
        <v>2.21</v>
      </c>
      <c r="C64" s="6">
        <f t="shared" si="0"/>
        <v>144.75402768885613</v>
      </c>
      <c r="D64" s="9">
        <v>0.2</v>
      </c>
      <c r="E64" s="11">
        <v>7</v>
      </c>
      <c r="F64" s="11">
        <v>8</v>
      </c>
      <c r="G64" s="11">
        <v>10</v>
      </c>
    </row>
    <row r="65" spans="1:7" x14ac:dyDescent="0.3">
      <c r="A65" s="1">
        <v>45987.583336805554</v>
      </c>
      <c r="B65" s="5">
        <v>2.2400000000000002</v>
      </c>
      <c r="C65" s="6">
        <f t="shared" si="0"/>
        <v>147.34623027798656</v>
      </c>
      <c r="D65" s="9">
        <v>0</v>
      </c>
      <c r="E65" s="11">
        <v>7</v>
      </c>
      <c r="F65" s="11">
        <v>8</v>
      </c>
      <c r="G65" s="11">
        <v>10</v>
      </c>
    </row>
    <row r="66" spans="1:7" x14ac:dyDescent="0.3">
      <c r="A66" s="1">
        <v>45987.625003530091</v>
      </c>
      <c r="B66" s="5">
        <v>2.2799999999999998</v>
      </c>
      <c r="C66" s="6">
        <f t="shared" si="0"/>
        <v>150.83056918795469</v>
      </c>
      <c r="D66" s="9">
        <v>0</v>
      </c>
      <c r="E66" s="11">
        <v>7</v>
      </c>
      <c r="F66" s="11">
        <v>8</v>
      </c>
      <c r="G66" s="11">
        <v>10</v>
      </c>
    </row>
    <row r="67" spans="1:7" x14ac:dyDescent="0.3">
      <c r="A67" s="1">
        <v>45987.666670254628</v>
      </c>
      <c r="B67" s="5">
        <v>2.33</v>
      </c>
      <c r="C67" s="6">
        <f t="shared" si="0"/>
        <v>155.23087894960062</v>
      </c>
      <c r="D67" s="9">
        <v>1.7</v>
      </c>
      <c r="E67" s="11">
        <v>7</v>
      </c>
      <c r="F67" s="11">
        <v>8</v>
      </c>
      <c r="G67" s="11">
        <v>10</v>
      </c>
    </row>
    <row r="68" spans="1:7" x14ac:dyDescent="0.3">
      <c r="A68" s="1">
        <v>45987.708336979165</v>
      </c>
      <c r="B68" s="5">
        <v>2.37</v>
      </c>
      <c r="C68" s="6">
        <f t="shared" si="0"/>
        <v>158.78684481044161</v>
      </c>
      <c r="D68" s="9">
        <v>1</v>
      </c>
      <c r="E68" s="11">
        <v>7</v>
      </c>
      <c r="F68" s="11">
        <v>8</v>
      </c>
      <c r="G68" s="11">
        <v>10</v>
      </c>
    </row>
    <row r="69" spans="1:7" x14ac:dyDescent="0.3">
      <c r="A69" s="1">
        <v>45987.750003703703</v>
      </c>
      <c r="B69" s="5">
        <v>2.4</v>
      </c>
      <c r="C69" s="6">
        <f t="shared" ref="C69:C132" si="1">IF(B69="","",IF((B69+0.56)&gt;4,13.194*(B69+0.56)^2+13.311*(B69+0.56)-0.8227,27.012*(B69+0.56)^1.6477))</f>
        <v>161.47455388252996</v>
      </c>
      <c r="D69" s="9">
        <v>0.7</v>
      </c>
      <c r="E69" s="11">
        <v>7</v>
      </c>
      <c r="F69" s="11">
        <v>8</v>
      </c>
      <c r="G69" s="11">
        <v>10</v>
      </c>
    </row>
    <row r="70" spans="1:7" x14ac:dyDescent="0.3">
      <c r="A70" s="1">
        <v>45987.79167042824</v>
      </c>
      <c r="B70" s="5">
        <v>2.44</v>
      </c>
      <c r="C70" s="6">
        <f t="shared" si="1"/>
        <v>165.0856912090893</v>
      </c>
      <c r="D70" s="9">
        <v>0.8</v>
      </c>
      <c r="E70" s="11">
        <v>7</v>
      </c>
      <c r="F70" s="11">
        <v>8</v>
      </c>
      <c r="G70" s="11">
        <v>10</v>
      </c>
    </row>
    <row r="71" spans="1:7" x14ac:dyDescent="0.3">
      <c r="A71" s="1">
        <v>45987.833337152777</v>
      </c>
      <c r="B71" s="5">
        <v>2.5</v>
      </c>
      <c r="C71" s="6">
        <f t="shared" si="1"/>
        <v>170.56107926777639</v>
      </c>
      <c r="D71" s="9">
        <v>1</v>
      </c>
      <c r="E71" s="11">
        <v>7</v>
      </c>
      <c r="F71" s="11">
        <v>8</v>
      </c>
      <c r="G71" s="11">
        <v>10</v>
      </c>
    </row>
    <row r="72" spans="1:7" x14ac:dyDescent="0.3">
      <c r="A72" s="1">
        <v>45987.875003877314</v>
      </c>
      <c r="B72" s="5">
        <v>2.57</v>
      </c>
      <c r="C72" s="6">
        <f t="shared" si="1"/>
        <v>177.03745021219572</v>
      </c>
      <c r="D72" s="9">
        <v>0.8</v>
      </c>
      <c r="E72" s="11">
        <v>7</v>
      </c>
      <c r="F72" s="11">
        <v>8</v>
      </c>
      <c r="G72" s="11">
        <v>10</v>
      </c>
    </row>
    <row r="73" spans="1:7" x14ac:dyDescent="0.3">
      <c r="A73" s="1">
        <v>45987.916670601851</v>
      </c>
      <c r="B73" s="5">
        <v>2.63</v>
      </c>
      <c r="C73" s="6">
        <f t="shared" si="1"/>
        <v>182.66386787651069</v>
      </c>
      <c r="D73" s="9">
        <v>4.2</v>
      </c>
      <c r="E73" s="11">
        <v>7</v>
      </c>
      <c r="F73" s="11">
        <v>8</v>
      </c>
      <c r="G73" s="11">
        <v>10</v>
      </c>
    </row>
    <row r="74" spans="1:7" x14ac:dyDescent="0.3">
      <c r="A74" s="1">
        <v>45987.958337326389</v>
      </c>
      <c r="B74" s="5">
        <v>2.68</v>
      </c>
      <c r="C74" s="6">
        <f t="shared" si="1"/>
        <v>187.4052505393197</v>
      </c>
      <c r="D74" s="9">
        <v>6.5</v>
      </c>
      <c r="E74" s="11">
        <v>7</v>
      </c>
      <c r="F74" s="11">
        <v>8</v>
      </c>
      <c r="G74" s="11">
        <v>10</v>
      </c>
    </row>
    <row r="75" spans="1:7" x14ac:dyDescent="0.3">
      <c r="A75" s="1">
        <v>45988.000004050926</v>
      </c>
      <c r="B75" s="5">
        <v>2.73</v>
      </c>
      <c r="C75" s="6">
        <f t="shared" si="1"/>
        <v>192.19426400343221</v>
      </c>
      <c r="D75" s="9">
        <v>4</v>
      </c>
      <c r="E75" s="11">
        <v>7</v>
      </c>
      <c r="F75" s="11">
        <v>8</v>
      </c>
      <c r="G75" s="11">
        <v>10</v>
      </c>
    </row>
    <row r="76" spans="1:7" x14ac:dyDescent="0.3">
      <c r="A76" s="1">
        <v>45988.041670775463</v>
      </c>
      <c r="B76" s="5">
        <v>2.8</v>
      </c>
      <c r="C76" s="6">
        <f t="shared" si="1"/>
        <v>198.97841560222543</v>
      </c>
      <c r="D76" s="9">
        <v>2.5</v>
      </c>
      <c r="E76" s="11">
        <v>7</v>
      </c>
      <c r="F76" s="11">
        <v>8</v>
      </c>
      <c r="G76" s="11">
        <v>10</v>
      </c>
    </row>
    <row r="77" spans="1:7" x14ac:dyDescent="0.3">
      <c r="A77" s="1">
        <v>45988.0833375</v>
      </c>
      <c r="B77" s="5">
        <v>2.88</v>
      </c>
      <c r="C77" s="6">
        <f t="shared" si="1"/>
        <v>206.84455209920844</v>
      </c>
      <c r="D77" s="9">
        <v>2.8</v>
      </c>
      <c r="E77" s="11">
        <v>7</v>
      </c>
      <c r="F77" s="11">
        <v>8</v>
      </c>
      <c r="G77" s="11">
        <v>10</v>
      </c>
    </row>
    <row r="78" spans="1:7" x14ac:dyDescent="0.3">
      <c r="A78" s="1">
        <v>45988.125004224537</v>
      </c>
      <c r="B78" s="5">
        <v>2.98</v>
      </c>
      <c r="C78" s="6">
        <f t="shared" si="1"/>
        <v>216.8450016107131</v>
      </c>
      <c r="D78" s="9">
        <v>7.6</v>
      </c>
      <c r="E78" s="11">
        <v>7</v>
      </c>
      <c r="F78" s="11">
        <v>8</v>
      </c>
      <c r="G78" s="11">
        <v>10</v>
      </c>
    </row>
    <row r="79" spans="1:7" x14ac:dyDescent="0.3">
      <c r="A79" s="1">
        <v>45988.166670949075</v>
      </c>
      <c r="B79" s="5">
        <v>3.1</v>
      </c>
      <c r="C79" s="6">
        <f t="shared" si="1"/>
        <v>229.08915242817525</v>
      </c>
      <c r="D79" s="9">
        <v>2.5</v>
      </c>
      <c r="E79" s="11">
        <v>7</v>
      </c>
      <c r="F79" s="11">
        <v>8</v>
      </c>
      <c r="G79" s="11">
        <v>10</v>
      </c>
    </row>
    <row r="80" spans="1:7" x14ac:dyDescent="0.3">
      <c r="A80" s="1">
        <v>45988.208337673612</v>
      </c>
      <c r="B80" s="5">
        <v>3.36</v>
      </c>
      <c r="C80" s="6">
        <f t="shared" si="1"/>
        <v>256.51584323022621</v>
      </c>
      <c r="D80" s="9">
        <v>1.6</v>
      </c>
      <c r="E80" s="11">
        <v>7</v>
      </c>
      <c r="F80" s="11">
        <v>8</v>
      </c>
      <c r="G80" s="11">
        <v>10</v>
      </c>
    </row>
    <row r="81" spans="1:7" x14ac:dyDescent="0.3">
      <c r="A81" s="1">
        <v>45988.250004398149</v>
      </c>
      <c r="B81" s="5">
        <v>3.67</v>
      </c>
      <c r="C81" s="6">
        <f t="shared" si="1"/>
        <v>291.56175260000009</v>
      </c>
      <c r="D81" s="9">
        <v>0.5</v>
      </c>
      <c r="E81" s="11">
        <v>7</v>
      </c>
      <c r="F81" s="11">
        <v>8</v>
      </c>
      <c r="G81" s="11">
        <v>10</v>
      </c>
    </row>
    <row r="82" spans="1:7" x14ac:dyDescent="0.3">
      <c r="A82" s="1">
        <v>45988.291671122686</v>
      </c>
      <c r="B82" s="5">
        <v>4.0199999999999996</v>
      </c>
      <c r="C82" s="6">
        <f t="shared" si="1"/>
        <v>336.90430160000005</v>
      </c>
      <c r="D82" s="9">
        <v>2</v>
      </c>
      <c r="E82" s="11">
        <v>7</v>
      </c>
      <c r="F82" s="11">
        <v>8</v>
      </c>
      <c r="G82" s="11">
        <v>10</v>
      </c>
    </row>
    <row r="83" spans="1:7" x14ac:dyDescent="0.3">
      <c r="A83" s="1">
        <v>45988.333337847223</v>
      </c>
      <c r="B83" s="5">
        <v>4.34</v>
      </c>
      <c r="C83" s="6">
        <f t="shared" si="1"/>
        <v>381.18914000000012</v>
      </c>
      <c r="D83" s="9">
        <v>2.9</v>
      </c>
      <c r="E83" s="11">
        <v>7</v>
      </c>
      <c r="F83" s="11">
        <v>8</v>
      </c>
      <c r="G83" s="11">
        <v>10</v>
      </c>
    </row>
    <row r="84" spans="1:7" x14ac:dyDescent="0.3">
      <c r="A84" s="1">
        <v>45988.375004571761</v>
      </c>
      <c r="B84" s="5">
        <v>4.6399999999999997</v>
      </c>
      <c r="C84" s="6">
        <f t="shared" si="1"/>
        <v>425.16025999999994</v>
      </c>
      <c r="D84" s="9">
        <v>4</v>
      </c>
      <c r="E84" s="11">
        <v>7</v>
      </c>
      <c r="F84" s="11">
        <v>8</v>
      </c>
      <c r="G84" s="11">
        <v>10</v>
      </c>
    </row>
    <row r="85" spans="1:7" x14ac:dyDescent="0.3">
      <c r="A85" s="1">
        <v>45988.416671296298</v>
      </c>
      <c r="B85" s="5">
        <v>4.9000000000000004</v>
      </c>
      <c r="C85" s="6">
        <f t="shared" si="1"/>
        <v>465.18961040000016</v>
      </c>
      <c r="D85" s="9">
        <v>3</v>
      </c>
      <c r="E85" s="11">
        <v>7</v>
      </c>
      <c r="F85" s="11">
        <v>8</v>
      </c>
      <c r="G85" s="11">
        <v>10</v>
      </c>
    </row>
    <row r="86" spans="1:7" x14ac:dyDescent="0.3">
      <c r="A86" s="1">
        <v>45988.458338020835</v>
      </c>
      <c r="B86" s="5">
        <v>5.14</v>
      </c>
      <c r="C86" s="6">
        <f t="shared" si="1"/>
        <v>503.72305999999998</v>
      </c>
      <c r="D86" s="9">
        <v>2</v>
      </c>
      <c r="E86" s="11">
        <v>7</v>
      </c>
      <c r="F86" s="11">
        <v>8</v>
      </c>
      <c r="G86" s="11">
        <v>10</v>
      </c>
    </row>
    <row r="87" spans="1:7" x14ac:dyDescent="0.3">
      <c r="A87" s="1">
        <v>45988.500004745372</v>
      </c>
      <c r="B87" s="5">
        <v>5.35</v>
      </c>
      <c r="C87" s="6">
        <f t="shared" si="1"/>
        <v>538.68666140000005</v>
      </c>
      <c r="D87" s="9">
        <v>2.5</v>
      </c>
      <c r="E87" s="11">
        <v>7</v>
      </c>
      <c r="F87" s="11">
        <v>8</v>
      </c>
      <c r="G87" s="11">
        <v>10</v>
      </c>
    </row>
    <row r="88" spans="1:7" x14ac:dyDescent="0.3">
      <c r="A88" s="1">
        <v>45988.541671469909</v>
      </c>
      <c r="B88" s="5">
        <v>5.54</v>
      </c>
      <c r="C88" s="6">
        <f t="shared" si="1"/>
        <v>571.32313999999985</v>
      </c>
      <c r="D88" s="9">
        <v>1.8</v>
      </c>
      <c r="E88" s="11">
        <v>7</v>
      </c>
      <c r="F88" s="11">
        <v>8</v>
      </c>
      <c r="G88" s="11">
        <v>10</v>
      </c>
    </row>
    <row r="89" spans="1:7" x14ac:dyDescent="0.3">
      <c r="A89" s="1">
        <v>45988.583338194447</v>
      </c>
      <c r="B89" s="5">
        <v>5.72</v>
      </c>
      <c r="C89" s="6">
        <f t="shared" si="1"/>
        <v>603.12062959999992</v>
      </c>
      <c r="D89" s="9">
        <v>0.7</v>
      </c>
      <c r="E89" s="11">
        <v>7</v>
      </c>
      <c r="F89" s="11">
        <v>8</v>
      </c>
      <c r="G89" s="11">
        <v>10</v>
      </c>
    </row>
    <row r="90" spans="1:7" x14ac:dyDescent="0.3">
      <c r="A90" s="1">
        <v>45988.625004918984</v>
      </c>
      <c r="B90" s="5">
        <v>5.88</v>
      </c>
      <c r="C90" s="6">
        <f t="shared" si="1"/>
        <v>632.10281839999982</v>
      </c>
      <c r="D90" s="9">
        <v>0</v>
      </c>
      <c r="E90" s="11">
        <v>7</v>
      </c>
      <c r="F90" s="11">
        <v>8</v>
      </c>
      <c r="G90" s="11">
        <v>10</v>
      </c>
    </row>
    <row r="91" spans="1:7" x14ac:dyDescent="0.3">
      <c r="A91" s="1">
        <v>45988.666671643521</v>
      </c>
      <c r="B91" s="5">
        <v>6.05</v>
      </c>
      <c r="C91" s="6">
        <f t="shared" si="1"/>
        <v>663.63657739999985</v>
      </c>
      <c r="D91" s="9">
        <v>1.2</v>
      </c>
      <c r="E91" s="11">
        <v>7</v>
      </c>
      <c r="F91" s="11">
        <v>8</v>
      </c>
      <c r="G91" s="11">
        <v>10</v>
      </c>
    </row>
    <row r="92" spans="1:7" x14ac:dyDescent="0.3">
      <c r="A92" s="1">
        <v>45988.708338368058</v>
      </c>
      <c r="B92" s="5">
        <v>6.17</v>
      </c>
      <c r="C92" s="6">
        <f t="shared" si="1"/>
        <v>686.35485260000007</v>
      </c>
      <c r="D92" s="9">
        <v>2</v>
      </c>
      <c r="E92" s="11">
        <v>7</v>
      </c>
      <c r="F92" s="11">
        <v>8</v>
      </c>
      <c r="G92" s="11">
        <v>10</v>
      </c>
    </row>
    <row r="93" spans="1:7" x14ac:dyDescent="0.3">
      <c r="A93" s="1">
        <v>45988.750005092596</v>
      </c>
      <c r="B93" s="5">
        <v>6.27</v>
      </c>
      <c r="C93" s="6">
        <f t="shared" si="1"/>
        <v>705.57701659999998</v>
      </c>
      <c r="D93" s="9">
        <v>0.5</v>
      </c>
      <c r="E93" s="11">
        <v>7</v>
      </c>
      <c r="F93" s="11">
        <v>8</v>
      </c>
      <c r="G93" s="11">
        <v>10</v>
      </c>
    </row>
    <row r="94" spans="1:7" x14ac:dyDescent="0.3">
      <c r="A94" s="1">
        <v>45988.791671817133</v>
      </c>
      <c r="B94" s="5">
        <v>6.39</v>
      </c>
      <c r="C94" s="6">
        <f t="shared" si="1"/>
        <v>728.99193499999978</v>
      </c>
      <c r="D94" s="9">
        <v>4</v>
      </c>
      <c r="E94" s="11">
        <v>7</v>
      </c>
      <c r="F94" s="11">
        <v>8</v>
      </c>
      <c r="G94" s="11">
        <v>10</v>
      </c>
    </row>
    <row r="95" spans="1:7" x14ac:dyDescent="0.3">
      <c r="A95" s="1">
        <v>45988.83333854167</v>
      </c>
      <c r="B95" s="5">
        <v>6.5</v>
      </c>
      <c r="C95" s="6">
        <f t="shared" si="1"/>
        <v>750.78941840000005</v>
      </c>
      <c r="D95" s="9">
        <v>6.8</v>
      </c>
      <c r="E95" s="11">
        <v>7</v>
      </c>
      <c r="F95" s="11">
        <v>8</v>
      </c>
      <c r="G95" s="11">
        <v>10</v>
      </c>
    </row>
    <row r="96" spans="1:7" x14ac:dyDescent="0.3">
      <c r="A96" s="1">
        <v>45988.875005266207</v>
      </c>
      <c r="B96" s="5">
        <v>6.58</v>
      </c>
      <c r="C96" s="6">
        <f t="shared" si="1"/>
        <v>766.84268240000006</v>
      </c>
      <c r="D96" s="9">
        <v>5.7</v>
      </c>
      <c r="E96" s="11">
        <v>7</v>
      </c>
      <c r="F96" s="11">
        <v>8</v>
      </c>
      <c r="G96" s="11">
        <v>10</v>
      </c>
    </row>
    <row r="97" spans="1:7" x14ac:dyDescent="0.3">
      <c r="A97" s="1">
        <v>45988.916671990744</v>
      </c>
      <c r="B97" s="5">
        <v>6.69</v>
      </c>
      <c r="C97" s="6">
        <f t="shared" si="1"/>
        <v>789.19167499999992</v>
      </c>
      <c r="D97" s="9">
        <v>3.7</v>
      </c>
      <c r="E97" s="11">
        <v>7</v>
      </c>
      <c r="F97" s="11">
        <v>8</v>
      </c>
      <c r="G97" s="11">
        <v>10</v>
      </c>
    </row>
    <row r="98" spans="1:7" x14ac:dyDescent="0.3">
      <c r="A98" s="1">
        <v>45988.958338715274</v>
      </c>
      <c r="B98" s="5">
        <v>6.82</v>
      </c>
      <c r="C98" s="6">
        <f t="shared" si="1"/>
        <v>816.01577360000022</v>
      </c>
      <c r="D98" s="9">
        <v>2.5</v>
      </c>
      <c r="E98" s="11">
        <v>7</v>
      </c>
      <c r="F98" s="11">
        <v>8</v>
      </c>
      <c r="G98" s="11">
        <v>10</v>
      </c>
    </row>
    <row r="99" spans="1:7" x14ac:dyDescent="0.3">
      <c r="A99" s="1">
        <v>45989.000005439812</v>
      </c>
      <c r="B99" s="5">
        <v>6.95</v>
      </c>
      <c r="C99" s="6">
        <f t="shared" si="1"/>
        <v>843.2858293999999</v>
      </c>
      <c r="D99" s="9">
        <v>12.4</v>
      </c>
      <c r="E99" s="11">
        <v>7</v>
      </c>
      <c r="F99" s="11">
        <v>8</v>
      </c>
      <c r="G99" s="11">
        <v>10</v>
      </c>
    </row>
    <row r="100" spans="1:7" x14ac:dyDescent="0.3">
      <c r="A100" s="1">
        <v>45989.041672164349</v>
      </c>
      <c r="B100" s="5">
        <v>7.16</v>
      </c>
      <c r="C100" s="6">
        <f t="shared" si="1"/>
        <v>888.27950960000021</v>
      </c>
      <c r="D100" s="9">
        <v>16</v>
      </c>
      <c r="E100" s="11">
        <v>7</v>
      </c>
      <c r="F100" s="11">
        <v>8</v>
      </c>
      <c r="G100" s="11">
        <v>10</v>
      </c>
    </row>
    <row r="101" spans="1:7" x14ac:dyDescent="0.3">
      <c r="A101" s="1">
        <v>45989.083338888886</v>
      </c>
      <c r="B101" s="5">
        <v>7.3</v>
      </c>
      <c r="C101" s="6">
        <f t="shared" si="1"/>
        <v>918.92180239999982</v>
      </c>
      <c r="D101" s="9">
        <v>12.4</v>
      </c>
      <c r="E101" s="11">
        <v>7</v>
      </c>
      <c r="F101" s="11">
        <v>8</v>
      </c>
      <c r="G101" s="11">
        <v>10</v>
      </c>
    </row>
    <row r="102" spans="1:7" x14ac:dyDescent="0.3">
      <c r="A102" s="1">
        <v>45989.125005613423</v>
      </c>
      <c r="B102" s="5">
        <v>7.48</v>
      </c>
      <c r="C102" s="6">
        <f t="shared" si="1"/>
        <v>959.07901040000013</v>
      </c>
      <c r="D102" s="9">
        <v>12.1</v>
      </c>
      <c r="E102" s="11">
        <v>7</v>
      </c>
      <c r="F102" s="11">
        <v>8</v>
      </c>
      <c r="G102" s="11">
        <v>10</v>
      </c>
    </row>
    <row r="103" spans="1:7" x14ac:dyDescent="0.3">
      <c r="A103" s="1">
        <v>45989.16667233796</v>
      </c>
      <c r="B103" s="5">
        <v>7.7</v>
      </c>
      <c r="C103" s="6">
        <f t="shared" si="1"/>
        <v>1009.3211143999999</v>
      </c>
      <c r="D103" s="9">
        <v>28.7</v>
      </c>
      <c r="E103" s="11">
        <v>7</v>
      </c>
      <c r="F103" s="11">
        <v>8</v>
      </c>
      <c r="G103" s="11">
        <v>10</v>
      </c>
    </row>
    <row r="104" spans="1:7" x14ac:dyDescent="0.3">
      <c r="A104" s="1">
        <v>45989.208339062498</v>
      </c>
      <c r="B104" s="5">
        <v>7.86</v>
      </c>
      <c r="C104" s="6">
        <f t="shared" si="1"/>
        <v>1046.6630216000001</v>
      </c>
      <c r="D104" s="9">
        <v>13</v>
      </c>
      <c r="E104" s="11">
        <v>7</v>
      </c>
      <c r="F104" s="11">
        <v>8</v>
      </c>
      <c r="G104" s="11">
        <v>10</v>
      </c>
    </row>
    <row r="105" spans="1:7" x14ac:dyDescent="0.3">
      <c r="A105" s="1">
        <v>45989.250005787035</v>
      </c>
      <c r="B105" s="5">
        <v>8.02</v>
      </c>
      <c r="C105" s="6">
        <f t="shared" si="1"/>
        <v>1084.6804616000002</v>
      </c>
      <c r="D105" s="9">
        <v>9</v>
      </c>
      <c r="E105" s="11">
        <v>7</v>
      </c>
      <c r="F105" s="11">
        <v>8</v>
      </c>
      <c r="G105" s="11">
        <v>10</v>
      </c>
    </row>
    <row r="106" spans="1:7" x14ac:dyDescent="0.3">
      <c r="A106" s="1">
        <v>45989.291672511572</v>
      </c>
      <c r="B106" s="5">
        <v>8.1999999999999993</v>
      </c>
      <c r="C106" s="6">
        <f t="shared" si="1"/>
        <v>1128.2575544000001</v>
      </c>
      <c r="D106" s="9">
        <v>17.899999999999999</v>
      </c>
      <c r="E106" s="11">
        <v>7</v>
      </c>
      <c r="F106" s="11">
        <v>8</v>
      </c>
      <c r="G106" s="11">
        <v>10</v>
      </c>
    </row>
    <row r="107" spans="1:7" x14ac:dyDescent="0.3">
      <c r="A107" s="1">
        <v>45989.333339236109</v>
      </c>
      <c r="B107" s="5">
        <v>8.3699999999999992</v>
      </c>
      <c r="C107" s="6">
        <f t="shared" si="1"/>
        <v>1170.1987406000003</v>
      </c>
      <c r="D107" s="9">
        <v>25</v>
      </c>
      <c r="E107" s="11">
        <v>7</v>
      </c>
      <c r="F107" s="11">
        <v>8</v>
      </c>
      <c r="G107" s="11">
        <v>10</v>
      </c>
    </row>
    <row r="108" spans="1:7" x14ac:dyDescent="0.3">
      <c r="A108" s="1">
        <v>45989.375005960646</v>
      </c>
      <c r="B108" s="5">
        <v>8.59</v>
      </c>
      <c r="C108" s="6">
        <f t="shared" si="1"/>
        <v>1225.6076150000004</v>
      </c>
      <c r="D108" s="9">
        <v>12.6</v>
      </c>
      <c r="E108" s="11">
        <v>7</v>
      </c>
      <c r="F108" s="11">
        <v>8</v>
      </c>
      <c r="G108" s="11">
        <v>10</v>
      </c>
    </row>
    <row r="109" spans="1:7" x14ac:dyDescent="0.3">
      <c r="A109" s="1">
        <v>45989.416672685184</v>
      </c>
      <c r="B109" s="5">
        <v>8.7799999999999994</v>
      </c>
      <c r="C109" s="6">
        <f t="shared" si="1"/>
        <v>1274.4885464000001</v>
      </c>
      <c r="D109" s="9">
        <v>8.1</v>
      </c>
      <c r="E109" s="11">
        <v>7</v>
      </c>
      <c r="F109" s="11">
        <v>8</v>
      </c>
      <c r="G109" s="11">
        <v>10</v>
      </c>
    </row>
    <row r="110" spans="1:7" x14ac:dyDescent="0.3">
      <c r="A110" s="1">
        <v>45989.458339409721</v>
      </c>
      <c r="B110" s="5">
        <v>8.9499999999999993</v>
      </c>
      <c r="C110" s="6">
        <f t="shared" si="1"/>
        <v>1319.0315894000003</v>
      </c>
      <c r="D110" s="9">
        <v>4</v>
      </c>
      <c r="E110" s="11">
        <v>7</v>
      </c>
      <c r="F110" s="11">
        <v>8</v>
      </c>
      <c r="G110" s="11">
        <v>10</v>
      </c>
    </row>
    <row r="111" spans="1:7" x14ac:dyDescent="0.3">
      <c r="A111" s="1">
        <v>45989.500006134258</v>
      </c>
      <c r="B111" s="5">
        <v>9.15</v>
      </c>
      <c r="C111" s="6">
        <f t="shared" si="1"/>
        <v>1372.4115254000005</v>
      </c>
      <c r="D111" s="9">
        <v>6.4</v>
      </c>
      <c r="E111" s="11">
        <v>7</v>
      </c>
      <c r="F111" s="11">
        <v>8</v>
      </c>
      <c r="G111" s="11">
        <v>10</v>
      </c>
    </row>
    <row r="112" spans="1:7" x14ac:dyDescent="0.3">
      <c r="A112" s="1">
        <v>45989.541672858795</v>
      </c>
      <c r="B112" s="5">
        <v>9.3000000000000007</v>
      </c>
      <c r="C112" s="6">
        <f t="shared" si="1"/>
        <v>1413.1391624000005</v>
      </c>
      <c r="D112" s="9">
        <v>3.4</v>
      </c>
      <c r="E112" s="11">
        <v>7</v>
      </c>
      <c r="F112" s="11">
        <v>8</v>
      </c>
      <c r="G112" s="11">
        <v>10</v>
      </c>
    </row>
    <row r="113" spans="1:7" x14ac:dyDescent="0.3">
      <c r="A113" s="1">
        <v>45989.583339583332</v>
      </c>
      <c r="B113" s="5">
        <v>9.43</v>
      </c>
      <c r="C113" s="6">
        <f t="shared" si="1"/>
        <v>1448.9167094000002</v>
      </c>
      <c r="D113" s="9">
        <v>1.5</v>
      </c>
      <c r="E113" s="11">
        <v>7</v>
      </c>
      <c r="F113" s="11">
        <v>8</v>
      </c>
      <c r="G113" s="11">
        <v>10</v>
      </c>
    </row>
    <row r="114" spans="1:7" x14ac:dyDescent="0.3">
      <c r="A114" s="1">
        <v>45989.62500630787</v>
      </c>
      <c r="B114" s="5">
        <v>9.5399999999999991</v>
      </c>
      <c r="C114" s="6">
        <f t="shared" si="1"/>
        <v>1479.5383400000001</v>
      </c>
      <c r="D114" s="9">
        <v>2</v>
      </c>
      <c r="E114" s="11">
        <v>7</v>
      </c>
      <c r="F114" s="11">
        <v>8</v>
      </c>
      <c r="G114" s="11">
        <v>10</v>
      </c>
    </row>
    <row r="115" spans="1:7" x14ac:dyDescent="0.3">
      <c r="A115" s="1">
        <v>45989.666673032407</v>
      </c>
      <c r="B115" s="5">
        <v>9.6199999999999992</v>
      </c>
      <c r="C115" s="6">
        <f t="shared" si="1"/>
        <v>1502.0091656</v>
      </c>
      <c r="D115" s="9">
        <v>3.5</v>
      </c>
      <c r="E115" s="11">
        <v>7</v>
      </c>
      <c r="F115" s="11">
        <v>8</v>
      </c>
      <c r="G115" s="11">
        <v>10</v>
      </c>
    </row>
    <row r="116" spans="1:7" x14ac:dyDescent="0.3">
      <c r="A116" s="1">
        <v>45989.708339756944</v>
      </c>
      <c r="B116" s="5">
        <v>9.68</v>
      </c>
      <c r="C116" s="6">
        <f t="shared" si="1"/>
        <v>1518.9731144000002</v>
      </c>
      <c r="D116" s="9">
        <v>2.6</v>
      </c>
      <c r="E116" s="11">
        <v>7</v>
      </c>
      <c r="F116" s="11">
        <v>8</v>
      </c>
      <c r="G116" s="11">
        <v>10</v>
      </c>
    </row>
    <row r="117" spans="1:7" x14ac:dyDescent="0.3">
      <c r="A117" s="1">
        <v>45989.750006481481</v>
      </c>
      <c r="B117" s="5">
        <v>9.74</v>
      </c>
      <c r="C117" s="6">
        <f t="shared" si="1"/>
        <v>1536.0320600000005</v>
      </c>
      <c r="D117" s="9">
        <v>0</v>
      </c>
      <c r="E117" s="11">
        <v>7</v>
      </c>
      <c r="F117" s="11">
        <v>8</v>
      </c>
      <c r="G117" s="11">
        <v>10</v>
      </c>
    </row>
    <row r="118" spans="1:7" x14ac:dyDescent="0.3">
      <c r="A118" s="1">
        <v>45989.791673206018</v>
      </c>
      <c r="B118" s="5">
        <v>9.82</v>
      </c>
      <c r="C118" s="6">
        <f t="shared" si="1"/>
        <v>1558.9250936000005</v>
      </c>
      <c r="D118" s="9">
        <v>1.5</v>
      </c>
      <c r="E118" s="11">
        <v>7</v>
      </c>
      <c r="F118" s="11">
        <v>8</v>
      </c>
      <c r="G118" s="11">
        <v>10</v>
      </c>
    </row>
    <row r="119" spans="1:7" x14ac:dyDescent="0.3">
      <c r="A119" s="1">
        <v>45989.833339930556</v>
      </c>
      <c r="B119" s="5">
        <v>9.9</v>
      </c>
      <c r="C119" s="6">
        <f t="shared" si="1"/>
        <v>1581.9870104000004</v>
      </c>
      <c r="D119" s="9">
        <v>2.6</v>
      </c>
      <c r="E119" s="11">
        <v>7</v>
      </c>
      <c r="F119" s="11">
        <v>8</v>
      </c>
      <c r="G119" s="11">
        <v>10</v>
      </c>
    </row>
    <row r="120" spans="1:7" x14ac:dyDescent="0.3">
      <c r="A120" s="1">
        <v>45989.875006655093</v>
      </c>
      <c r="B120" s="5">
        <v>9.98</v>
      </c>
      <c r="C120" s="6">
        <f t="shared" si="1"/>
        <v>1605.2178104000002</v>
      </c>
      <c r="D120" s="9">
        <v>2.5</v>
      </c>
      <c r="E120" s="11">
        <v>7</v>
      </c>
      <c r="F120" s="11">
        <v>8</v>
      </c>
      <c r="G120" s="11">
        <v>10</v>
      </c>
    </row>
    <row r="121" spans="1:7" x14ac:dyDescent="0.3">
      <c r="A121" s="1">
        <v>45989.91667337963</v>
      </c>
      <c r="B121" s="5">
        <v>10.01</v>
      </c>
      <c r="C121" s="6">
        <f t="shared" si="1"/>
        <v>1613.9729006</v>
      </c>
      <c r="D121" s="9">
        <v>0</v>
      </c>
      <c r="E121" s="11">
        <v>7</v>
      </c>
      <c r="F121" s="11">
        <v>8</v>
      </c>
      <c r="G121" s="11">
        <v>10</v>
      </c>
    </row>
    <row r="122" spans="1:7" x14ac:dyDescent="0.3">
      <c r="A122" s="1">
        <v>45989.958340104167</v>
      </c>
      <c r="B122" s="5">
        <v>10.07</v>
      </c>
      <c r="C122" s="6">
        <f t="shared" si="1"/>
        <v>1631.5543286000004</v>
      </c>
      <c r="D122" s="9">
        <v>0</v>
      </c>
      <c r="E122" s="11">
        <v>7</v>
      </c>
      <c r="F122" s="11">
        <v>8</v>
      </c>
      <c r="G122" s="11">
        <v>10</v>
      </c>
    </row>
    <row r="123" spans="1:7" x14ac:dyDescent="0.3">
      <c r="A123" s="1">
        <v>45990.000006828704</v>
      </c>
      <c r="B123" s="5">
        <v>10.15</v>
      </c>
      <c r="C123" s="6">
        <f t="shared" si="1"/>
        <v>1655.1440054000004</v>
      </c>
      <c r="D123" s="9">
        <v>0</v>
      </c>
      <c r="E123" s="11">
        <v>7</v>
      </c>
      <c r="F123" s="11">
        <v>8</v>
      </c>
      <c r="G123" s="11">
        <v>10</v>
      </c>
    </row>
    <row r="124" spans="1:7" x14ac:dyDescent="0.3">
      <c r="A124" s="1">
        <v>45990.041673553242</v>
      </c>
      <c r="B124" s="5">
        <v>10.19</v>
      </c>
      <c r="C124" s="6">
        <f t="shared" si="1"/>
        <v>1667.0021750000003</v>
      </c>
      <c r="D124" s="9">
        <v>0</v>
      </c>
      <c r="E124" s="11">
        <v>7</v>
      </c>
      <c r="F124" s="11">
        <v>8</v>
      </c>
      <c r="G124" s="11">
        <v>10</v>
      </c>
    </row>
    <row r="125" spans="1:7" x14ac:dyDescent="0.3">
      <c r="A125" s="1">
        <v>45990.083340277779</v>
      </c>
      <c r="B125" s="5">
        <v>10.24</v>
      </c>
      <c r="C125" s="6">
        <f t="shared" si="1"/>
        <v>1681.8842600000005</v>
      </c>
      <c r="D125" s="9">
        <v>0</v>
      </c>
      <c r="E125" s="11">
        <v>7</v>
      </c>
      <c r="F125" s="11">
        <v>8</v>
      </c>
      <c r="G125" s="11">
        <v>10</v>
      </c>
    </row>
    <row r="126" spans="1:7" x14ac:dyDescent="0.3">
      <c r="A126" s="1">
        <v>45990.125007002316</v>
      </c>
      <c r="B126" s="5">
        <v>10.31</v>
      </c>
      <c r="C126" s="6">
        <f t="shared" si="1"/>
        <v>1702.8300086000004</v>
      </c>
      <c r="D126" s="9">
        <v>0</v>
      </c>
      <c r="E126" s="11">
        <v>7</v>
      </c>
      <c r="F126" s="11">
        <v>8</v>
      </c>
      <c r="G126" s="11">
        <v>10</v>
      </c>
    </row>
    <row r="127" spans="1:7" x14ac:dyDescent="0.3">
      <c r="A127" s="1">
        <v>45990.166673726853</v>
      </c>
      <c r="B127" s="5">
        <v>10.38</v>
      </c>
      <c r="C127" s="6">
        <f t="shared" si="1"/>
        <v>1723.9050584000004</v>
      </c>
      <c r="D127" s="9">
        <v>0</v>
      </c>
      <c r="E127" s="11">
        <v>7</v>
      </c>
      <c r="F127" s="11">
        <v>8</v>
      </c>
      <c r="G127" s="11">
        <v>10</v>
      </c>
    </row>
    <row r="128" spans="1:7" x14ac:dyDescent="0.3">
      <c r="A128" s="1">
        <v>45990.208340451391</v>
      </c>
      <c r="B128" s="5">
        <v>10.41</v>
      </c>
      <c r="C128" s="6">
        <f t="shared" si="1"/>
        <v>1732.9768046000006</v>
      </c>
      <c r="D128" s="9">
        <v>0</v>
      </c>
      <c r="E128" s="11">
        <v>7</v>
      </c>
      <c r="F128" s="11">
        <v>8</v>
      </c>
      <c r="G128" s="11">
        <v>10</v>
      </c>
    </row>
    <row r="129" spans="1:7" x14ac:dyDescent="0.3">
      <c r="A129" s="1">
        <v>45990.250007175928</v>
      </c>
      <c r="B129" s="5">
        <v>10.47</v>
      </c>
      <c r="C129" s="6">
        <f t="shared" si="1"/>
        <v>1751.1915446000005</v>
      </c>
      <c r="D129" s="9">
        <v>0</v>
      </c>
      <c r="E129" s="11">
        <v>7</v>
      </c>
      <c r="F129" s="11">
        <v>8</v>
      </c>
      <c r="G129" s="11">
        <v>10</v>
      </c>
    </row>
    <row r="130" spans="1:7" x14ac:dyDescent="0.3">
      <c r="A130" s="1">
        <v>45990.291673900465</v>
      </c>
      <c r="B130" s="5">
        <v>10.5</v>
      </c>
      <c r="C130" s="6">
        <f t="shared" si="1"/>
        <v>1760.3345384000004</v>
      </c>
      <c r="D130" s="9">
        <v>0</v>
      </c>
      <c r="E130" s="11">
        <v>7</v>
      </c>
      <c r="F130" s="11">
        <v>8</v>
      </c>
      <c r="G130" s="11">
        <v>10</v>
      </c>
    </row>
    <row r="131" spans="1:7" x14ac:dyDescent="0.3">
      <c r="A131" s="1">
        <v>45990.333340625002</v>
      </c>
      <c r="B131" s="5">
        <v>10.56</v>
      </c>
      <c r="C131" s="6">
        <f t="shared" si="1"/>
        <v>1778.6917736000007</v>
      </c>
      <c r="D131" s="9">
        <v>0</v>
      </c>
      <c r="E131" s="11">
        <v>7</v>
      </c>
      <c r="F131" s="11">
        <v>8</v>
      </c>
      <c r="G131" s="11">
        <v>10</v>
      </c>
    </row>
    <row r="132" spans="1:7" x14ac:dyDescent="0.3">
      <c r="A132" s="1">
        <v>45990.375007349539</v>
      </c>
      <c r="B132" s="5">
        <v>10.6</v>
      </c>
      <c r="C132" s="6">
        <f t="shared" si="1"/>
        <v>1790.9827064000003</v>
      </c>
      <c r="D132" s="9">
        <v>0</v>
      </c>
      <c r="E132" s="11">
        <v>7</v>
      </c>
      <c r="F132" s="11">
        <v>8</v>
      </c>
      <c r="G132" s="11">
        <v>10</v>
      </c>
    </row>
    <row r="133" spans="1:7" x14ac:dyDescent="0.3">
      <c r="A133" s="1">
        <v>45990.416674074077</v>
      </c>
      <c r="B133" s="5">
        <v>10.64</v>
      </c>
      <c r="C133" s="6">
        <f t="shared" ref="C133:C196" si="2">IF(B133="","",IF((B133+0.56)&gt;4,13.194*(B133+0.56)^2+13.311*(B133+0.56)-0.8227,27.012*(B133+0.56)^1.6477))</f>
        <v>1803.3158600000006</v>
      </c>
      <c r="D133" s="9">
        <v>0</v>
      </c>
      <c r="E133" s="11">
        <v>7</v>
      </c>
      <c r="F133" s="11">
        <v>8</v>
      </c>
      <c r="G133" s="11">
        <v>10</v>
      </c>
    </row>
    <row r="134" spans="1:7" x14ac:dyDescent="0.3">
      <c r="A134" s="1">
        <v>45990.458340798614</v>
      </c>
      <c r="B134" s="5">
        <v>10.69</v>
      </c>
      <c r="C134" s="6">
        <f t="shared" si="2"/>
        <v>1818.7916750000002</v>
      </c>
      <c r="D134" s="9">
        <v>0</v>
      </c>
      <c r="E134" s="11">
        <v>7</v>
      </c>
      <c r="F134" s="11">
        <v>8</v>
      </c>
      <c r="G134" s="11">
        <v>10</v>
      </c>
    </row>
    <row r="135" spans="1:7" x14ac:dyDescent="0.3">
      <c r="A135" s="1">
        <v>45990.500007523151</v>
      </c>
      <c r="B135" s="5">
        <v>10.72</v>
      </c>
      <c r="C135" s="6">
        <f t="shared" si="2"/>
        <v>1828.1088296000005</v>
      </c>
      <c r="D135" s="9">
        <v>0</v>
      </c>
      <c r="E135" s="11">
        <v>7</v>
      </c>
      <c r="F135" s="11">
        <v>8</v>
      </c>
      <c r="G135" s="11">
        <v>10</v>
      </c>
    </row>
    <row r="136" spans="1:7" x14ac:dyDescent="0.3">
      <c r="A136" s="1">
        <v>45990.541674247688</v>
      </c>
      <c r="B136" s="5">
        <v>10.75</v>
      </c>
      <c r="C136" s="6">
        <f t="shared" si="2"/>
        <v>1837.4497334000005</v>
      </c>
      <c r="D136" s="9">
        <v>0</v>
      </c>
      <c r="E136" s="11">
        <v>7</v>
      </c>
      <c r="F136" s="11">
        <v>8</v>
      </c>
      <c r="G136" s="11">
        <v>10</v>
      </c>
    </row>
    <row r="137" spans="1:7" x14ac:dyDescent="0.3">
      <c r="A137" s="1">
        <v>45990.583340972225</v>
      </c>
      <c r="B137" s="5">
        <v>10.78</v>
      </c>
      <c r="C137" s="6">
        <f t="shared" si="2"/>
        <v>1846.8143864000001</v>
      </c>
      <c r="D137" s="9">
        <v>0</v>
      </c>
      <c r="E137" s="11">
        <v>7</v>
      </c>
      <c r="F137" s="11">
        <v>8</v>
      </c>
      <c r="G137" s="11">
        <v>10</v>
      </c>
    </row>
    <row r="138" spans="1:7" x14ac:dyDescent="0.3">
      <c r="A138" s="1">
        <v>45990.625007696763</v>
      </c>
      <c r="B138" s="5">
        <v>10.81</v>
      </c>
      <c r="C138" s="6">
        <f t="shared" si="2"/>
        <v>1856.2027886000003</v>
      </c>
      <c r="D138" s="9">
        <v>0</v>
      </c>
      <c r="E138" s="11">
        <v>7</v>
      </c>
      <c r="F138" s="11">
        <v>8</v>
      </c>
      <c r="G138" s="11">
        <v>10</v>
      </c>
    </row>
    <row r="139" spans="1:7" x14ac:dyDescent="0.3">
      <c r="A139" s="1">
        <v>45990.6666744213</v>
      </c>
      <c r="B139" s="5">
        <v>10.83</v>
      </c>
      <c r="C139" s="6">
        <f t="shared" si="2"/>
        <v>1862.4749174000003</v>
      </c>
      <c r="D139" s="9">
        <v>0</v>
      </c>
      <c r="E139" s="11">
        <v>7</v>
      </c>
      <c r="F139" s="11">
        <v>8</v>
      </c>
      <c r="G139" s="11">
        <v>10</v>
      </c>
    </row>
    <row r="140" spans="1:7" x14ac:dyDescent="0.3">
      <c r="A140" s="1">
        <v>45990.70834114583</v>
      </c>
      <c r="B140" s="5">
        <v>10.85</v>
      </c>
      <c r="C140" s="6">
        <f t="shared" si="2"/>
        <v>1868.7576014000001</v>
      </c>
      <c r="D140" s="9">
        <v>0</v>
      </c>
      <c r="E140" s="11">
        <v>7</v>
      </c>
      <c r="F140" s="11">
        <v>8</v>
      </c>
      <c r="G140" s="11">
        <v>10</v>
      </c>
    </row>
    <row r="141" spans="1:7" x14ac:dyDescent="0.3">
      <c r="A141" s="1">
        <v>45990.750007870367</v>
      </c>
      <c r="B141" s="5">
        <v>10.87</v>
      </c>
      <c r="C141" s="6">
        <f t="shared" si="2"/>
        <v>1875.0508406000001</v>
      </c>
      <c r="D141" s="9">
        <v>0</v>
      </c>
      <c r="E141" s="11">
        <v>7</v>
      </c>
      <c r="F141" s="11">
        <v>8</v>
      </c>
      <c r="G141" s="11">
        <v>10</v>
      </c>
    </row>
    <row r="142" spans="1:7" x14ac:dyDescent="0.3">
      <c r="A142" s="1">
        <v>45990.791674594904</v>
      </c>
      <c r="B142" s="5">
        <v>10.89</v>
      </c>
      <c r="C142" s="6">
        <f t="shared" si="2"/>
        <v>1881.3546350000004</v>
      </c>
      <c r="D142" s="9">
        <v>0</v>
      </c>
      <c r="E142" s="11">
        <v>7</v>
      </c>
      <c r="F142" s="11">
        <v>8</v>
      </c>
      <c r="G142" s="11">
        <v>10</v>
      </c>
    </row>
    <row r="143" spans="1:7" x14ac:dyDescent="0.3">
      <c r="A143" s="1">
        <v>45990.833341319441</v>
      </c>
      <c r="B143" s="5">
        <v>10.89</v>
      </c>
      <c r="C143" s="6">
        <f t="shared" si="2"/>
        <v>1881.3546350000004</v>
      </c>
      <c r="D143" s="9">
        <v>0</v>
      </c>
      <c r="E143" s="11">
        <v>7</v>
      </c>
      <c r="F143" s="11">
        <v>8</v>
      </c>
      <c r="G143" s="11">
        <v>10</v>
      </c>
    </row>
    <row r="144" spans="1:7" x14ac:dyDescent="0.3">
      <c r="A144" s="1">
        <v>45990.875008043979</v>
      </c>
      <c r="B144" s="5">
        <v>10.91</v>
      </c>
      <c r="C144" s="6">
        <f t="shared" si="2"/>
        <v>1887.6689846000002</v>
      </c>
      <c r="D144" s="9">
        <v>0</v>
      </c>
      <c r="E144" s="11">
        <v>7</v>
      </c>
      <c r="F144" s="11">
        <v>8</v>
      </c>
      <c r="G144" s="11">
        <v>10</v>
      </c>
    </row>
    <row r="145" spans="1:7" x14ac:dyDescent="0.3">
      <c r="A145" s="1">
        <v>45990.916674768516</v>
      </c>
      <c r="B145" s="5">
        <v>10.91</v>
      </c>
      <c r="C145" s="6">
        <f t="shared" si="2"/>
        <v>1887.6689846000002</v>
      </c>
      <c r="D145" s="9">
        <v>0</v>
      </c>
      <c r="E145" s="11">
        <v>7</v>
      </c>
      <c r="F145" s="11">
        <v>8</v>
      </c>
      <c r="G145" s="11">
        <v>10</v>
      </c>
    </row>
    <row r="146" spans="1:7" x14ac:dyDescent="0.3">
      <c r="A146" s="1">
        <v>45990.958341493053</v>
      </c>
      <c r="B146" s="5">
        <v>10.93</v>
      </c>
      <c r="C146" s="6">
        <f t="shared" si="2"/>
        <v>1893.9938894000002</v>
      </c>
      <c r="D146" s="9">
        <v>0</v>
      </c>
      <c r="E146" s="11">
        <v>7</v>
      </c>
      <c r="F146" s="11">
        <v>8</v>
      </c>
      <c r="G146" s="11">
        <v>10</v>
      </c>
    </row>
    <row r="147" spans="1:7" x14ac:dyDescent="0.3">
      <c r="A147" s="1">
        <v>45991.00000821759</v>
      </c>
      <c r="B147" s="8">
        <v>10.95</v>
      </c>
      <c r="C147" s="6">
        <f t="shared" si="2"/>
        <v>1900.3293494000002</v>
      </c>
      <c r="D147" s="9">
        <v>0</v>
      </c>
      <c r="E147" s="11">
        <v>7</v>
      </c>
      <c r="F147" s="11">
        <v>8</v>
      </c>
      <c r="G147" s="11">
        <v>10</v>
      </c>
    </row>
    <row r="148" spans="1:7" x14ac:dyDescent="0.3">
      <c r="A148" s="1">
        <v>45991.041674942127</v>
      </c>
      <c r="B148" s="5">
        <v>10.92</v>
      </c>
      <c r="C148" s="6">
        <f t="shared" si="2"/>
        <v>1890.8301176000002</v>
      </c>
      <c r="D148" s="9">
        <v>0</v>
      </c>
      <c r="E148" s="11">
        <v>7</v>
      </c>
      <c r="F148" s="11">
        <v>8</v>
      </c>
      <c r="G148" s="11">
        <v>10</v>
      </c>
    </row>
    <row r="149" spans="1:7" x14ac:dyDescent="0.3">
      <c r="A149" s="1">
        <v>45991.083341666665</v>
      </c>
      <c r="B149" s="5">
        <v>10.9</v>
      </c>
      <c r="C149" s="6">
        <f t="shared" si="2"/>
        <v>1884.5104904000002</v>
      </c>
      <c r="D149" s="9">
        <v>0</v>
      </c>
      <c r="E149" s="11">
        <v>7</v>
      </c>
      <c r="F149" s="11">
        <v>8</v>
      </c>
      <c r="G149" s="11">
        <v>10</v>
      </c>
    </row>
    <row r="150" spans="1:7" x14ac:dyDescent="0.3">
      <c r="A150" s="1">
        <v>45991.125008391202</v>
      </c>
      <c r="B150" s="5">
        <v>10.9</v>
      </c>
      <c r="C150" s="6">
        <f t="shared" si="2"/>
        <v>1884.5104904000002</v>
      </c>
      <c r="D150" s="9">
        <v>0</v>
      </c>
      <c r="E150" s="11">
        <v>7</v>
      </c>
      <c r="F150" s="11">
        <v>8</v>
      </c>
      <c r="G150" s="11">
        <v>10</v>
      </c>
    </row>
    <row r="151" spans="1:7" x14ac:dyDescent="0.3">
      <c r="A151" s="1">
        <v>45991.166675115739</v>
      </c>
      <c r="B151" s="5">
        <v>10.9</v>
      </c>
      <c r="C151" s="6">
        <f t="shared" si="2"/>
        <v>1884.5104904000002</v>
      </c>
      <c r="D151" s="9">
        <v>0</v>
      </c>
      <c r="E151" s="11">
        <v>7</v>
      </c>
      <c r="F151" s="11">
        <v>8</v>
      </c>
      <c r="G151" s="11">
        <v>10</v>
      </c>
    </row>
    <row r="152" spans="1:7" x14ac:dyDescent="0.3">
      <c r="A152" s="1">
        <v>45991.208341840276</v>
      </c>
      <c r="B152" s="5">
        <v>10.88</v>
      </c>
      <c r="C152" s="6">
        <f t="shared" si="2"/>
        <v>1878.2014184000006</v>
      </c>
      <c r="D152" s="9">
        <v>0</v>
      </c>
      <c r="E152" s="11">
        <v>7</v>
      </c>
      <c r="F152" s="11">
        <v>8</v>
      </c>
      <c r="G152" s="11">
        <v>10</v>
      </c>
    </row>
    <row r="153" spans="1:7" x14ac:dyDescent="0.3">
      <c r="A153" s="1">
        <v>45991.250008564813</v>
      </c>
      <c r="B153" s="5">
        <v>10.88</v>
      </c>
      <c r="C153" s="6">
        <f t="shared" si="2"/>
        <v>1878.2014184000006</v>
      </c>
      <c r="D153" s="9">
        <v>0</v>
      </c>
      <c r="E153" s="11">
        <v>7</v>
      </c>
      <c r="F153" s="11">
        <v>8</v>
      </c>
      <c r="G153" s="11">
        <v>10</v>
      </c>
    </row>
    <row r="154" spans="1:7" x14ac:dyDescent="0.3">
      <c r="A154" s="1">
        <v>45991.291675289351</v>
      </c>
      <c r="B154" s="5">
        <v>10.87</v>
      </c>
      <c r="C154" s="6">
        <f t="shared" si="2"/>
        <v>1875.0508406000001</v>
      </c>
      <c r="D154" s="9">
        <v>0</v>
      </c>
      <c r="E154" s="11">
        <v>7</v>
      </c>
      <c r="F154" s="11">
        <v>8</v>
      </c>
      <c r="G154" s="11">
        <v>10</v>
      </c>
    </row>
    <row r="155" spans="1:7" x14ac:dyDescent="0.3">
      <c r="A155" s="1">
        <v>45991.333342013888</v>
      </c>
      <c r="B155" s="5">
        <v>10.84</v>
      </c>
      <c r="C155" s="6">
        <f t="shared" si="2"/>
        <v>1865.6149400000004</v>
      </c>
      <c r="D155" s="9">
        <v>0</v>
      </c>
      <c r="E155" s="11">
        <v>7</v>
      </c>
      <c r="F155" s="11">
        <v>8</v>
      </c>
      <c r="G155" s="11">
        <v>10</v>
      </c>
    </row>
    <row r="156" spans="1:7" x14ac:dyDescent="0.3">
      <c r="A156" s="1">
        <v>45991.375008738425</v>
      </c>
      <c r="B156" s="5">
        <v>10.82</v>
      </c>
      <c r="C156" s="6">
        <f t="shared" si="2"/>
        <v>1859.3375336000004</v>
      </c>
      <c r="D156" s="9">
        <v>0</v>
      </c>
      <c r="E156" s="11">
        <v>7</v>
      </c>
      <c r="F156" s="11">
        <v>8</v>
      </c>
      <c r="G156" s="11">
        <v>10</v>
      </c>
    </row>
    <row r="157" spans="1:7" x14ac:dyDescent="0.3">
      <c r="A157" s="1">
        <v>45991.416675462962</v>
      </c>
      <c r="B157" s="5">
        <v>10.8</v>
      </c>
      <c r="C157" s="6">
        <f t="shared" si="2"/>
        <v>1853.0706824000006</v>
      </c>
      <c r="D157" s="9">
        <v>0</v>
      </c>
      <c r="E157" s="11">
        <v>7</v>
      </c>
      <c r="F157" s="11">
        <v>8</v>
      </c>
      <c r="G157" s="11">
        <v>10</v>
      </c>
    </row>
    <row r="158" spans="1:7" x14ac:dyDescent="0.3">
      <c r="A158" s="1">
        <v>45991.4583421875</v>
      </c>
      <c r="B158" s="5">
        <v>10.77</v>
      </c>
      <c r="C158" s="6">
        <f t="shared" si="2"/>
        <v>1843.6901966000003</v>
      </c>
      <c r="D158" s="9">
        <v>0</v>
      </c>
      <c r="E158" s="11">
        <v>7</v>
      </c>
      <c r="F158" s="11">
        <v>8</v>
      </c>
      <c r="G158" s="11">
        <v>10</v>
      </c>
    </row>
    <row r="159" spans="1:7" x14ac:dyDescent="0.3">
      <c r="A159" s="1">
        <v>45991.500008912037</v>
      </c>
      <c r="B159" s="5">
        <v>10.75</v>
      </c>
      <c r="C159" s="6">
        <f t="shared" si="2"/>
        <v>1837.4497334000005</v>
      </c>
      <c r="D159" s="9">
        <v>0</v>
      </c>
      <c r="E159" s="11">
        <v>7</v>
      </c>
      <c r="F159" s="11">
        <v>8</v>
      </c>
      <c r="G159" s="11">
        <v>10</v>
      </c>
    </row>
    <row r="160" spans="1:7" x14ac:dyDescent="0.3">
      <c r="A160" s="1">
        <v>45991.541675636574</v>
      </c>
      <c r="B160" s="5">
        <v>10.72</v>
      </c>
      <c r="C160" s="6">
        <f t="shared" si="2"/>
        <v>1828.1088296000005</v>
      </c>
      <c r="D160" s="9">
        <v>0</v>
      </c>
      <c r="E160" s="11">
        <v>7</v>
      </c>
      <c r="F160" s="11">
        <v>8</v>
      </c>
      <c r="G160" s="11">
        <v>10</v>
      </c>
    </row>
    <row r="161" spans="1:7" x14ac:dyDescent="0.3">
      <c r="A161" s="1">
        <v>45991.583342361111</v>
      </c>
      <c r="B161" s="5">
        <v>10.69</v>
      </c>
      <c r="C161" s="6">
        <f t="shared" si="2"/>
        <v>1818.7916750000002</v>
      </c>
      <c r="D161" s="9">
        <v>0</v>
      </c>
      <c r="E161" s="11">
        <v>7</v>
      </c>
      <c r="F161" s="11">
        <v>8</v>
      </c>
      <c r="G161" s="11">
        <v>10</v>
      </c>
    </row>
    <row r="162" spans="1:7" x14ac:dyDescent="0.3">
      <c r="A162" s="1">
        <v>45991.625009085648</v>
      </c>
      <c r="B162" s="5">
        <v>10.64</v>
      </c>
      <c r="C162" s="6">
        <f t="shared" si="2"/>
        <v>1803.3158600000006</v>
      </c>
      <c r="D162" s="9">
        <v>0</v>
      </c>
      <c r="E162" s="11">
        <v>7</v>
      </c>
      <c r="F162" s="11">
        <v>8</v>
      </c>
      <c r="G162" s="11">
        <v>10</v>
      </c>
    </row>
    <row r="163" spans="1:7" x14ac:dyDescent="0.3">
      <c r="A163" s="1">
        <v>45991.666675810186</v>
      </c>
      <c r="B163" s="5">
        <v>10.6</v>
      </c>
      <c r="C163" s="6">
        <f t="shared" si="2"/>
        <v>1790.9827064000003</v>
      </c>
      <c r="D163" s="9">
        <v>0</v>
      </c>
      <c r="E163" s="11">
        <v>7</v>
      </c>
      <c r="F163" s="11">
        <v>8</v>
      </c>
      <c r="G163" s="11">
        <v>10</v>
      </c>
    </row>
    <row r="164" spans="1:7" x14ac:dyDescent="0.3">
      <c r="A164" s="1">
        <v>45991.708342534723</v>
      </c>
      <c r="B164" s="5">
        <v>10.55</v>
      </c>
      <c r="C164" s="6">
        <f t="shared" si="2"/>
        <v>1775.6256374000006</v>
      </c>
      <c r="D164" s="9">
        <v>0</v>
      </c>
      <c r="E164" s="11">
        <v>7</v>
      </c>
      <c r="F164" s="11">
        <v>8</v>
      </c>
      <c r="G164" s="11">
        <v>10</v>
      </c>
    </row>
    <row r="165" spans="1:7" x14ac:dyDescent="0.3">
      <c r="A165" s="1">
        <v>45991.75000925926</v>
      </c>
      <c r="B165" s="5">
        <v>10.51</v>
      </c>
      <c r="C165" s="6">
        <f t="shared" si="2"/>
        <v>1763.3874806000003</v>
      </c>
      <c r="D165" s="9">
        <v>0</v>
      </c>
      <c r="E165" s="11">
        <v>7</v>
      </c>
      <c r="F165" s="11">
        <v>8</v>
      </c>
      <c r="G165" s="11">
        <v>10</v>
      </c>
    </row>
    <row r="166" spans="1:7" x14ac:dyDescent="0.3">
      <c r="A166" s="1">
        <v>45991.791675983797</v>
      </c>
      <c r="B166" s="5">
        <v>10.46</v>
      </c>
      <c r="C166" s="6">
        <f t="shared" si="2"/>
        <v>1748.1491576000005</v>
      </c>
      <c r="D166" s="9">
        <v>0</v>
      </c>
      <c r="E166" s="11">
        <v>7</v>
      </c>
      <c r="F166" s="11">
        <v>8</v>
      </c>
      <c r="G166" s="11">
        <v>10</v>
      </c>
    </row>
    <row r="167" spans="1:7" x14ac:dyDescent="0.3">
      <c r="A167" s="1">
        <v>45991.833342708334</v>
      </c>
      <c r="B167" s="5">
        <v>10.4</v>
      </c>
      <c r="C167" s="6">
        <f t="shared" si="2"/>
        <v>1729.9502504000004</v>
      </c>
      <c r="D167" s="9">
        <v>0</v>
      </c>
      <c r="E167" s="11">
        <v>7</v>
      </c>
      <c r="F167" s="11">
        <v>8</v>
      </c>
      <c r="G167" s="11">
        <v>10</v>
      </c>
    </row>
    <row r="168" spans="1:7" x14ac:dyDescent="0.3">
      <c r="A168" s="1">
        <v>45991.875009432872</v>
      </c>
      <c r="B168" s="5">
        <v>10.35</v>
      </c>
      <c r="C168" s="6">
        <f t="shared" si="2"/>
        <v>1714.8570614000002</v>
      </c>
      <c r="D168" s="9">
        <v>0</v>
      </c>
      <c r="E168" s="11">
        <v>7</v>
      </c>
      <c r="F168" s="11">
        <v>8</v>
      </c>
      <c r="G168" s="11">
        <v>10</v>
      </c>
    </row>
    <row r="169" spans="1:7" x14ac:dyDescent="0.3">
      <c r="A169" s="1">
        <v>45991.916676157409</v>
      </c>
      <c r="B169" s="5">
        <v>10.29</v>
      </c>
      <c r="C169" s="6">
        <f t="shared" si="2"/>
        <v>1696.8323150000001</v>
      </c>
      <c r="D169" s="9">
        <v>0</v>
      </c>
      <c r="E169" s="11">
        <v>7</v>
      </c>
      <c r="F169" s="11">
        <v>8</v>
      </c>
      <c r="G169" s="11">
        <v>10</v>
      </c>
    </row>
    <row r="170" spans="1:7" x14ac:dyDescent="0.3">
      <c r="A170" s="1">
        <v>45991.958342881946</v>
      </c>
      <c r="B170" s="5">
        <v>10.23</v>
      </c>
      <c r="C170" s="6">
        <f t="shared" si="2"/>
        <v>1678.9025654000006</v>
      </c>
      <c r="D170" s="9">
        <v>0</v>
      </c>
      <c r="E170" s="11">
        <v>7</v>
      </c>
      <c r="F170" s="11">
        <v>8</v>
      </c>
      <c r="G170" s="11">
        <v>10</v>
      </c>
    </row>
    <row r="171" spans="1:7" x14ac:dyDescent="0.3">
      <c r="A171" s="1">
        <v>45992.000009606483</v>
      </c>
      <c r="B171" s="5">
        <v>10.18</v>
      </c>
      <c r="C171" s="6">
        <f t="shared" si="2"/>
        <v>1664.0336744000001</v>
      </c>
      <c r="D171" s="9">
        <v>0</v>
      </c>
      <c r="E171" s="11">
        <v>7</v>
      </c>
      <c r="F171" s="11">
        <v>8</v>
      </c>
      <c r="G171" s="11">
        <v>10</v>
      </c>
    </row>
    <row r="172" spans="1:7" x14ac:dyDescent="0.3">
      <c r="A172" s="1">
        <v>45992.04167633102</v>
      </c>
      <c r="B172" s="5">
        <v>10.1</v>
      </c>
      <c r="C172" s="6">
        <f t="shared" si="2"/>
        <v>1640.3806664000001</v>
      </c>
      <c r="D172" s="9">
        <v>0</v>
      </c>
      <c r="E172" s="11">
        <v>7</v>
      </c>
      <c r="F172" s="11">
        <v>8</v>
      </c>
      <c r="G172" s="11">
        <v>10</v>
      </c>
    </row>
    <row r="173" spans="1:7" x14ac:dyDescent="0.3">
      <c r="A173" s="1">
        <v>45992.083343055558</v>
      </c>
      <c r="B173" s="5">
        <v>10.039999999999999</v>
      </c>
      <c r="C173" s="6">
        <f t="shared" si="2"/>
        <v>1622.7517400000002</v>
      </c>
      <c r="D173" s="9">
        <v>0</v>
      </c>
      <c r="E173" s="11">
        <v>7</v>
      </c>
      <c r="F173" s="11">
        <v>8</v>
      </c>
      <c r="G173" s="11">
        <v>10</v>
      </c>
    </row>
    <row r="174" spans="1:7" x14ac:dyDescent="0.3">
      <c r="A174" s="1">
        <v>45992.125009780095</v>
      </c>
      <c r="B174" s="5">
        <v>9.9499999999999993</v>
      </c>
      <c r="C174" s="6">
        <f t="shared" si="2"/>
        <v>1596.4864694</v>
      </c>
      <c r="D174" s="9">
        <v>0</v>
      </c>
      <c r="E174" s="11">
        <v>7</v>
      </c>
      <c r="F174" s="11">
        <v>8</v>
      </c>
      <c r="G174" s="11">
        <v>10</v>
      </c>
    </row>
    <row r="175" spans="1:7" x14ac:dyDescent="0.3">
      <c r="A175" s="1">
        <v>45992.166676504632</v>
      </c>
      <c r="B175" s="5">
        <v>9.8800000000000008</v>
      </c>
      <c r="C175" s="6">
        <f t="shared" si="2"/>
        <v>1576.2056984000005</v>
      </c>
      <c r="D175" s="9">
        <v>0</v>
      </c>
      <c r="E175" s="11">
        <v>7</v>
      </c>
      <c r="F175" s="11">
        <v>8</v>
      </c>
      <c r="G175" s="11">
        <v>10</v>
      </c>
    </row>
    <row r="176" spans="1:7" x14ac:dyDescent="0.3">
      <c r="A176" s="1">
        <v>45992.208343229169</v>
      </c>
      <c r="B176" s="5">
        <v>9.7799999999999994</v>
      </c>
      <c r="C176" s="6">
        <f t="shared" si="2"/>
        <v>1547.4574664000002</v>
      </c>
      <c r="D176" s="9">
        <v>0</v>
      </c>
      <c r="E176" s="11">
        <v>7</v>
      </c>
      <c r="F176" s="11">
        <v>8</v>
      </c>
      <c r="G176" s="11">
        <v>10</v>
      </c>
    </row>
    <row r="177" spans="1:7" x14ac:dyDescent="0.3">
      <c r="A177" s="1">
        <v>45992.250009953706</v>
      </c>
      <c r="B177" s="5">
        <v>9.69</v>
      </c>
      <c r="C177" s="6">
        <f t="shared" si="2"/>
        <v>1521.8096750000002</v>
      </c>
      <c r="D177" s="9">
        <v>0</v>
      </c>
      <c r="E177" s="11">
        <v>7</v>
      </c>
      <c r="F177" s="11">
        <v>8</v>
      </c>
      <c r="G177" s="11">
        <v>10</v>
      </c>
    </row>
    <row r="178" spans="1:7" x14ac:dyDescent="0.3">
      <c r="A178" s="1">
        <v>45992.291676678244</v>
      </c>
      <c r="B178" s="5">
        <v>9.6</v>
      </c>
      <c r="C178" s="6">
        <f t="shared" si="2"/>
        <v>1496.3756264000001</v>
      </c>
      <c r="D178" s="9">
        <v>0</v>
      </c>
      <c r="E178" s="11">
        <v>7</v>
      </c>
      <c r="F178" s="11">
        <v>8</v>
      </c>
      <c r="G178" s="11">
        <v>10</v>
      </c>
    </row>
    <row r="179" spans="1:7" x14ac:dyDescent="0.3">
      <c r="A179" s="1">
        <v>45992.333343402781</v>
      </c>
      <c r="B179" s="5">
        <v>9.5</v>
      </c>
      <c r="C179" s="6">
        <f t="shared" si="2"/>
        <v>1468.3662584000003</v>
      </c>
      <c r="D179" s="9">
        <v>0</v>
      </c>
      <c r="E179" s="11">
        <v>7</v>
      </c>
      <c r="F179" s="11">
        <v>8</v>
      </c>
      <c r="G179" s="11">
        <v>10</v>
      </c>
    </row>
    <row r="180" spans="1:7" x14ac:dyDescent="0.3">
      <c r="A180" s="1">
        <v>45992.375010127318</v>
      </c>
      <c r="B180" s="5">
        <v>9.42</v>
      </c>
      <c r="C180" s="6">
        <f t="shared" si="2"/>
        <v>1446.1487576000002</v>
      </c>
      <c r="D180" s="9">
        <v>0</v>
      </c>
      <c r="E180" s="11">
        <v>7</v>
      </c>
      <c r="F180" s="11">
        <v>8</v>
      </c>
      <c r="G180" s="11">
        <v>10</v>
      </c>
    </row>
    <row r="181" spans="1:7" x14ac:dyDescent="0.3">
      <c r="A181" s="1">
        <v>45992.416676851855</v>
      </c>
      <c r="B181" s="5">
        <v>9.31</v>
      </c>
      <c r="C181" s="6">
        <f t="shared" si="2"/>
        <v>1415.8754486000005</v>
      </c>
      <c r="D181" s="9">
        <v>0</v>
      </c>
      <c r="E181" s="11">
        <v>7</v>
      </c>
      <c r="F181" s="11">
        <v>8</v>
      </c>
      <c r="G181" s="11">
        <v>10</v>
      </c>
    </row>
    <row r="182" spans="1:7" x14ac:dyDescent="0.3">
      <c r="A182" s="1">
        <v>45992.458343576393</v>
      </c>
      <c r="B182" s="5">
        <v>9.2100000000000009</v>
      </c>
      <c r="C182" s="6">
        <f t="shared" si="2"/>
        <v>1388.6313326000004</v>
      </c>
      <c r="D182" s="9">
        <v>0</v>
      </c>
      <c r="E182" s="11">
        <v>7</v>
      </c>
      <c r="F182" s="11">
        <v>8</v>
      </c>
      <c r="G182" s="11">
        <v>10</v>
      </c>
    </row>
    <row r="183" spans="1:7" x14ac:dyDescent="0.3">
      <c r="A183" s="1">
        <v>45992.500010300922</v>
      </c>
      <c r="B183" s="5">
        <v>9.1199999999999992</v>
      </c>
      <c r="C183" s="6">
        <f t="shared" si="2"/>
        <v>1364.3372456000002</v>
      </c>
      <c r="D183" s="9">
        <v>0</v>
      </c>
      <c r="E183" s="11">
        <v>7</v>
      </c>
      <c r="F183" s="11">
        <v>8</v>
      </c>
      <c r="G183" s="11">
        <v>10</v>
      </c>
    </row>
    <row r="184" spans="1:7" x14ac:dyDescent="0.3">
      <c r="A184" s="1">
        <v>45992.54167702546</v>
      </c>
      <c r="B184" s="5">
        <v>9.0299999999999994</v>
      </c>
      <c r="C184" s="6">
        <f t="shared" si="2"/>
        <v>1340.2569014000001</v>
      </c>
      <c r="D184" s="9">
        <v>0</v>
      </c>
      <c r="E184" s="11">
        <v>7</v>
      </c>
      <c r="F184" s="11">
        <v>8</v>
      </c>
      <c r="G184" s="11">
        <v>10</v>
      </c>
    </row>
    <row r="185" spans="1:7" x14ac:dyDescent="0.3">
      <c r="A185" s="1">
        <v>45992.583343749997</v>
      </c>
      <c r="B185" s="5">
        <v>8.94</v>
      </c>
      <c r="C185" s="6">
        <f t="shared" si="2"/>
        <v>1316.3903000000003</v>
      </c>
      <c r="D185" s="9">
        <v>0</v>
      </c>
      <c r="E185" s="11">
        <v>7</v>
      </c>
      <c r="F185" s="11">
        <v>8</v>
      </c>
      <c r="G185" s="11">
        <v>10</v>
      </c>
    </row>
    <row r="186" spans="1:7" x14ac:dyDescent="0.3">
      <c r="A186" s="1">
        <v>45992.625010474534</v>
      </c>
      <c r="B186" s="5">
        <v>8.86</v>
      </c>
      <c r="C186" s="6">
        <f t="shared" si="2"/>
        <v>1295.3549816000002</v>
      </c>
      <c r="D186" s="9">
        <v>0</v>
      </c>
      <c r="E186" s="11">
        <v>7</v>
      </c>
      <c r="F186" s="11">
        <v>8</v>
      </c>
      <c r="G186" s="11">
        <v>10</v>
      </c>
    </row>
    <row r="187" spans="1:7" x14ac:dyDescent="0.3">
      <c r="A187" s="1">
        <v>45992.666677199071</v>
      </c>
      <c r="B187" s="5">
        <v>8.77</v>
      </c>
      <c r="C187" s="6">
        <f t="shared" si="2"/>
        <v>1271.8921166000002</v>
      </c>
      <c r="D187" s="9">
        <v>0</v>
      </c>
      <c r="E187" s="11">
        <v>7</v>
      </c>
      <c r="F187" s="11">
        <v>8</v>
      </c>
      <c r="G187" s="11">
        <v>10</v>
      </c>
    </row>
    <row r="188" spans="1:7" x14ac:dyDescent="0.3">
      <c r="A188" s="1">
        <v>45992.708343923608</v>
      </c>
      <c r="B188" s="5">
        <v>8.6999999999999993</v>
      </c>
      <c r="C188" s="6">
        <f t="shared" si="2"/>
        <v>1253.7909944</v>
      </c>
      <c r="D188" s="9">
        <v>0</v>
      </c>
      <c r="E188" s="11">
        <v>7</v>
      </c>
      <c r="F188" s="11">
        <v>8</v>
      </c>
      <c r="G188" s="11">
        <v>10</v>
      </c>
    </row>
    <row r="189" spans="1:7" x14ac:dyDescent="0.3">
      <c r="A189" s="1">
        <v>45992.750010648146</v>
      </c>
      <c r="B189" s="5">
        <v>8.61</v>
      </c>
      <c r="C189" s="6">
        <f t="shared" si="2"/>
        <v>1230.7081166</v>
      </c>
      <c r="D189" s="9">
        <v>0</v>
      </c>
      <c r="E189" s="11">
        <v>7</v>
      </c>
      <c r="F189" s="11">
        <v>8</v>
      </c>
      <c r="G189" s="11">
        <v>10</v>
      </c>
    </row>
    <row r="190" spans="1:7" x14ac:dyDescent="0.3">
      <c r="A190" s="1">
        <v>45992.791677372683</v>
      </c>
      <c r="B190" s="5">
        <v>8.5299999999999994</v>
      </c>
      <c r="C190" s="6">
        <f t="shared" si="2"/>
        <v>1210.3694414000004</v>
      </c>
      <c r="D190" s="9">
        <v>0</v>
      </c>
      <c r="E190" s="11">
        <v>7</v>
      </c>
      <c r="F190" s="11">
        <v>8</v>
      </c>
      <c r="G190" s="11">
        <v>10</v>
      </c>
    </row>
    <row r="191" spans="1:7" x14ac:dyDescent="0.3">
      <c r="A191" s="1">
        <v>45992.83334409722</v>
      </c>
      <c r="B191" s="5">
        <v>8.44</v>
      </c>
      <c r="C191" s="6">
        <f t="shared" si="2"/>
        <v>1187.6903000000002</v>
      </c>
      <c r="D191" s="9">
        <v>0</v>
      </c>
      <c r="E191" s="11">
        <v>7</v>
      </c>
      <c r="F191" s="11">
        <v>8</v>
      </c>
      <c r="G191" s="11">
        <v>10</v>
      </c>
    </row>
    <row r="192" spans="1:7" x14ac:dyDescent="0.3">
      <c r="A192" s="1">
        <v>45992.875010821757</v>
      </c>
      <c r="B192" s="5">
        <v>8.33</v>
      </c>
      <c r="C192" s="6">
        <f t="shared" si="2"/>
        <v>1160.2616174000004</v>
      </c>
      <c r="D192" s="9">
        <v>0</v>
      </c>
      <c r="E192" s="11">
        <v>7</v>
      </c>
      <c r="F192" s="11">
        <v>8</v>
      </c>
      <c r="G192" s="11">
        <v>10</v>
      </c>
    </row>
    <row r="193" spans="1:7" x14ac:dyDescent="0.3">
      <c r="A193" s="1">
        <v>45992.916677546295</v>
      </c>
      <c r="B193" s="5">
        <v>8.27</v>
      </c>
      <c r="C193" s="6">
        <f t="shared" si="2"/>
        <v>1145.4350966000002</v>
      </c>
      <c r="D193" s="9">
        <v>0</v>
      </c>
      <c r="E193" s="11">
        <v>7</v>
      </c>
      <c r="F193" s="11">
        <v>8</v>
      </c>
      <c r="G193" s="11">
        <v>10</v>
      </c>
    </row>
    <row r="194" spans="1:7" x14ac:dyDescent="0.3">
      <c r="A194" s="1">
        <v>45992.958344270832</v>
      </c>
      <c r="B194" s="5">
        <v>8.2100000000000009</v>
      </c>
      <c r="C194" s="6">
        <f t="shared" si="2"/>
        <v>1130.7035726000004</v>
      </c>
      <c r="D194" s="9">
        <v>0</v>
      </c>
      <c r="E194" s="11">
        <v>7</v>
      </c>
      <c r="F194" s="11">
        <v>8</v>
      </c>
      <c r="G194" s="11">
        <v>10</v>
      </c>
    </row>
    <row r="195" spans="1:7" x14ac:dyDescent="0.3">
      <c r="A195" s="1">
        <v>45993.000010995369</v>
      </c>
      <c r="B195" s="5">
        <v>8.14</v>
      </c>
      <c r="C195" s="6">
        <f t="shared" si="2"/>
        <v>1113.6368600000003</v>
      </c>
      <c r="D195" s="9">
        <v>0</v>
      </c>
      <c r="E195" s="11">
        <v>7</v>
      </c>
      <c r="F195" s="11">
        <v>8</v>
      </c>
      <c r="G195" s="11">
        <v>10</v>
      </c>
    </row>
    <row r="196" spans="1:7" x14ac:dyDescent="0.3">
      <c r="A196" s="1">
        <v>45993.041677719906</v>
      </c>
      <c r="B196" s="5">
        <v>8.07</v>
      </c>
      <c r="C196" s="6">
        <f t="shared" si="2"/>
        <v>1096.6994486000003</v>
      </c>
      <c r="D196" s="9">
        <v>0</v>
      </c>
      <c r="E196" s="11">
        <v>7</v>
      </c>
      <c r="F196" s="11">
        <v>8</v>
      </c>
      <c r="G196" s="11">
        <v>10</v>
      </c>
    </row>
    <row r="197" spans="1:7" x14ac:dyDescent="0.3">
      <c r="A197" s="1">
        <v>45993.083344444443</v>
      </c>
      <c r="B197" s="5">
        <v>8</v>
      </c>
      <c r="C197" s="6">
        <f t="shared" ref="C197:C260" si="3">IF(B197="","",IF((B197+0.56)&gt;4,13.194*(B197+0.56)^2+13.311*(B197+0.56)-0.8227,27.012*(B197+0.56)^1.6477))</f>
        <v>1079.8913384000002</v>
      </c>
      <c r="D197" s="9">
        <v>0</v>
      </c>
      <c r="E197" s="11">
        <v>7</v>
      </c>
      <c r="F197" s="11">
        <v>8</v>
      </c>
      <c r="G197" s="11">
        <v>10</v>
      </c>
    </row>
    <row r="198" spans="1:7" x14ac:dyDescent="0.3">
      <c r="A198" s="1">
        <v>45993.125011168981</v>
      </c>
      <c r="B198" s="5">
        <v>7.93</v>
      </c>
      <c r="C198" s="6">
        <f t="shared" si="3"/>
        <v>1063.2125294000002</v>
      </c>
      <c r="D198" s="9">
        <v>0</v>
      </c>
      <c r="E198" s="11">
        <v>7</v>
      </c>
      <c r="F198" s="11">
        <v>8</v>
      </c>
      <c r="G198" s="11">
        <v>10</v>
      </c>
    </row>
    <row r="199" spans="1:7" x14ac:dyDescent="0.3">
      <c r="A199" s="1">
        <v>45993.166677893518</v>
      </c>
      <c r="B199" s="5">
        <v>7.87</v>
      </c>
      <c r="C199" s="6">
        <f t="shared" si="3"/>
        <v>1049.0193206000001</v>
      </c>
      <c r="D199" s="9">
        <v>0</v>
      </c>
      <c r="E199" s="11">
        <v>7</v>
      </c>
      <c r="F199" s="11">
        <v>8</v>
      </c>
      <c r="G199" s="11">
        <v>10</v>
      </c>
    </row>
    <row r="200" spans="1:7" x14ac:dyDescent="0.3">
      <c r="A200" s="1">
        <v>45993.208344618055</v>
      </c>
      <c r="B200" s="5">
        <v>7.8</v>
      </c>
      <c r="C200" s="6">
        <f t="shared" si="3"/>
        <v>1032.5806424</v>
      </c>
      <c r="D200" s="9">
        <v>0</v>
      </c>
      <c r="E200" s="11">
        <v>7</v>
      </c>
      <c r="F200" s="11">
        <v>8</v>
      </c>
      <c r="G200" s="11">
        <v>10</v>
      </c>
    </row>
    <row r="201" spans="1:7" x14ac:dyDescent="0.3">
      <c r="A201" s="1">
        <v>45993.250011342592</v>
      </c>
      <c r="B201" s="5">
        <v>7.73</v>
      </c>
      <c r="C201" s="6">
        <f t="shared" si="3"/>
        <v>1016.2712654000003</v>
      </c>
      <c r="D201" s="9">
        <v>0</v>
      </c>
      <c r="E201" s="11">
        <v>7</v>
      </c>
      <c r="F201" s="11">
        <v>8</v>
      </c>
      <c r="G201" s="11">
        <v>10</v>
      </c>
    </row>
    <row r="202" spans="1:7" x14ac:dyDescent="0.3">
      <c r="A202" s="1">
        <v>45993.291678067129</v>
      </c>
      <c r="B202" s="5">
        <v>7.64</v>
      </c>
      <c r="C202" s="6">
        <f t="shared" si="3"/>
        <v>995.49205999999992</v>
      </c>
      <c r="D202" s="9">
        <v>0</v>
      </c>
      <c r="E202" s="11">
        <v>7</v>
      </c>
      <c r="F202" s="11">
        <v>8</v>
      </c>
      <c r="G202" s="11">
        <v>10</v>
      </c>
    </row>
    <row r="203" spans="1:7" x14ac:dyDescent="0.3">
      <c r="A203" s="1">
        <v>45993.333344733794</v>
      </c>
      <c r="B203" s="5">
        <v>7.58</v>
      </c>
      <c r="C203" s="6">
        <f t="shared" si="3"/>
        <v>981.75800240000012</v>
      </c>
      <c r="D203" s="9">
        <v>0</v>
      </c>
      <c r="E203" s="11">
        <v>7</v>
      </c>
      <c r="F203" s="11">
        <v>8</v>
      </c>
      <c r="G203" s="11">
        <v>10</v>
      </c>
    </row>
    <row r="204" spans="1:7" x14ac:dyDescent="0.3">
      <c r="A204" s="1">
        <v>45993.375011458331</v>
      </c>
      <c r="B204" s="5">
        <v>7.5</v>
      </c>
      <c r="C204" s="6">
        <f t="shared" si="3"/>
        <v>963.59369840000022</v>
      </c>
      <c r="D204" s="9">
        <v>0</v>
      </c>
      <c r="E204" s="11">
        <v>7</v>
      </c>
      <c r="F204" s="11">
        <v>8</v>
      </c>
      <c r="G204" s="11">
        <v>10</v>
      </c>
    </row>
    <row r="205" spans="1:7" x14ac:dyDescent="0.3">
      <c r="A205" s="1">
        <v>45993.416678182868</v>
      </c>
      <c r="B205" s="5">
        <v>7.43</v>
      </c>
      <c r="C205" s="6">
        <f t="shared" si="3"/>
        <v>947.83846940000001</v>
      </c>
      <c r="D205" s="9">
        <v>0</v>
      </c>
      <c r="E205" s="11">
        <v>7</v>
      </c>
      <c r="F205" s="11">
        <v>8</v>
      </c>
      <c r="G205" s="11">
        <v>10</v>
      </c>
    </row>
    <row r="206" spans="1:7" x14ac:dyDescent="0.3">
      <c r="A206" s="1">
        <v>45993.458344907405</v>
      </c>
      <c r="B206" s="5">
        <v>7.36</v>
      </c>
      <c r="C206" s="6">
        <f t="shared" si="3"/>
        <v>932.21254160000001</v>
      </c>
      <c r="D206" s="9">
        <v>0</v>
      </c>
      <c r="E206" s="11">
        <v>7</v>
      </c>
      <c r="F206" s="11">
        <v>8</v>
      </c>
      <c r="G206" s="11">
        <v>10</v>
      </c>
    </row>
    <row r="207" spans="1:7" x14ac:dyDescent="0.3">
      <c r="A207" s="1">
        <v>45993.500011631942</v>
      </c>
      <c r="B207" s="5">
        <v>7.29</v>
      </c>
      <c r="C207" s="6">
        <f t="shared" si="3"/>
        <v>916.715915</v>
      </c>
      <c r="D207" s="9">
        <v>0</v>
      </c>
      <c r="E207" s="11">
        <v>7</v>
      </c>
      <c r="F207" s="11">
        <v>8</v>
      </c>
      <c r="G207" s="11">
        <v>10</v>
      </c>
    </row>
    <row r="208" spans="1:7" x14ac:dyDescent="0.3">
      <c r="A208" s="1">
        <v>45993.54167835648</v>
      </c>
      <c r="B208" s="5">
        <v>7.22</v>
      </c>
      <c r="C208" s="6">
        <f t="shared" si="3"/>
        <v>901.34858959999985</v>
      </c>
      <c r="D208" s="9">
        <v>0</v>
      </c>
      <c r="E208" s="11">
        <v>7</v>
      </c>
      <c r="F208" s="11">
        <v>8</v>
      </c>
      <c r="G208" s="11">
        <v>10</v>
      </c>
    </row>
    <row r="209" spans="1:7" x14ac:dyDescent="0.3">
      <c r="A209" s="1">
        <v>45993.583345081017</v>
      </c>
      <c r="B209" s="5">
        <v>7.14</v>
      </c>
      <c r="C209" s="6">
        <f t="shared" si="3"/>
        <v>883.94425999999987</v>
      </c>
      <c r="D209" s="9">
        <v>0</v>
      </c>
      <c r="E209" s="11">
        <v>7</v>
      </c>
      <c r="F209" s="11">
        <v>8</v>
      </c>
      <c r="G209" s="11">
        <v>10</v>
      </c>
    </row>
    <row r="210" spans="1:7" x14ac:dyDescent="0.3">
      <c r="A210" s="1">
        <v>45993.625011805554</v>
      </c>
      <c r="B210" s="5">
        <v>7.07</v>
      </c>
      <c r="C210" s="6">
        <f t="shared" si="3"/>
        <v>868.85400860000016</v>
      </c>
      <c r="D210" s="9">
        <v>0</v>
      </c>
      <c r="E210" s="11">
        <v>7</v>
      </c>
      <c r="F210" s="11">
        <v>8</v>
      </c>
      <c r="G210" s="11">
        <v>10</v>
      </c>
    </row>
    <row r="211" spans="1:7" x14ac:dyDescent="0.3">
      <c r="A211" s="1">
        <v>45993.666678530091</v>
      </c>
      <c r="B211" s="5">
        <v>7</v>
      </c>
      <c r="C211" s="6">
        <f t="shared" si="3"/>
        <v>853.89305840000009</v>
      </c>
      <c r="D211" s="9">
        <v>0</v>
      </c>
      <c r="E211" s="11">
        <v>7</v>
      </c>
      <c r="F211" s="11">
        <v>8</v>
      </c>
      <c r="G211" s="11">
        <v>10</v>
      </c>
    </row>
    <row r="212" spans="1:7" x14ac:dyDescent="0.3">
      <c r="A212" s="1">
        <v>45993.708345254629</v>
      </c>
      <c r="B212" s="5">
        <v>6.9</v>
      </c>
      <c r="C212" s="6">
        <f t="shared" si="3"/>
        <v>832.74457040000027</v>
      </c>
      <c r="D212" s="9">
        <v>0</v>
      </c>
      <c r="E212" s="11">
        <v>7</v>
      </c>
      <c r="F212" s="11">
        <v>8</v>
      </c>
      <c r="G212" s="11">
        <v>10</v>
      </c>
    </row>
    <row r="213" spans="1:7" x14ac:dyDescent="0.3">
      <c r="A213" s="1">
        <v>45993.750011979166</v>
      </c>
      <c r="B213" s="5">
        <v>6.8</v>
      </c>
      <c r="C213" s="6">
        <f t="shared" si="3"/>
        <v>811.85996239999986</v>
      </c>
      <c r="D213" s="9">
        <v>0</v>
      </c>
      <c r="E213" s="11">
        <v>7</v>
      </c>
      <c r="F213" s="11">
        <v>8</v>
      </c>
      <c r="G213" s="11">
        <v>10</v>
      </c>
    </row>
    <row r="214" spans="1:7" x14ac:dyDescent="0.3">
      <c r="A214" s="1">
        <v>45993.791678703703</v>
      </c>
      <c r="B214" s="5">
        <v>6.74</v>
      </c>
      <c r="C214" s="6">
        <f t="shared" si="3"/>
        <v>799.45586000000014</v>
      </c>
      <c r="D214" s="9">
        <v>0</v>
      </c>
      <c r="E214" s="11">
        <v>7</v>
      </c>
      <c r="F214" s="11">
        <v>8</v>
      </c>
      <c r="G214" s="11">
        <v>10</v>
      </c>
    </row>
    <row r="215" spans="1:7" x14ac:dyDescent="0.3">
      <c r="A215" s="1">
        <v>45993.83334542824</v>
      </c>
      <c r="B215" s="5">
        <v>6.65</v>
      </c>
      <c r="C215" s="6">
        <f t="shared" si="3"/>
        <v>781.0278254000001</v>
      </c>
      <c r="D215" s="9">
        <v>0</v>
      </c>
      <c r="E215" s="11">
        <v>7</v>
      </c>
      <c r="F215" s="11">
        <v>8</v>
      </c>
      <c r="G215" s="11">
        <v>10</v>
      </c>
    </row>
    <row r="216" spans="1:7" x14ac:dyDescent="0.3">
      <c r="A216" s="1">
        <v>45993.875012152777</v>
      </c>
      <c r="B216" s="5">
        <v>6.56</v>
      </c>
      <c r="C216" s="6">
        <f t="shared" si="3"/>
        <v>762.8135335999998</v>
      </c>
      <c r="D216" s="9">
        <v>0</v>
      </c>
      <c r="E216" s="11">
        <v>7</v>
      </c>
      <c r="F216" s="11">
        <v>8</v>
      </c>
      <c r="G216" s="11">
        <v>10</v>
      </c>
    </row>
    <row r="217" spans="1:7" x14ac:dyDescent="0.3">
      <c r="A217" s="1">
        <v>45993.916678877315</v>
      </c>
      <c r="B217" s="5">
        <v>6.46</v>
      </c>
      <c r="C217" s="6">
        <f t="shared" si="3"/>
        <v>742.82611759999986</v>
      </c>
      <c r="D217" s="9">
        <v>0</v>
      </c>
      <c r="E217" s="11">
        <v>7</v>
      </c>
      <c r="F217" s="11">
        <v>8</v>
      </c>
      <c r="G217" s="11">
        <v>10</v>
      </c>
    </row>
    <row r="218" spans="1:7" x14ac:dyDescent="0.3">
      <c r="A218" s="1">
        <v>45993.958345601852</v>
      </c>
      <c r="B218" s="5">
        <v>6.37</v>
      </c>
      <c r="C218" s="6">
        <f t="shared" si="3"/>
        <v>725.06306059999997</v>
      </c>
      <c r="D218" s="9">
        <v>0</v>
      </c>
      <c r="E218" s="11">
        <v>7</v>
      </c>
      <c r="F218" s="11">
        <v>8</v>
      </c>
      <c r="G218" s="11">
        <v>10</v>
      </c>
    </row>
    <row r="219" spans="1:7" x14ac:dyDescent="0.3">
      <c r="A219" s="1">
        <v>45994.000012326389</v>
      </c>
      <c r="B219" s="5">
        <v>6.26</v>
      </c>
      <c r="C219" s="6">
        <f t="shared" si="3"/>
        <v>703.64292560000013</v>
      </c>
      <c r="D219" s="9">
        <v>0</v>
      </c>
      <c r="E219" s="11">
        <v>7</v>
      </c>
      <c r="F219" s="11">
        <v>8</v>
      </c>
      <c r="G219" s="11">
        <v>10</v>
      </c>
    </row>
    <row r="220" spans="1:7" x14ac:dyDescent="0.3">
      <c r="A220" s="1">
        <v>45994.041679108799</v>
      </c>
      <c r="B220" s="5">
        <v>6.16</v>
      </c>
      <c r="C220" s="6">
        <f t="shared" si="3"/>
        <v>684.4471496000001</v>
      </c>
      <c r="D220" s="9">
        <v>0</v>
      </c>
      <c r="E220" s="11">
        <v>7</v>
      </c>
      <c r="F220" s="11">
        <v>8</v>
      </c>
      <c r="G220" s="11">
        <v>10</v>
      </c>
    </row>
    <row r="221" spans="1:7" x14ac:dyDescent="0.3">
      <c r="A221" s="1">
        <v>45994.083345891202</v>
      </c>
      <c r="B221" s="5">
        <v>6.02</v>
      </c>
      <c r="C221" s="6">
        <f t="shared" si="3"/>
        <v>658.01638159999993</v>
      </c>
      <c r="D221" s="9">
        <v>0</v>
      </c>
      <c r="E221" s="11">
        <v>7</v>
      </c>
      <c r="F221" s="11">
        <v>8</v>
      </c>
      <c r="G221" s="11">
        <v>10</v>
      </c>
    </row>
    <row r="222" spans="1:7" x14ac:dyDescent="0.3">
      <c r="A222" s="1">
        <v>45994.125012673612</v>
      </c>
      <c r="B222" s="5">
        <v>5.95</v>
      </c>
      <c r="C222" s="6">
        <f t="shared" si="3"/>
        <v>644.99494939999988</v>
      </c>
      <c r="D222" s="9">
        <v>0</v>
      </c>
      <c r="E222" s="11">
        <v>7</v>
      </c>
      <c r="F222" s="11">
        <v>8</v>
      </c>
      <c r="G222" s="11">
        <v>10</v>
      </c>
    </row>
    <row r="223" spans="1:7" x14ac:dyDescent="0.3">
      <c r="A223" s="1">
        <v>45994.166679456015</v>
      </c>
      <c r="B223" s="5">
        <v>5.91</v>
      </c>
      <c r="C223" s="6">
        <f t="shared" si="3"/>
        <v>637.61218460000009</v>
      </c>
      <c r="D223" s="9">
        <v>0</v>
      </c>
      <c r="E223" s="11">
        <v>7</v>
      </c>
      <c r="F223" s="11">
        <v>8</v>
      </c>
      <c r="G223" s="11">
        <v>10</v>
      </c>
    </row>
    <row r="224" spans="1:7" x14ac:dyDescent="0.3">
      <c r="A224" s="1">
        <v>45994.208346238425</v>
      </c>
      <c r="B224" s="5">
        <v>5.84</v>
      </c>
      <c r="C224" s="6">
        <f t="shared" si="3"/>
        <v>624.79394000000013</v>
      </c>
      <c r="D224" s="9">
        <v>0</v>
      </c>
      <c r="E224" s="11">
        <v>7</v>
      </c>
      <c r="F224" s="11">
        <v>8</v>
      </c>
      <c r="G224" s="11">
        <v>10</v>
      </c>
    </row>
    <row r="225" spans="1:7" x14ac:dyDescent="0.3">
      <c r="A225" s="1">
        <v>45994.250013020835</v>
      </c>
      <c r="B225" s="5">
        <v>5.76</v>
      </c>
      <c r="C225" s="6">
        <f t="shared" si="3"/>
        <v>610.30284560000007</v>
      </c>
      <c r="D225" s="9">
        <v>0</v>
      </c>
      <c r="E225" s="11">
        <v>7</v>
      </c>
      <c r="F225" s="11">
        <v>8</v>
      </c>
      <c r="G225" s="11">
        <v>10</v>
      </c>
    </row>
    <row r="226" spans="1:7" x14ac:dyDescent="0.3">
      <c r="A226" s="1">
        <v>45994.291679803238</v>
      </c>
      <c r="B226" s="5">
        <v>5.68</v>
      </c>
      <c r="C226" s="6">
        <f t="shared" si="3"/>
        <v>595.9806344000001</v>
      </c>
      <c r="D226" s="9">
        <v>0</v>
      </c>
      <c r="E226" s="11">
        <v>7</v>
      </c>
      <c r="F226" s="11">
        <v>8</v>
      </c>
      <c r="G226" s="11">
        <v>10</v>
      </c>
    </row>
    <row r="227" spans="1:7" x14ac:dyDescent="0.3">
      <c r="A227" s="1">
        <v>45994.333346585649</v>
      </c>
      <c r="B227" s="5">
        <v>5.59</v>
      </c>
      <c r="C227" s="6">
        <f t="shared" si="3"/>
        <v>580.07001500000001</v>
      </c>
      <c r="D227" s="9">
        <v>0</v>
      </c>
      <c r="E227" s="11">
        <v>7</v>
      </c>
      <c r="F227" s="11">
        <v>8</v>
      </c>
      <c r="G227" s="11">
        <v>10</v>
      </c>
    </row>
    <row r="228" spans="1:7" x14ac:dyDescent="0.3">
      <c r="A228" s="1">
        <v>45994.375013368059</v>
      </c>
      <c r="B228" s="5">
        <v>5.51</v>
      </c>
      <c r="C228" s="6">
        <f t="shared" si="3"/>
        <v>566.1066806</v>
      </c>
      <c r="D228" s="9">
        <v>0</v>
      </c>
      <c r="E228" s="11">
        <v>7</v>
      </c>
      <c r="F228" s="11">
        <v>8</v>
      </c>
      <c r="G228" s="11">
        <v>10</v>
      </c>
    </row>
    <row r="229" spans="1:7" x14ac:dyDescent="0.3">
      <c r="A229" s="1">
        <v>45994.416680150462</v>
      </c>
      <c r="B229" s="5">
        <v>5.44</v>
      </c>
      <c r="C229" s="6">
        <f t="shared" si="3"/>
        <v>554.02729999999997</v>
      </c>
      <c r="D229" s="9">
        <v>0</v>
      </c>
      <c r="E229" s="11">
        <v>7</v>
      </c>
      <c r="F229" s="11">
        <v>8</v>
      </c>
      <c r="G229" s="11">
        <v>10</v>
      </c>
    </row>
    <row r="230" spans="1:7" x14ac:dyDescent="0.3">
      <c r="A230" s="1">
        <v>45994.458346932872</v>
      </c>
      <c r="B230" s="5">
        <v>5.36</v>
      </c>
      <c r="C230" s="6">
        <f t="shared" si="3"/>
        <v>540.38062159999993</v>
      </c>
      <c r="D230" s="9">
        <v>0</v>
      </c>
      <c r="E230" s="11">
        <v>7</v>
      </c>
      <c r="F230" s="11">
        <v>8</v>
      </c>
      <c r="G230" s="11">
        <v>10</v>
      </c>
    </row>
    <row r="231" spans="1:7" x14ac:dyDescent="0.3">
      <c r="A231" s="1">
        <v>45994.500013715275</v>
      </c>
      <c r="B231" s="5">
        <v>5.28</v>
      </c>
      <c r="C231" s="6">
        <f t="shared" si="3"/>
        <v>526.90282639999987</v>
      </c>
      <c r="D231" s="9">
        <v>0</v>
      </c>
      <c r="E231" s="11">
        <v>7</v>
      </c>
      <c r="F231" s="11">
        <v>8</v>
      </c>
      <c r="G231" s="11">
        <v>10</v>
      </c>
    </row>
    <row r="232" spans="1:7" x14ac:dyDescent="0.3">
      <c r="A232" s="1">
        <v>45994.541680497685</v>
      </c>
      <c r="B232" s="5">
        <v>5.21</v>
      </c>
      <c r="C232" s="6">
        <f t="shared" si="3"/>
        <v>515.2482925999999</v>
      </c>
      <c r="D232" s="9">
        <v>0</v>
      </c>
      <c r="E232" s="11">
        <v>7</v>
      </c>
      <c r="F232" s="11">
        <v>8</v>
      </c>
      <c r="G232" s="11">
        <v>10</v>
      </c>
    </row>
    <row r="233" spans="1:7" x14ac:dyDescent="0.3">
      <c r="A233" s="1">
        <v>45994.583347280095</v>
      </c>
      <c r="B233" s="5">
        <v>5.14</v>
      </c>
      <c r="C233" s="6">
        <f t="shared" si="3"/>
        <v>503.72305999999998</v>
      </c>
      <c r="D233" s="9">
        <v>0</v>
      </c>
      <c r="E233" s="11">
        <v>7</v>
      </c>
      <c r="F233" s="11">
        <v>8</v>
      </c>
      <c r="G233" s="11">
        <v>10</v>
      </c>
    </row>
    <row r="234" spans="1:7" x14ac:dyDescent="0.3">
      <c r="A234" s="1">
        <v>45994.625014062498</v>
      </c>
      <c r="B234" s="5">
        <v>5.0599999999999996</v>
      </c>
      <c r="C234" s="6">
        <f t="shared" si="3"/>
        <v>490.70969359999992</v>
      </c>
      <c r="D234" s="9">
        <v>0</v>
      </c>
      <c r="E234" s="11">
        <v>7</v>
      </c>
      <c r="F234" s="11">
        <v>8</v>
      </c>
      <c r="G234" s="11">
        <v>10</v>
      </c>
    </row>
    <row r="235" spans="1:7" x14ac:dyDescent="0.3">
      <c r="A235" s="1">
        <v>45994.666680844908</v>
      </c>
      <c r="B235" s="5">
        <v>5</v>
      </c>
      <c r="C235" s="6">
        <f t="shared" si="3"/>
        <v>481.06049840000014</v>
      </c>
      <c r="D235" s="9">
        <v>0</v>
      </c>
      <c r="E235" s="11">
        <v>7</v>
      </c>
      <c r="F235" s="11">
        <v>8</v>
      </c>
      <c r="G235" s="11">
        <v>10</v>
      </c>
    </row>
    <row r="236" spans="1:7" x14ac:dyDescent="0.3">
      <c r="A236" s="1">
        <v>45994.708347627318</v>
      </c>
      <c r="B236" s="5">
        <v>4.93</v>
      </c>
      <c r="C236" s="6">
        <f t="shared" si="3"/>
        <v>469.92316940000006</v>
      </c>
      <c r="D236" s="9">
        <v>0</v>
      </c>
      <c r="E236" s="11">
        <v>7</v>
      </c>
      <c r="F236" s="11">
        <v>8</v>
      </c>
      <c r="G236" s="11">
        <v>10</v>
      </c>
    </row>
    <row r="237" spans="1:7" x14ac:dyDescent="0.3">
      <c r="A237" s="1">
        <v>45994.750014409721</v>
      </c>
      <c r="B237" s="5">
        <v>4.8600000000000003</v>
      </c>
      <c r="C237" s="6">
        <f t="shared" si="3"/>
        <v>458.91514160000003</v>
      </c>
      <c r="D237" s="9">
        <v>0</v>
      </c>
      <c r="E237" s="11">
        <v>7</v>
      </c>
      <c r="F237" s="11">
        <v>8</v>
      </c>
      <c r="G237" s="11">
        <v>10</v>
      </c>
    </row>
    <row r="238" spans="1:7" x14ac:dyDescent="0.3">
      <c r="A238" s="1">
        <v>45994.791681192131</v>
      </c>
      <c r="B238" s="5">
        <v>4.78</v>
      </c>
      <c r="C238" s="6">
        <f t="shared" si="3"/>
        <v>446.49286640000003</v>
      </c>
      <c r="D238" s="9">
        <v>0</v>
      </c>
      <c r="E238" s="11">
        <v>7</v>
      </c>
      <c r="F238" s="11">
        <v>8</v>
      </c>
      <c r="G238" s="11">
        <v>10</v>
      </c>
    </row>
    <row r="239" spans="1:7" x14ac:dyDescent="0.3">
      <c r="A239" s="1">
        <v>45994.833347974534</v>
      </c>
      <c r="B239" s="5">
        <v>4.7</v>
      </c>
      <c r="C239" s="6">
        <f t="shared" si="3"/>
        <v>434.23947440000001</v>
      </c>
      <c r="D239" s="9">
        <v>0</v>
      </c>
      <c r="E239" s="11">
        <v>7</v>
      </c>
      <c r="F239" s="11">
        <v>8</v>
      </c>
      <c r="G239" s="11">
        <v>10</v>
      </c>
    </row>
    <row r="240" spans="1:7" x14ac:dyDescent="0.3">
      <c r="A240" s="1">
        <v>45994.875014756944</v>
      </c>
      <c r="B240" s="5">
        <v>4.62</v>
      </c>
      <c r="C240" s="6">
        <f t="shared" si="3"/>
        <v>422.15496559999997</v>
      </c>
      <c r="D240" s="9">
        <v>0</v>
      </c>
      <c r="E240" s="11">
        <v>7</v>
      </c>
      <c r="F240" s="11">
        <v>8</v>
      </c>
      <c r="G240" s="11">
        <v>10</v>
      </c>
    </row>
    <row r="241" spans="1:7" x14ac:dyDescent="0.3">
      <c r="A241" s="1">
        <v>45994.916681539355</v>
      </c>
      <c r="B241" s="5">
        <v>4.54</v>
      </c>
      <c r="C241" s="6">
        <f t="shared" si="3"/>
        <v>410.23933999999997</v>
      </c>
      <c r="D241" s="9">
        <v>0</v>
      </c>
      <c r="E241" s="11">
        <v>7</v>
      </c>
      <c r="F241" s="11">
        <v>8</v>
      </c>
      <c r="G241" s="11">
        <v>10</v>
      </c>
    </row>
    <row r="242" spans="1:7" x14ac:dyDescent="0.3">
      <c r="A242" s="1">
        <v>45994.958348321758</v>
      </c>
      <c r="B242" s="5">
        <v>4.46</v>
      </c>
      <c r="C242" s="6">
        <f t="shared" si="3"/>
        <v>398.49259759999995</v>
      </c>
      <c r="D242" s="9">
        <v>0</v>
      </c>
      <c r="E242" s="11">
        <v>7</v>
      </c>
      <c r="F242" s="11">
        <v>8</v>
      </c>
      <c r="G242" s="11">
        <v>10</v>
      </c>
    </row>
    <row r="243" spans="1:7" x14ac:dyDescent="0.3">
      <c r="A243" s="1">
        <v>45995.000015104168</v>
      </c>
      <c r="B243" s="5">
        <v>4.38</v>
      </c>
      <c r="C243" s="6">
        <f t="shared" si="3"/>
        <v>386.91473839999998</v>
      </c>
      <c r="D243" s="9">
        <v>0</v>
      </c>
      <c r="E243" s="11">
        <v>7</v>
      </c>
      <c r="F243" s="11">
        <v>8</v>
      </c>
      <c r="G243" s="11">
        <v>10</v>
      </c>
    </row>
    <row r="244" spans="1:7" x14ac:dyDescent="0.3">
      <c r="A244" s="1">
        <v>45995.041681886571</v>
      </c>
      <c r="B244" s="5">
        <v>4.3099999999999996</v>
      </c>
      <c r="C244" s="6">
        <f t="shared" si="3"/>
        <v>376.92264859999989</v>
      </c>
      <c r="D244" s="9">
        <v>0</v>
      </c>
      <c r="E244" s="11">
        <v>7</v>
      </c>
      <c r="F244" s="11">
        <v>8</v>
      </c>
      <c r="G244" s="11">
        <v>10</v>
      </c>
    </row>
    <row r="245" spans="1:7" x14ac:dyDescent="0.3">
      <c r="A245" s="1">
        <v>45995.083348668981</v>
      </c>
      <c r="B245" s="5">
        <v>4.24</v>
      </c>
      <c r="C245" s="6">
        <f t="shared" si="3"/>
        <v>367.05986000000013</v>
      </c>
      <c r="D245" s="9">
        <v>0</v>
      </c>
      <c r="E245" s="11">
        <v>7</v>
      </c>
      <c r="F245" s="11">
        <v>8</v>
      </c>
      <c r="G245" s="11">
        <v>10</v>
      </c>
    </row>
    <row r="246" spans="1:7" x14ac:dyDescent="0.3">
      <c r="A246" s="1">
        <v>45995.125015451391</v>
      </c>
      <c r="B246" s="5">
        <v>4.18</v>
      </c>
      <c r="C246" s="6">
        <f t="shared" si="3"/>
        <v>358.70895440000004</v>
      </c>
      <c r="D246" s="9">
        <v>0</v>
      </c>
      <c r="E246" s="11">
        <v>7</v>
      </c>
      <c r="F246" s="11">
        <v>8</v>
      </c>
      <c r="G246" s="11">
        <v>10</v>
      </c>
    </row>
    <row r="247" spans="1:7" x14ac:dyDescent="0.3">
      <c r="A247" s="1">
        <v>45995.166682233794</v>
      </c>
      <c r="B247" s="5">
        <v>4.12</v>
      </c>
      <c r="C247" s="6">
        <f t="shared" si="3"/>
        <v>350.4530456</v>
      </c>
      <c r="D247" s="9">
        <v>0</v>
      </c>
      <c r="E247" s="11">
        <v>7</v>
      </c>
      <c r="F247" s="11">
        <v>8</v>
      </c>
      <c r="G247" s="11">
        <v>10</v>
      </c>
    </row>
    <row r="248" spans="1:7" x14ac:dyDescent="0.3">
      <c r="A248" s="1">
        <v>45995.208349016204</v>
      </c>
      <c r="B248" s="5">
        <v>4.0599999999999996</v>
      </c>
      <c r="C248" s="6">
        <f t="shared" si="3"/>
        <v>342.29213359999994</v>
      </c>
      <c r="D248" s="9">
        <v>0</v>
      </c>
      <c r="E248" s="11">
        <v>7</v>
      </c>
      <c r="F248" s="11">
        <v>8</v>
      </c>
      <c r="G248" s="11">
        <v>10</v>
      </c>
    </row>
    <row r="249" spans="1:7" x14ac:dyDescent="0.3">
      <c r="A249" s="1">
        <v>45995.250015798614</v>
      </c>
      <c r="B249" s="5">
        <v>4.01</v>
      </c>
      <c r="C249" s="6">
        <f t="shared" si="3"/>
        <v>335.56394060000008</v>
      </c>
      <c r="D249" s="9">
        <v>0</v>
      </c>
      <c r="E249" s="11">
        <v>7</v>
      </c>
      <c r="F249" s="11">
        <v>8</v>
      </c>
      <c r="G249" s="11">
        <v>10</v>
      </c>
    </row>
    <row r="250" spans="1:7" x14ac:dyDescent="0.3">
      <c r="A250" s="1">
        <v>45995.291682581017</v>
      </c>
      <c r="B250" s="5">
        <v>3.99</v>
      </c>
      <c r="C250" s="6">
        <f t="shared" si="3"/>
        <v>332.89113500000013</v>
      </c>
      <c r="D250" s="9">
        <v>0</v>
      </c>
      <c r="E250" s="11">
        <v>7</v>
      </c>
      <c r="F250" s="11">
        <v>8</v>
      </c>
      <c r="G250" s="11">
        <v>10</v>
      </c>
    </row>
    <row r="251" spans="1:7" x14ac:dyDescent="0.3">
      <c r="A251" s="1">
        <v>45995.333349363427</v>
      </c>
      <c r="B251" s="5">
        <v>3.95</v>
      </c>
      <c r="C251" s="6">
        <f t="shared" si="3"/>
        <v>327.57718940000001</v>
      </c>
      <c r="D251" s="9">
        <v>0</v>
      </c>
      <c r="E251" s="11">
        <v>7</v>
      </c>
      <c r="F251" s="11">
        <v>8</v>
      </c>
      <c r="G251" s="11">
        <v>10</v>
      </c>
    </row>
    <row r="252" spans="1:7" x14ac:dyDescent="0.3">
      <c r="A252" s="1">
        <v>45995.37501614583</v>
      </c>
      <c r="B252" s="5">
        <v>3.91</v>
      </c>
      <c r="C252" s="6">
        <f t="shared" si="3"/>
        <v>322.30546460000011</v>
      </c>
      <c r="D252" s="9">
        <v>0</v>
      </c>
      <c r="E252" s="11">
        <v>7</v>
      </c>
      <c r="F252" s="11">
        <v>8</v>
      </c>
      <c r="G252" s="11">
        <v>10</v>
      </c>
    </row>
    <row r="253" spans="1:7" x14ac:dyDescent="0.3">
      <c r="A253" s="1">
        <v>45995.41668292824</v>
      </c>
      <c r="B253" s="5">
        <v>3.88</v>
      </c>
      <c r="C253" s="6">
        <f t="shared" si="3"/>
        <v>318.37937839999995</v>
      </c>
      <c r="D253" s="9">
        <v>0</v>
      </c>
      <c r="E253" s="11">
        <v>7</v>
      </c>
      <c r="F253" s="11">
        <v>8</v>
      </c>
      <c r="G253" s="11">
        <v>10</v>
      </c>
    </row>
    <row r="254" spans="1:7" x14ac:dyDescent="0.3">
      <c r="A254" s="1">
        <v>45995.458349710651</v>
      </c>
      <c r="B254" s="5">
        <v>3.84</v>
      </c>
      <c r="C254" s="6">
        <f t="shared" si="3"/>
        <v>313.18154000000004</v>
      </c>
      <c r="D254" s="9">
        <v>0</v>
      </c>
      <c r="E254" s="11">
        <v>7</v>
      </c>
      <c r="F254" s="11">
        <v>8</v>
      </c>
      <c r="G254" s="11">
        <v>10</v>
      </c>
    </row>
    <row r="255" spans="1:7" x14ac:dyDescent="0.3">
      <c r="A255" s="1">
        <v>45995.500016493053</v>
      </c>
      <c r="B255" s="5">
        <v>3.8</v>
      </c>
      <c r="C255" s="6">
        <f t="shared" si="3"/>
        <v>308.02592239999996</v>
      </c>
      <c r="D255" s="9">
        <v>0</v>
      </c>
      <c r="E255" s="11">
        <v>7</v>
      </c>
      <c r="F255" s="11">
        <v>8</v>
      </c>
      <c r="G255" s="11">
        <v>10</v>
      </c>
    </row>
    <row r="256" spans="1:7" x14ac:dyDescent="0.3">
      <c r="A256" s="1">
        <v>45995.541683275464</v>
      </c>
      <c r="B256" s="5">
        <v>3.77</v>
      </c>
      <c r="C256" s="6">
        <f t="shared" si="3"/>
        <v>304.18691660000002</v>
      </c>
      <c r="D256" s="9">
        <v>0</v>
      </c>
      <c r="E256" s="11">
        <v>7</v>
      </c>
      <c r="F256" s="11">
        <v>8</v>
      </c>
      <c r="G256" s="11">
        <v>10</v>
      </c>
    </row>
    <row r="257" spans="1:7" x14ac:dyDescent="0.3">
      <c r="A257" s="1">
        <v>45995.583350057874</v>
      </c>
      <c r="B257" s="5">
        <v>3.72</v>
      </c>
      <c r="C257" s="6">
        <f t="shared" si="3"/>
        <v>297.8413496</v>
      </c>
      <c r="D257" s="9">
        <v>0</v>
      </c>
      <c r="E257" s="11">
        <v>7</v>
      </c>
      <c r="F257" s="11">
        <v>8</v>
      </c>
      <c r="G257" s="11">
        <v>10</v>
      </c>
    </row>
    <row r="258" spans="1:7" x14ac:dyDescent="0.3">
      <c r="A258" s="1">
        <v>45995.625016840277</v>
      </c>
      <c r="B258" s="5">
        <v>3.66</v>
      </c>
      <c r="C258" s="6">
        <f t="shared" si="3"/>
        <v>290.31374960000011</v>
      </c>
      <c r="D258" s="9">
        <v>0</v>
      </c>
      <c r="E258" s="11">
        <v>7</v>
      </c>
      <c r="F258" s="11">
        <v>8</v>
      </c>
      <c r="G258" s="11">
        <v>10</v>
      </c>
    </row>
    <row r="259" spans="1:7" x14ac:dyDescent="0.3">
      <c r="A259" s="1">
        <v>45995.666683622687</v>
      </c>
      <c r="B259" s="5">
        <v>3.6</v>
      </c>
      <c r="C259" s="6">
        <f t="shared" si="3"/>
        <v>282.88114640000003</v>
      </c>
      <c r="D259" s="9">
        <v>0</v>
      </c>
      <c r="E259" s="11">
        <v>7</v>
      </c>
      <c r="F259" s="11">
        <v>8</v>
      </c>
      <c r="G259" s="11">
        <v>10</v>
      </c>
    </row>
    <row r="260" spans="1:7" x14ac:dyDescent="0.3">
      <c r="A260" s="1">
        <v>45995.70835040509</v>
      </c>
      <c r="B260" s="5">
        <v>3.54</v>
      </c>
      <c r="C260" s="6">
        <f t="shared" si="3"/>
        <v>275.54353999999995</v>
      </c>
      <c r="D260" s="9">
        <v>3.1</v>
      </c>
      <c r="E260" s="11">
        <v>7</v>
      </c>
      <c r="F260" s="11">
        <v>8</v>
      </c>
      <c r="G260" s="11">
        <v>10</v>
      </c>
    </row>
    <row r="261" spans="1:7" x14ac:dyDescent="0.3">
      <c r="A261" s="1">
        <v>45995.7500171875</v>
      </c>
      <c r="B261" s="5">
        <v>3.5</v>
      </c>
      <c r="C261" s="6">
        <f t="shared" ref="C261:C267" si="4">IF(B261="","",IF((B261+0.56)&gt;4,13.194*(B261+0.56)^2+13.311*(B261+0.56)-0.8227,27.012*(B261+0.56)^1.6477))</f>
        <v>270.70457840000006</v>
      </c>
      <c r="D261" s="9">
        <v>2</v>
      </c>
      <c r="E261" s="11">
        <v>7</v>
      </c>
      <c r="F261" s="11">
        <v>8</v>
      </c>
      <c r="G261" s="11">
        <v>10</v>
      </c>
    </row>
    <row r="262" spans="1:7" x14ac:dyDescent="0.3">
      <c r="A262" s="1">
        <v>45995.79168396991</v>
      </c>
      <c r="B262" s="5">
        <v>3.46</v>
      </c>
      <c r="C262" s="6">
        <f t="shared" si="4"/>
        <v>265.90783759999994</v>
      </c>
      <c r="D262" s="9">
        <v>0</v>
      </c>
      <c r="E262" s="11">
        <v>7</v>
      </c>
      <c r="F262" s="11">
        <v>8</v>
      </c>
      <c r="G262" s="11">
        <v>10</v>
      </c>
    </row>
    <row r="263" spans="1:7" x14ac:dyDescent="0.3">
      <c r="A263" s="1">
        <v>45995.833350752313</v>
      </c>
      <c r="B263" s="5">
        <v>3.44</v>
      </c>
      <c r="C263" s="6">
        <f t="shared" si="4"/>
        <v>265.19845447675203</v>
      </c>
      <c r="D263" s="9">
        <v>0</v>
      </c>
      <c r="E263" s="11">
        <v>7</v>
      </c>
      <c r="F263" s="11">
        <v>8</v>
      </c>
      <c r="G263" s="11">
        <v>10</v>
      </c>
    </row>
    <row r="264" spans="1:7" x14ac:dyDescent="0.3">
      <c r="A264" s="1">
        <v>45995.875017534723</v>
      </c>
      <c r="B264" s="5">
        <v>3.42</v>
      </c>
      <c r="C264" s="6">
        <f t="shared" si="4"/>
        <v>263.0171568884108</v>
      </c>
      <c r="D264" s="9">
        <v>0</v>
      </c>
      <c r="E264" s="11">
        <v>7</v>
      </c>
      <c r="F264" s="11">
        <v>8</v>
      </c>
      <c r="G264" s="11">
        <v>10</v>
      </c>
    </row>
    <row r="265" spans="1:7" x14ac:dyDescent="0.3">
      <c r="A265" s="1">
        <v>45995.916684317126</v>
      </c>
      <c r="B265" s="5">
        <v>3.41</v>
      </c>
      <c r="C265" s="6">
        <f t="shared" si="4"/>
        <v>261.92916535024625</v>
      </c>
      <c r="D265" s="9">
        <v>0</v>
      </c>
      <c r="E265" s="11">
        <v>7</v>
      </c>
      <c r="F265" s="11">
        <v>8</v>
      </c>
      <c r="G265" s="11">
        <v>10</v>
      </c>
    </row>
    <row r="266" spans="1:7" x14ac:dyDescent="0.3">
      <c r="A266" s="1">
        <v>45995.958351099536</v>
      </c>
      <c r="B266" s="5">
        <v>3.42</v>
      </c>
      <c r="C266" s="6">
        <f t="shared" si="4"/>
        <v>263.0171568884108</v>
      </c>
      <c r="D266" s="9">
        <v>0</v>
      </c>
      <c r="E266" s="11">
        <v>7</v>
      </c>
      <c r="F266" s="11">
        <v>8</v>
      </c>
      <c r="G266" s="11">
        <v>10</v>
      </c>
    </row>
    <row r="267" spans="1:7" x14ac:dyDescent="0.3">
      <c r="A267" s="1">
        <v>45996.000017881946</v>
      </c>
      <c r="B267" s="5">
        <v>3.42</v>
      </c>
      <c r="C267" s="6">
        <f t="shared" si="4"/>
        <v>263.0171568884108</v>
      </c>
      <c r="D267" s="9">
        <v>0</v>
      </c>
      <c r="E267" s="11">
        <v>7</v>
      </c>
      <c r="F267" s="11">
        <v>8</v>
      </c>
      <c r="G267" s="11">
        <v>10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D381-D5DC-494E-AAE0-5C5E032A7116}">
  <dimension ref="A1:Q267"/>
  <sheetViews>
    <sheetView workbookViewId="0">
      <selection activeCell="J30" sqref="J30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2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10.62</v>
      </c>
      <c r="C4" s="7">
        <f>IF(B4="","",IF((B4-0.118)&gt;14,9.8381*((B4-0.118)-7.5)^2+42.44*((B4-0.118)-7.5)-16.777,35.535*((B4-0.118)-7.5)^1.5414))</f>
        <v>193.43593369876038</v>
      </c>
      <c r="D4" s="9">
        <v>0</v>
      </c>
      <c r="E4" s="11">
        <v>15</v>
      </c>
      <c r="F4" s="11">
        <v>16.5</v>
      </c>
      <c r="G4" s="11">
        <v>19</v>
      </c>
      <c r="I4" s="23">
        <v>26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10.97</v>
      </c>
      <c r="C5" s="7">
        <f t="shared" ref="C5:C68" si="0">IF(B5="","",IF((B5-0.118)&gt;14,9.8381*((B5-0.118)-7.5)^2+42.44*((B5-0.118)-7.5)-16.777,35.535*((B5-0.118)-7.5)^1.5414))</f>
        <v>229.27669919176697</v>
      </c>
      <c r="D5" s="9">
        <v>0</v>
      </c>
      <c r="E5" s="11">
        <v>15</v>
      </c>
      <c r="F5" s="11">
        <v>16.5</v>
      </c>
      <c r="G5" s="11">
        <v>19</v>
      </c>
      <c r="K5" s="1"/>
      <c r="Q5" s="25"/>
    </row>
    <row r="6" spans="1:17" x14ac:dyDescent="0.3">
      <c r="A6" s="1">
        <v>45985.125000057873</v>
      </c>
      <c r="B6" s="5">
        <v>11.25</v>
      </c>
      <c r="C6" s="7">
        <f t="shared" si="0"/>
        <v>259.45683577983561</v>
      </c>
      <c r="D6" s="9">
        <v>0</v>
      </c>
      <c r="E6" s="11">
        <v>15</v>
      </c>
      <c r="F6" s="11">
        <v>16.5</v>
      </c>
      <c r="G6" s="11">
        <v>19</v>
      </c>
      <c r="K6" s="1"/>
      <c r="M6" s="1"/>
    </row>
    <row r="7" spans="1:17" x14ac:dyDescent="0.3">
      <c r="A7" s="1">
        <v>45985.16666678241</v>
      </c>
      <c r="B7" s="5">
        <v>11.32</v>
      </c>
      <c r="C7" s="7">
        <f t="shared" si="0"/>
        <v>267.20477140873692</v>
      </c>
      <c r="D7" s="9">
        <v>0</v>
      </c>
      <c r="E7" s="11">
        <v>15</v>
      </c>
      <c r="F7" s="11">
        <v>16.5</v>
      </c>
      <c r="G7" s="11">
        <v>19</v>
      </c>
    </row>
    <row r="8" spans="1:17" x14ac:dyDescent="0.3">
      <c r="A8" s="1">
        <v>45985.208333506947</v>
      </c>
      <c r="B8" s="5">
        <v>11.36</v>
      </c>
      <c r="C8" s="7">
        <f t="shared" si="0"/>
        <v>271.66800351907978</v>
      </c>
      <c r="D8" s="9">
        <v>0</v>
      </c>
      <c r="E8" s="11">
        <v>15</v>
      </c>
      <c r="F8" s="11">
        <v>16.5</v>
      </c>
      <c r="G8" s="11">
        <v>19</v>
      </c>
    </row>
    <row r="9" spans="1:17" x14ac:dyDescent="0.3">
      <c r="A9" s="1">
        <v>45985.250000231485</v>
      </c>
      <c r="B9" s="5">
        <v>11.33</v>
      </c>
      <c r="C9" s="7">
        <f t="shared" si="0"/>
        <v>268.31814385659999</v>
      </c>
      <c r="D9" s="9">
        <v>0</v>
      </c>
      <c r="E9" s="11">
        <v>15</v>
      </c>
      <c r="F9" s="11">
        <v>16.5</v>
      </c>
      <c r="G9" s="11">
        <v>19</v>
      </c>
    </row>
    <row r="10" spans="1:17" x14ac:dyDescent="0.3">
      <c r="A10" s="1">
        <v>45985.291666956022</v>
      </c>
      <c r="B10" s="5">
        <v>11.23</v>
      </c>
      <c r="C10" s="7">
        <f t="shared" si="0"/>
        <v>257.25788138833599</v>
      </c>
      <c r="D10" s="9">
        <v>0</v>
      </c>
      <c r="E10" s="11">
        <v>15</v>
      </c>
      <c r="F10" s="11">
        <v>16.5</v>
      </c>
      <c r="G10" s="11">
        <v>19</v>
      </c>
    </row>
    <row r="11" spans="1:17" x14ac:dyDescent="0.3">
      <c r="A11" s="1">
        <v>45985.333333680559</v>
      </c>
      <c r="B11" s="5">
        <v>11.11</v>
      </c>
      <c r="C11" s="7">
        <f t="shared" si="0"/>
        <v>244.20297231805915</v>
      </c>
      <c r="D11" s="9">
        <v>0</v>
      </c>
      <c r="E11" s="11">
        <v>15</v>
      </c>
      <c r="F11" s="11">
        <v>16.5</v>
      </c>
      <c r="G11" s="11">
        <v>19</v>
      </c>
    </row>
    <row r="12" spans="1:17" x14ac:dyDescent="0.3">
      <c r="A12" s="1">
        <v>45985.375000405096</v>
      </c>
      <c r="B12" s="5">
        <v>10.97</v>
      </c>
      <c r="C12" s="7">
        <f t="shared" si="0"/>
        <v>229.27669919176697</v>
      </c>
      <c r="D12" s="9">
        <v>0</v>
      </c>
      <c r="E12" s="11">
        <v>15</v>
      </c>
      <c r="F12" s="11">
        <v>16.5</v>
      </c>
      <c r="G12" s="11">
        <v>19</v>
      </c>
    </row>
    <row r="13" spans="1:17" x14ac:dyDescent="0.3">
      <c r="A13" s="1">
        <v>45985.416667129626</v>
      </c>
      <c r="B13" s="5">
        <v>10.83</v>
      </c>
      <c r="C13" s="7">
        <f t="shared" si="0"/>
        <v>214.68422413995987</v>
      </c>
      <c r="D13" s="9">
        <v>0</v>
      </c>
      <c r="E13" s="11">
        <v>15</v>
      </c>
      <c r="F13" s="11">
        <v>16.5</v>
      </c>
      <c r="G13" s="11">
        <v>19</v>
      </c>
    </row>
    <row r="14" spans="1:17" x14ac:dyDescent="0.3">
      <c r="A14" s="1">
        <v>45985.458333854163</v>
      </c>
      <c r="B14" s="5">
        <v>10.7</v>
      </c>
      <c r="C14" s="7">
        <f t="shared" si="0"/>
        <v>201.43871502584832</v>
      </c>
      <c r="D14" s="9">
        <v>0</v>
      </c>
      <c r="E14" s="11">
        <v>15</v>
      </c>
      <c r="F14" s="11">
        <v>16.5</v>
      </c>
      <c r="G14" s="11">
        <v>19</v>
      </c>
    </row>
    <row r="15" spans="1:17" x14ac:dyDescent="0.3">
      <c r="A15" s="1">
        <v>45985.500000578701</v>
      </c>
      <c r="B15" s="5">
        <v>10.61</v>
      </c>
      <c r="C15" s="7">
        <f t="shared" si="0"/>
        <v>192.44361808009225</v>
      </c>
      <c r="D15" s="9">
        <v>0</v>
      </c>
      <c r="E15" s="11">
        <v>15</v>
      </c>
      <c r="F15" s="11">
        <v>16.5</v>
      </c>
      <c r="G15" s="11">
        <v>19</v>
      </c>
    </row>
    <row r="16" spans="1:17" x14ac:dyDescent="0.3">
      <c r="A16" s="1">
        <v>45985.541667303238</v>
      </c>
      <c r="B16" s="5">
        <v>10.51</v>
      </c>
      <c r="C16" s="7">
        <f t="shared" si="0"/>
        <v>182.61958934895213</v>
      </c>
      <c r="D16" s="9">
        <v>0</v>
      </c>
      <c r="E16" s="11">
        <v>15</v>
      </c>
      <c r="F16" s="11">
        <v>16.5</v>
      </c>
      <c r="G16" s="11">
        <v>19</v>
      </c>
    </row>
    <row r="17" spans="1:7" x14ac:dyDescent="0.3">
      <c r="A17" s="1">
        <v>45985.583334027775</v>
      </c>
      <c r="B17" s="5">
        <v>10.43</v>
      </c>
      <c r="C17" s="7">
        <f t="shared" si="0"/>
        <v>174.89142984734596</v>
      </c>
      <c r="D17" s="9">
        <v>0</v>
      </c>
      <c r="E17" s="11">
        <v>15</v>
      </c>
      <c r="F17" s="11">
        <v>16.5</v>
      </c>
      <c r="G17" s="11">
        <v>19</v>
      </c>
    </row>
    <row r="18" spans="1:7" x14ac:dyDescent="0.3">
      <c r="A18" s="1">
        <v>45985.625000752312</v>
      </c>
      <c r="B18" s="5">
        <v>10.35</v>
      </c>
      <c r="C18" s="7">
        <f t="shared" si="0"/>
        <v>167.28140330242118</v>
      </c>
      <c r="D18" s="9">
        <v>2</v>
      </c>
      <c r="E18" s="11">
        <v>15</v>
      </c>
      <c r="F18" s="11">
        <v>16.5</v>
      </c>
      <c r="G18" s="11">
        <v>19</v>
      </c>
    </row>
    <row r="19" spans="1:7" x14ac:dyDescent="0.3">
      <c r="A19" s="1">
        <v>45985.666667476849</v>
      </c>
      <c r="B19" s="5">
        <v>10.34</v>
      </c>
      <c r="C19" s="7">
        <f t="shared" si="0"/>
        <v>166.33853388858216</v>
      </c>
      <c r="D19" s="9">
        <v>1.4</v>
      </c>
      <c r="E19" s="11">
        <v>15</v>
      </c>
      <c r="F19" s="11">
        <v>16.5</v>
      </c>
      <c r="G19" s="11">
        <v>19</v>
      </c>
    </row>
    <row r="20" spans="1:7" x14ac:dyDescent="0.3">
      <c r="A20" s="1">
        <v>45985.708334201387</v>
      </c>
      <c r="B20" s="5">
        <v>10.36</v>
      </c>
      <c r="C20" s="7">
        <f t="shared" si="0"/>
        <v>168.22614305471623</v>
      </c>
      <c r="D20" s="9">
        <v>3.5</v>
      </c>
      <c r="E20" s="11">
        <v>15</v>
      </c>
      <c r="F20" s="11">
        <v>16.5</v>
      </c>
      <c r="G20" s="11">
        <v>19</v>
      </c>
    </row>
    <row r="21" spans="1:7" x14ac:dyDescent="0.3">
      <c r="A21" s="1">
        <v>45985.750000925924</v>
      </c>
      <c r="B21" s="5">
        <v>10.43</v>
      </c>
      <c r="C21" s="7">
        <f t="shared" si="0"/>
        <v>174.89142984734596</v>
      </c>
      <c r="D21" s="9">
        <v>2</v>
      </c>
      <c r="E21" s="11">
        <v>15</v>
      </c>
      <c r="F21" s="11">
        <v>16.5</v>
      </c>
      <c r="G21" s="11">
        <v>19</v>
      </c>
    </row>
    <row r="22" spans="1:7" x14ac:dyDescent="0.3">
      <c r="A22" s="1">
        <v>45985.791667650461</v>
      </c>
      <c r="B22" s="5">
        <v>10.52</v>
      </c>
      <c r="C22" s="7">
        <f t="shared" si="0"/>
        <v>183.59383962203529</v>
      </c>
      <c r="D22" s="9">
        <v>0.7</v>
      </c>
      <c r="E22" s="11">
        <v>15</v>
      </c>
      <c r="F22" s="11">
        <v>16.5</v>
      </c>
      <c r="G22" s="11">
        <v>19</v>
      </c>
    </row>
    <row r="23" spans="1:7" x14ac:dyDescent="0.3">
      <c r="A23" s="1">
        <v>45985.833334374998</v>
      </c>
      <c r="B23" s="5">
        <v>10.72</v>
      </c>
      <c r="C23" s="7">
        <f t="shared" si="0"/>
        <v>203.45716104590667</v>
      </c>
      <c r="D23" s="9">
        <v>0</v>
      </c>
      <c r="E23" s="11">
        <v>15</v>
      </c>
      <c r="F23" s="11">
        <v>16.5</v>
      </c>
      <c r="G23" s="11">
        <v>19</v>
      </c>
    </row>
    <row r="24" spans="1:7" x14ac:dyDescent="0.3">
      <c r="A24" s="1">
        <v>45985.875001099535</v>
      </c>
      <c r="B24" s="5">
        <v>11.07</v>
      </c>
      <c r="C24" s="7">
        <f t="shared" si="0"/>
        <v>239.90463070876561</v>
      </c>
      <c r="D24" s="9">
        <v>0</v>
      </c>
      <c r="E24" s="11">
        <v>15</v>
      </c>
      <c r="F24" s="11">
        <v>16.5</v>
      </c>
      <c r="G24" s="11">
        <v>19</v>
      </c>
    </row>
    <row r="25" spans="1:7" x14ac:dyDescent="0.3">
      <c r="A25" s="1">
        <v>45985.916667824073</v>
      </c>
      <c r="B25" s="5">
        <v>11.31</v>
      </c>
      <c r="C25" s="7">
        <f t="shared" si="0"/>
        <v>266.09302602684727</v>
      </c>
      <c r="D25" s="9">
        <v>0</v>
      </c>
      <c r="E25" s="11">
        <v>15</v>
      </c>
      <c r="F25" s="11">
        <v>16.5</v>
      </c>
      <c r="G25" s="11">
        <v>19</v>
      </c>
    </row>
    <row r="26" spans="1:7" x14ac:dyDescent="0.3">
      <c r="A26" s="1">
        <v>45985.95833454861</v>
      </c>
      <c r="B26" s="5">
        <v>11.43</v>
      </c>
      <c r="C26" s="7">
        <f t="shared" si="0"/>
        <v>279.5409182685533</v>
      </c>
      <c r="D26" s="9">
        <v>0</v>
      </c>
      <c r="E26" s="11">
        <v>15</v>
      </c>
      <c r="F26" s="11">
        <v>16.5</v>
      </c>
      <c r="G26" s="11">
        <v>19</v>
      </c>
    </row>
    <row r="27" spans="1:7" x14ac:dyDescent="0.3">
      <c r="A27" s="1">
        <v>45986.000001273147</v>
      </c>
      <c r="B27" s="5">
        <v>11.45</v>
      </c>
      <c r="C27" s="7">
        <f t="shared" si="0"/>
        <v>281.80479993624766</v>
      </c>
      <c r="D27" s="9">
        <v>0</v>
      </c>
      <c r="E27" s="11">
        <v>15</v>
      </c>
      <c r="F27" s="11">
        <v>16.5</v>
      </c>
      <c r="G27" s="11">
        <v>19</v>
      </c>
    </row>
    <row r="28" spans="1:7" x14ac:dyDescent="0.3">
      <c r="A28" s="1">
        <v>45986.041667997684</v>
      </c>
      <c r="B28" s="5">
        <v>11.4</v>
      </c>
      <c r="C28" s="7">
        <f t="shared" si="0"/>
        <v>276.15714084912304</v>
      </c>
      <c r="D28" s="9">
        <v>0</v>
      </c>
      <c r="E28" s="11">
        <v>15</v>
      </c>
      <c r="F28" s="11">
        <v>16.5</v>
      </c>
      <c r="G28" s="11">
        <v>19</v>
      </c>
    </row>
    <row r="29" spans="1:7" x14ac:dyDescent="0.3">
      <c r="A29" s="1">
        <v>45986.083334722221</v>
      </c>
      <c r="B29" s="5">
        <v>11.31</v>
      </c>
      <c r="C29" s="7">
        <f t="shared" si="0"/>
        <v>266.09302602684727</v>
      </c>
      <c r="D29" s="9">
        <v>0</v>
      </c>
      <c r="E29" s="11">
        <v>15</v>
      </c>
      <c r="F29" s="11">
        <v>16.5</v>
      </c>
      <c r="G29" s="11">
        <v>19</v>
      </c>
    </row>
    <row r="30" spans="1:7" x14ac:dyDescent="0.3">
      <c r="A30" s="1">
        <v>45986.125001446759</v>
      </c>
      <c r="B30" s="5">
        <v>11.22</v>
      </c>
      <c r="C30" s="7">
        <f t="shared" si="0"/>
        <v>256.16087145183548</v>
      </c>
      <c r="D30" s="9">
        <v>0</v>
      </c>
      <c r="E30" s="11">
        <v>15</v>
      </c>
      <c r="F30" s="11">
        <v>16.5</v>
      </c>
      <c r="G30" s="11">
        <v>19</v>
      </c>
    </row>
    <row r="31" spans="1:7" x14ac:dyDescent="0.3">
      <c r="A31" s="1">
        <v>45986.166668171296</v>
      </c>
      <c r="B31" s="5">
        <v>11.13</v>
      </c>
      <c r="C31" s="7">
        <f t="shared" si="0"/>
        <v>246.36217933392831</v>
      </c>
      <c r="D31" s="9">
        <v>0</v>
      </c>
      <c r="E31" s="11">
        <v>15</v>
      </c>
      <c r="F31" s="11">
        <v>16.5</v>
      </c>
      <c r="G31" s="11">
        <v>19</v>
      </c>
    </row>
    <row r="32" spans="1:7" x14ac:dyDescent="0.3">
      <c r="A32" s="1">
        <v>45986.208334895833</v>
      </c>
      <c r="B32" s="5">
        <v>11.01</v>
      </c>
      <c r="C32" s="7">
        <f t="shared" si="0"/>
        <v>233.50756607986841</v>
      </c>
      <c r="D32" s="9">
        <v>0</v>
      </c>
      <c r="E32" s="11">
        <v>15</v>
      </c>
      <c r="F32" s="11">
        <v>16.5</v>
      </c>
      <c r="G32" s="11">
        <v>19</v>
      </c>
    </row>
    <row r="33" spans="1:7" x14ac:dyDescent="0.3">
      <c r="A33" s="1">
        <v>45986.25000162037</v>
      </c>
      <c r="B33" s="5">
        <v>10.92</v>
      </c>
      <c r="C33" s="7">
        <f t="shared" si="0"/>
        <v>224.02644838435063</v>
      </c>
      <c r="D33" s="9">
        <v>0</v>
      </c>
      <c r="E33" s="11">
        <v>15</v>
      </c>
      <c r="F33" s="11">
        <v>16.5</v>
      </c>
      <c r="G33" s="11">
        <v>19</v>
      </c>
    </row>
    <row r="34" spans="1:7" x14ac:dyDescent="0.3">
      <c r="A34" s="1">
        <v>45986.291668344908</v>
      </c>
      <c r="B34" s="5">
        <v>10.84</v>
      </c>
      <c r="C34" s="7">
        <f t="shared" si="0"/>
        <v>215.71533565138336</v>
      </c>
      <c r="D34" s="9">
        <v>0</v>
      </c>
      <c r="E34" s="11">
        <v>15</v>
      </c>
      <c r="F34" s="11">
        <v>16.5</v>
      </c>
      <c r="G34" s="11">
        <v>19</v>
      </c>
    </row>
    <row r="35" spans="1:7" x14ac:dyDescent="0.3">
      <c r="A35" s="1">
        <v>45986.333335069445</v>
      </c>
      <c r="B35" s="5">
        <v>10.75</v>
      </c>
      <c r="C35" s="7">
        <f t="shared" si="0"/>
        <v>206.49805739861631</v>
      </c>
      <c r="D35" s="9">
        <v>0</v>
      </c>
      <c r="E35" s="11">
        <v>15</v>
      </c>
      <c r="F35" s="11">
        <v>16.5</v>
      </c>
      <c r="G35" s="11">
        <v>19</v>
      </c>
    </row>
    <row r="36" spans="1:7" x14ac:dyDescent="0.3">
      <c r="A36" s="1">
        <v>45986.375001793982</v>
      </c>
      <c r="B36" s="5">
        <v>10.68</v>
      </c>
      <c r="C36" s="7">
        <f t="shared" si="0"/>
        <v>199.42734801195471</v>
      </c>
      <c r="D36" s="9">
        <v>0</v>
      </c>
      <c r="E36" s="11">
        <v>15</v>
      </c>
      <c r="F36" s="11">
        <v>16.5</v>
      </c>
      <c r="G36" s="11">
        <v>19</v>
      </c>
    </row>
    <row r="37" spans="1:7" x14ac:dyDescent="0.3">
      <c r="A37" s="1">
        <v>45986.416668518519</v>
      </c>
      <c r="B37" s="5">
        <v>10.64</v>
      </c>
      <c r="C37" s="7">
        <f t="shared" si="0"/>
        <v>195.42593587530968</v>
      </c>
      <c r="D37" s="9">
        <v>0</v>
      </c>
      <c r="E37" s="11">
        <v>15</v>
      </c>
      <c r="F37" s="11">
        <v>16.5</v>
      </c>
      <c r="G37" s="11">
        <v>19</v>
      </c>
    </row>
    <row r="38" spans="1:7" x14ac:dyDescent="0.3">
      <c r="A38" s="1">
        <v>45986.458335243056</v>
      </c>
      <c r="B38" s="5">
        <v>10.6</v>
      </c>
      <c r="C38" s="7">
        <f t="shared" si="0"/>
        <v>191.45309642743908</v>
      </c>
      <c r="D38" s="9">
        <v>0</v>
      </c>
      <c r="E38" s="11">
        <v>15</v>
      </c>
      <c r="F38" s="11">
        <v>16.5</v>
      </c>
      <c r="G38" s="11">
        <v>19</v>
      </c>
    </row>
    <row r="39" spans="1:7" x14ac:dyDescent="0.3">
      <c r="A39" s="1">
        <v>45986.500001967594</v>
      </c>
      <c r="B39" s="5">
        <v>10.55</v>
      </c>
      <c r="C39" s="7">
        <f t="shared" si="0"/>
        <v>186.52749460510881</v>
      </c>
      <c r="D39" s="9">
        <v>0.4</v>
      </c>
      <c r="E39" s="11">
        <v>15</v>
      </c>
      <c r="F39" s="11">
        <v>16.5</v>
      </c>
      <c r="G39" s="11">
        <v>19</v>
      </c>
    </row>
    <row r="40" spans="1:7" x14ac:dyDescent="0.3">
      <c r="A40" s="1">
        <v>45986.541668692131</v>
      </c>
      <c r="B40" s="5">
        <v>10.5</v>
      </c>
      <c r="C40" s="7">
        <f t="shared" si="0"/>
        <v>181.64716122819658</v>
      </c>
      <c r="D40" s="9">
        <v>0</v>
      </c>
      <c r="E40" s="11">
        <v>15</v>
      </c>
      <c r="F40" s="11">
        <v>16.5</v>
      </c>
      <c r="G40" s="11">
        <v>19</v>
      </c>
    </row>
    <row r="41" spans="1:7" x14ac:dyDescent="0.3">
      <c r="A41" s="1">
        <v>45986.583335416668</v>
      </c>
      <c r="B41" s="5">
        <v>10.46</v>
      </c>
      <c r="C41" s="7">
        <f t="shared" si="0"/>
        <v>177.77572842569842</v>
      </c>
      <c r="D41" s="9">
        <v>0</v>
      </c>
      <c r="E41" s="11">
        <v>15</v>
      </c>
      <c r="F41" s="11">
        <v>16.5</v>
      </c>
      <c r="G41" s="11">
        <v>19</v>
      </c>
    </row>
    <row r="42" spans="1:7" x14ac:dyDescent="0.3">
      <c r="A42" s="1">
        <v>45986.625002141205</v>
      </c>
      <c r="B42" s="5">
        <v>10.41</v>
      </c>
      <c r="C42" s="7">
        <f t="shared" si="0"/>
        <v>172.97778787767226</v>
      </c>
      <c r="D42" s="9">
        <v>0</v>
      </c>
      <c r="E42" s="11">
        <v>15</v>
      </c>
      <c r="F42" s="11">
        <v>16.5</v>
      </c>
      <c r="G42" s="11">
        <v>19</v>
      </c>
    </row>
    <row r="43" spans="1:7" x14ac:dyDescent="0.3">
      <c r="A43" s="1">
        <v>45986.666668865742</v>
      </c>
      <c r="B43" s="5">
        <v>10.37</v>
      </c>
      <c r="C43" s="7">
        <f t="shared" si="0"/>
        <v>169.17275001421865</v>
      </c>
      <c r="D43" s="9">
        <v>0</v>
      </c>
      <c r="E43" s="11">
        <v>15</v>
      </c>
      <c r="F43" s="11">
        <v>16.5</v>
      </c>
      <c r="G43" s="11">
        <v>19</v>
      </c>
    </row>
    <row r="44" spans="1:7" x14ac:dyDescent="0.3">
      <c r="A44" s="1">
        <v>45986.70833559028</v>
      </c>
      <c r="B44" s="5">
        <v>10.33</v>
      </c>
      <c r="C44" s="7">
        <f t="shared" si="0"/>
        <v>165.3975379612103</v>
      </c>
      <c r="D44" s="9">
        <v>0</v>
      </c>
      <c r="E44" s="11">
        <v>15</v>
      </c>
      <c r="F44" s="11">
        <v>16.5</v>
      </c>
      <c r="G44" s="11">
        <v>19</v>
      </c>
    </row>
    <row r="45" spans="1:7" x14ac:dyDescent="0.3">
      <c r="A45" s="1">
        <v>45986.750002314817</v>
      </c>
      <c r="B45" s="5">
        <v>10.3</v>
      </c>
      <c r="C45" s="7">
        <f t="shared" si="0"/>
        <v>162.58582283264622</v>
      </c>
      <c r="D45" s="9">
        <v>1.6</v>
      </c>
      <c r="E45" s="11">
        <v>15</v>
      </c>
      <c r="F45" s="11">
        <v>16.5</v>
      </c>
      <c r="G45" s="11">
        <v>19</v>
      </c>
    </row>
    <row r="46" spans="1:7" x14ac:dyDescent="0.3">
      <c r="A46" s="1">
        <v>45986.791669039354</v>
      </c>
      <c r="B46" s="5">
        <v>10.3</v>
      </c>
      <c r="C46" s="7">
        <f t="shared" si="0"/>
        <v>162.58582283264622</v>
      </c>
      <c r="D46" s="9">
        <v>0</v>
      </c>
      <c r="E46" s="11">
        <v>15</v>
      </c>
      <c r="F46" s="11">
        <v>16.5</v>
      </c>
      <c r="G46" s="11">
        <v>19</v>
      </c>
    </row>
    <row r="47" spans="1:7" x14ac:dyDescent="0.3">
      <c r="A47" s="1">
        <v>45986.833335763891</v>
      </c>
      <c r="B47" s="5">
        <v>10.25</v>
      </c>
      <c r="C47" s="7">
        <f t="shared" si="0"/>
        <v>157.93739947003712</v>
      </c>
      <c r="D47" s="9">
        <v>0</v>
      </c>
      <c r="E47" s="11">
        <v>15</v>
      </c>
      <c r="F47" s="11">
        <v>16.5</v>
      </c>
      <c r="G47" s="11">
        <v>19</v>
      </c>
    </row>
    <row r="48" spans="1:7" x14ac:dyDescent="0.3">
      <c r="A48" s="1">
        <v>45986.875002488428</v>
      </c>
      <c r="B48" s="5">
        <v>10.210000000000001</v>
      </c>
      <c r="C48" s="7">
        <f t="shared" si="0"/>
        <v>154.25288821296914</v>
      </c>
      <c r="D48" s="9">
        <v>0</v>
      </c>
      <c r="E48" s="11">
        <v>15</v>
      </c>
      <c r="F48" s="11">
        <v>16.5</v>
      </c>
      <c r="G48" s="11">
        <v>19</v>
      </c>
    </row>
    <row r="49" spans="1:7" x14ac:dyDescent="0.3">
      <c r="A49" s="1">
        <v>45986.916669212966</v>
      </c>
      <c r="B49" s="5">
        <v>10.17</v>
      </c>
      <c r="C49" s="7">
        <f t="shared" si="0"/>
        <v>150.59903346252094</v>
      </c>
      <c r="D49" s="9">
        <v>0</v>
      </c>
      <c r="E49" s="11">
        <v>15</v>
      </c>
      <c r="F49" s="11">
        <v>16.5</v>
      </c>
      <c r="G49" s="11">
        <v>19</v>
      </c>
    </row>
    <row r="50" spans="1:7" x14ac:dyDescent="0.3">
      <c r="A50" s="1">
        <v>45986.958335937503</v>
      </c>
      <c r="B50" s="5">
        <v>10.199999999999999</v>
      </c>
      <c r="C50" s="7">
        <f t="shared" si="0"/>
        <v>153.33654199062599</v>
      </c>
      <c r="D50" s="9">
        <v>0</v>
      </c>
      <c r="E50" s="11">
        <v>15</v>
      </c>
      <c r="F50" s="11">
        <v>16.5</v>
      </c>
      <c r="G50" s="11">
        <v>19</v>
      </c>
    </row>
    <row r="51" spans="1:7" x14ac:dyDescent="0.3">
      <c r="A51" s="1">
        <v>45987.00000266204</v>
      </c>
      <c r="B51" s="5">
        <v>10.210000000000001</v>
      </c>
      <c r="C51" s="7">
        <f t="shared" si="0"/>
        <v>154.25288821296914</v>
      </c>
      <c r="D51" s="9">
        <v>1</v>
      </c>
      <c r="E51" s="11">
        <v>15</v>
      </c>
      <c r="F51" s="11">
        <v>16.5</v>
      </c>
      <c r="G51" s="11">
        <v>19</v>
      </c>
    </row>
    <row r="52" spans="1:7" x14ac:dyDescent="0.3">
      <c r="A52" s="1">
        <v>45987.041669386577</v>
      </c>
      <c r="B52" s="5">
        <v>10.210000000000001</v>
      </c>
      <c r="C52" s="7">
        <f t="shared" si="0"/>
        <v>154.25288821296914</v>
      </c>
      <c r="D52" s="9">
        <v>2.6</v>
      </c>
      <c r="E52" s="11">
        <v>15</v>
      </c>
      <c r="F52" s="11">
        <v>16.5</v>
      </c>
      <c r="G52" s="11">
        <v>19</v>
      </c>
    </row>
    <row r="53" spans="1:7" x14ac:dyDescent="0.3">
      <c r="A53" s="1">
        <v>45987.083336111114</v>
      </c>
      <c r="B53" s="5">
        <v>10.25</v>
      </c>
      <c r="C53" s="7">
        <f t="shared" si="0"/>
        <v>157.93739947003712</v>
      </c>
      <c r="D53" s="9">
        <v>2.5</v>
      </c>
      <c r="E53" s="11">
        <v>15</v>
      </c>
      <c r="F53" s="11">
        <v>16.5</v>
      </c>
      <c r="G53" s="11">
        <v>19</v>
      </c>
    </row>
    <row r="54" spans="1:7" x14ac:dyDescent="0.3">
      <c r="A54" s="1">
        <v>45987.125002835652</v>
      </c>
      <c r="B54" s="5">
        <v>10.3</v>
      </c>
      <c r="C54" s="7">
        <f t="shared" si="0"/>
        <v>162.58582283264622</v>
      </c>
      <c r="D54" s="9">
        <v>2</v>
      </c>
      <c r="E54" s="11">
        <v>15</v>
      </c>
      <c r="F54" s="11">
        <v>16.5</v>
      </c>
      <c r="G54" s="11">
        <v>19</v>
      </c>
    </row>
    <row r="55" spans="1:7" x14ac:dyDescent="0.3">
      <c r="A55" s="1">
        <v>45987.166669560182</v>
      </c>
      <c r="B55" s="5">
        <v>10.33</v>
      </c>
      <c r="C55" s="7">
        <f t="shared" si="0"/>
        <v>165.3975379612103</v>
      </c>
      <c r="D55" s="9">
        <v>0</v>
      </c>
      <c r="E55" s="11">
        <v>15</v>
      </c>
      <c r="F55" s="11">
        <v>16.5</v>
      </c>
      <c r="G55" s="11">
        <v>19</v>
      </c>
    </row>
    <row r="56" spans="1:7" x14ac:dyDescent="0.3">
      <c r="A56" s="1">
        <v>45987.208336284719</v>
      </c>
      <c r="B56" s="5">
        <v>10.35</v>
      </c>
      <c r="C56" s="7">
        <f t="shared" si="0"/>
        <v>167.28140330242118</v>
      </c>
      <c r="D56" s="9">
        <v>0</v>
      </c>
      <c r="E56" s="11">
        <v>15</v>
      </c>
      <c r="F56" s="11">
        <v>16.5</v>
      </c>
      <c r="G56" s="11">
        <v>19</v>
      </c>
    </row>
    <row r="57" spans="1:7" x14ac:dyDescent="0.3">
      <c r="A57" s="1">
        <v>45987.250003009256</v>
      </c>
      <c r="B57" s="5">
        <v>10.35</v>
      </c>
      <c r="C57" s="7">
        <f t="shared" si="0"/>
        <v>167.28140330242118</v>
      </c>
      <c r="D57" s="9">
        <v>1.5</v>
      </c>
      <c r="E57" s="11">
        <v>15</v>
      </c>
      <c r="F57" s="11">
        <v>16.5</v>
      </c>
      <c r="G57" s="11">
        <v>19</v>
      </c>
    </row>
    <row r="58" spans="1:7" x14ac:dyDescent="0.3">
      <c r="A58" s="1">
        <v>45987.291669733793</v>
      </c>
      <c r="B58" s="5">
        <v>10.33</v>
      </c>
      <c r="C58" s="7">
        <f t="shared" si="0"/>
        <v>165.3975379612103</v>
      </c>
      <c r="D58" s="9">
        <v>2.8</v>
      </c>
      <c r="E58" s="11">
        <v>15</v>
      </c>
      <c r="F58" s="11">
        <v>16.5</v>
      </c>
      <c r="G58" s="11">
        <v>19</v>
      </c>
    </row>
    <row r="59" spans="1:7" x14ac:dyDescent="0.3">
      <c r="A59" s="1">
        <v>45987.33333645833</v>
      </c>
      <c r="B59" s="5">
        <v>10.34</v>
      </c>
      <c r="C59" s="7">
        <f t="shared" si="0"/>
        <v>166.33853388858216</v>
      </c>
      <c r="D59" s="9">
        <v>0</v>
      </c>
      <c r="E59" s="11">
        <v>15</v>
      </c>
      <c r="F59" s="11">
        <v>16.5</v>
      </c>
      <c r="G59" s="11">
        <v>19</v>
      </c>
    </row>
    <row r="60" spans="1:7" x14ac:dyDescent="0.3">
      <c r="A60" s="1">
        <v>45987.375003182868</v>
      </c>
      <c r="B60" s="5">
        <v>10.37</v>
      </c>
      <c r="C60" s="7">
        <f t="shared" si="0"/>
        <v>169.17275001421865</v>
      </c>
      <c r="D60" s="9">
        <v>0.5</v>
      </c>
      <c r="E60" s="11">
        <v>15</v>
      </c>
      <c r="F60" s="11">
        <v>16.5</v>
      </c>
      <c r="G60" s="11">
        <v>19</v>
      </c>
    </row>
    <row r="61" spans="1:7" x14ac:dyDescent="0.3">
      <c r="A61" s="1">
        <v>45987.416669907405</v>
      </c>
      <c r="B61" s="5">
        <v>10.41</v>
      </c>
      <c r="C61" s="7">
        <f t="shared" si="0"/>
        <v>172.97778787767226</v>
      </c>
      <c r="D61" s="9">
        <v>2.5</v>
      </c>
      <c r="E61" s="11">
        <v>15</v>
      </c>
      <c r="F61" s="11">
        <v>16.5</v>
      </c>
      <c r="G61" s="11">
        <v>19</v>
      </c>
    </row>
    <row r="62" spans="1:7" x14ac:dyDescent="0.3">
      <c r="A62" s="1">
        <v>45987.458336631942</v>
      </c>
      <c r="B62" s="5">
        <v>10.46</v>
      </c>
      <c r="C62" s="7">
        <f t="shared" si="0"/>
        <v>177.77572842569842</v>
      </c>
      <c r="D62" s="9">
        <v>2</v>
      </c>
      <c r="E62" s="11">
        <v>15</v>
      </c>
      <c r="F62" s="11">
        <v>16.5</v>
      </c>
      <c r="G62" s="11">
        <v>19</v>
      </c>
    </row>
    <row r="63" spans="1:7" x14ac:dyDescent="0.3">
      <c r="A63" s="1">
        <v>45987.500003356479</v>
      </c>
      <c r="B63" s="5">
        <v>10.53</v>
      </c>
      <c r="C63" s="7">
        <f t="shared" si="0"/>
        <v>184.56990916521895</v>
      </c>
      <c r="D63" s="9">
        <v>1.9</v>
      </c>
      <c r="E63" s="11">
        <v>15</v>
      </c>
      <c r="F63" s="11">
        <v>16.5</v>
      </c>
      <c r="G63" s="11">
        <v>19</v>
      </c>
    </row>
    <row r="64" spans="1:7" x14ac:dyDescent="0.3">
      <c r="A64" s="1">
        <v>45987.541670081016</v>
      </c>
      <c r="B64" s="5">
        <v>10.6</v>
      </c>
      <c r="C64" s="7">
        <f t="shared" si="0"/>
        <v>191.45309642743908</v>
      </c>
      <c r="D64" s="9">
        <v>0</v>
      </c>
      <c r="E64" s="11">
        <v>15</v>
      </c>
      <c r="F64" s="11">
        <v>16.5</v>
      </c>
      <c r="G64" s="11">
        <v>19</v>
      </c>
    </row>
    <row r="65" spans="1:7" x14ac:dyDescent="0.3">
      <c r="A65" s="1">
        <v>45987.583336805554</v>
      </c>
      <c r="B65" s="5">
        <v>10.65</v>
      </c>
      <c r="C65" s="7">
        <f t="shared" si="0"/>
        <v>196.4236169869051</v>
      </c>
      <c r="D65" s="9">
        <v>0</v>
      </c>
      <c r="E65" s="11">
        <v>15</v>
      </c>
      <c r="F65" s="11">
        <v>16.5</v>
      </c>
      <c r="G65" s="11">
        <v>19</v>
      </c>
    </row>
    <row r="66" spans="1:7" x14ac:dyDescent="0.3">
      <c r="A66" s="1">
        <v>45987.625003530091</v>
      </c>
      <c r="B66" s="5">
        <v>10.67</v>
      </c>
      <c r="C66" s="7">
        <f t="shared" si="0"/>
        <v>198.4243257392873</v>
      </c>
      <c r="D66" s="9">
        <v>1.4</v>
      </c>
      <c r="E66" s="11">
        <v>15</v>
      </c>
      <c r="F66" s="11">
        <v>16.5</v>
      </c>
      <c r="G66" s="11">
        <v>19</v>
      </c>
    </row>
    <row r="67" spans="1:7" x14ac:dyDescent="0.3">
      <c r="A67" s="1">
        <v>45987.666670254628</v>
      </c>
      <c r="B67" s="5">
        <v>10.7</v>
      </c>
      <c r="C67" s="7">
        <f t="shared" si="0"/>
        <v>201.43871502584832</v>
      </c>
      <c r="D67" s="9">
        <v>2.8</v>
      </c>
      <c r="E67" s="11">
        <v>15</v>
      </c>
      <c r="F67" s="11">
        <v>16.5</v>
      </c>
      <c r="G67" s="11">
        <v>19</v>
      </c>
    </row>
    <row r="68" spans="1:7" x14ac:dyDescent="0.3">
      <c r="A68" s="1">
        <v>45987.708336979165</v>
      </c>
      <c r="B68" s="5">
        <v>10.75</v>
      </c>
      <c r="C68" s="7">
        <f t="shared" si="0"/>
        <v>206.49805739861631</v>
      </c>
      <c r="D68" s="9">
        <v>0.7</v>
      </c>
      <c r="E68" s="11">
        <v>15</v>
      </c>
      <c r="F68" s="11">
        <v>16.5</v>
      </c>
      <c r="G68" s="11">
        <v>19</v>
      </c>
    </row>
    <row r="69" spans="1:7" x14ac:dyDescent="0.3">
      <c r="A69" s="1">
        <v>45987.750003703703</v>
      </c>
      <c r="B69" s="5">
        <v>10.81</v>
      </c>
      <c r="C69" s="7">
        <f t="shared" ref="C69:C132" si="1">IF(B69="","",IF((B69-0.118)&gt;14,9.8381*((B69-0.118)-7.5)^2+42.44*((B69-0.118)-7.5)-16.777,35.535*((B69-0.118)-7.5)^1.5414))</f>
        <v>212.62721319943739</v>
      </c>
      <c r="D69" s="9">
        <v>13.2</v>
      </c>
      <c r="E69" s="11">
        <v>15</v>
      </c>
      <c r="F69" s="11">
        <v>16.5</v>
      </c>
      <c r="G69" s="11">
        <v>19</v>
      </c>
    </row>
    <row r="70" spans="1:7" x14ac:dyDescent="0.3">
      <c r="A70" s="1">
        <v>45987.79167042824</v>
      </c>
      <c r="B70" s="5">
        <v>10.9</v>
      </c>
      <c r="C70" s="7">
        <f t="shared" si="1"/>
        <v>221.93833414785794</v>
      </c>
      <c r="D70" s="9">
        <v>1</v>
      </c>
      <c r="E70" s="11">
        <v>15</v>
      </c>
      <c r="F70" s="11">
        <v>16.5</v>
      </c>
      <c r="G70" s="11">
        <v>19</v>
      </c>
    </row>
    <row r="71" spans="1:7" x14ac:dyDescent="0.3">
      <c r="A71" s="1">
        <v>45987.833337152777</v>
      </c>
      <c r="B71" s="5">
        <v>10.98</v>
      </c>
      <c r="C71" s="7">
        <f t="shared" si="1"/>
        <v>230.33186738319637</v>
      </c>
      <c r="D71" s="9">
        <v>2</v>
      </c>
      <c r="E71" s="11">
        <v>15</v>
      </c>
      <c r="F71" s="11">
        <v>16.5</v>
      </c>
      <c r="G71" s="11">
        <v>19</v>
      </c>
    </row>
    <row r="72" spans="1:7" x14ac:dyDescent="0.3">
      <c r="A72" s="1">
        <v>45987.875003877314</v>
      </c>
      <c r="B72" s="5">
        <v>11.05</v>
      </c>
      <c r="C72" s="7">
        <f t="shared" si="1"/>
        <v>237.7655315287148</v>
      </c>
      <c r="D72" s="9">
        <v>2.2000000000000002</v>
      </c>
      <c r="E72" s="11">
        <v>15</v>
      </c>
      <c r="F72" s="11">
        <v>16.5</v>
      </c>
      <c r="G72" s="11">
        <v>19</v>
      </c>
    </row>
    <row r="73" spans="1:7" x14ac:dyDescent="0.3">
      <c r="A73" s="1">
        <v>45987.916670601851</v>
      </c>
      <c r="B73" s="5">
        <v>11.1</v>
      </c>
      <c r="C73" s="7">
        <f t="shared" si="1"/>
        <v>243.1258745603364</v>
      </c>
      <c r="D73" s="9">
        <v>3.8</v>
      </c>
      <c r="E73" s="11">
        <v>15</v>
      </c>
      <c r="F73" s="11">
        <v>16.5</v>
      </c>
      <c r="G73" s="11">
        <v>19</v>
      </c>
    </row>
    <row r="74" spans="1:7" x14ac:dyDescent="0.3">
      <c r="A74" s="1">
        <v>45987.958337326389</v>
      </c>
      <c r="B74" s="5">
        <v>11.1</v>
      </c>
      <c r="C74" s="7">
        <f t="shared" si="1"/>
        <v>243.1258745603364</v>
      </c>
      <c r="D74" s="9">
        <v>6.3</v>
      </c>
      <c r="E74" s="11">
        <v>15</v>
      </c>
      <c r="F74" s="11">
        <v>16.5</v>
      </c>
      <c r="G74" s="11">
        <v>19</v>
      </c>
    </row>
    <row r="75" spans="1:7" x14ac:dyDescent="0.3">
      <c r="A75" s="1">
        <v>45988.000004050926</v>
      </c>
      <c r="B75" s="5">
        <v>11.18</v>
      </c>
      <c r="C75" s="7">
        <f t="shared" si="1"/>
        <v>251.78932904871118</v>
      </c>
      <c r="D75" s="9">
        <v>0.5</v>
      </c>
      <c r="E75" s="11">
        <v>15</v>
      </c>
      <c r="F75" s="11">
        <v>16.5</v>
      </c>
      <c r="G75" s="11">
        <v>19</v>
      </c>
    </row>
    <row r="76" spans="1:7" x14ac:dyDescent="0.3">
      <c r="A76" s="1">
        <v>45988.041670775463</v>
      </c>
      <c r="B76" s="5">
        <v>11.31</v>
      </c>
      <c r="C76" s="7">
        <f t="shared" si="1"/>
        <v>266.09302602684727</v>
      </c>
      <c r="D76" s="9">
        <v>2.2000000000000002</v>
      </c>
      <c r="E76" s="11">
        <v>15</v>
      </c>
      <c r="F76" s="11">
        <v>16.5</v>
      </c>
      <c r="G76" s="11">
        <v>19</v>
      </c>
    </row>
    <row r="77" spans="1:7" x14ac:dyDescent="0.3">
      <c r="A77" s="1">
        <v>45988.0833375</v>
      </c>
      <c r="B77" s="5">
        <v>11.61</v>
      </c>
      <c r="C77" s="7">
        <f t="shared" si="1"/>
        <v>300.1452030094062</v>
      </c>
      <c r="D77" s="9">
        <v>5</v>
      </c>
      <c r="E77" s="11">
        <v>15</v>
      </c>
      <c r="F77" s="11">
        <v>16.5</v>
      </c>
      <c r="G77" s="11">
        <v>19</v>
      </c>
    </row>
    <row r="78" spans="1:7" x14ac:dyDescent="0.3">
      <c r="A78" s="1">
        <v>45988.125004224537</v>
      </c>
      <c r="B78" s="5">
        <v>11.98</v>
      </c>
      <c r="C78" s="7">
        <f t="shared" si="1"/>
        <v>344.08663018220744</v>
      </c>
      <c r="D78" s="9">
        <v>2</v>
      </c>
      <c r="E78" s="11">
        <v>15</v>
      </c>
      <c r="F78" s="11">
        <v>16.5</v>
      </c>
      <c r="G78" s="11">
        <v>19</v>
      </c>
    </row>
    <row r="79" spans="1:7" x14ac:dyDescent="0.3">
      <c r="A79" s="1">
        <v>45988.166670949075</v>
      </c>
      <c r="B79" s="5">
        <v>12.45</v>
      </c>
      <c r="C79" s="7">
        <f t="shared" si="1"/>
        <v>402.87429906346136</v>
      </c>
      <c r="D79" s="9">
        <v>4.5</v>
      </c>
      <c r="E79" s="11">
        <v>15</v>
      </c>
      <c r="F79" s="11">
        <v>16.5</v>
      </c>
      <c r="G79" s="11">
        <v>19</v>
      </c>
    </row>
    <row r="80" spans="1:7" x14ac:dyDescent="0.3">
      <c r="A80" s="1">
        <v>45988.208337673612</v>
      </c>
      <c r="B80" s="5">
        <v>12.96</v>
      </c>
      <c r="C80" s="7">
        <f t="shared" si="1"/>
        <v>470.26113324290776</v>
      </c>
      <c r="D80" s="9">
        <v>2.2000000000000002</v>
      </c>
      <c r="E80" s="11">
        <v>15</v>
      </c>
      <c r="F80" s="11">
        <v>16.5</v>
      </c>
      <c r="G80" s="11">
        <v>19</v>
      </c>
    </row>
    <row r="81" spans="1:7" x14ac:dyDescent="0.3">
      <c r="A81" s="1">
        <v>45988.250004398149</v>
      </c>
      <c r="B81" s="5">
        <v>13.28</v>
      </c>
      <c r="C81" s="7">
        <f t="shared" si="1"/>
        <v>514.3799948169293</v>
      </c>
      <c r="D81" s="9">
        <v>0.3</v>
      </c>
      <c r="E81" s="11">
        <v>15</v>
      </c>
      <c r="F81" s="11">
        <v>16.5</v>
      </c>
      <c r="G81" s="11">
        <v>19</v>
      </c>
    </row>
    <row r="82" spans="1:7" x14ac:dyDescent="0.3">
      <c r="A82" s="1">
        <v>45988.291671122686</v>
      </c>
      <c r="B82" s="5">
        <v>13.59</v>
      </c>
      <c r="C82" s="7">
        <f t="shared" si="1"/>
        <v>558.42824691200633</v>
      </c>
      <c r="D82" s="9">
        <v>4.8</v>
      </c>
      <c r="E82" s="11">
        <v>15</v>
      </c>
      <c r="F82" s="11">
        <v>16.5</v>
      </c>
      <c r="G82" s="11">
        <v>19</v>
      </c>
    </row>
    <row r="83" spans="1:7" x14ac:dyDescent="0.3">
      <c r="A83" s="1">
        <v>45988.333337847223</v>
      </c>
      <c r="B83" s="5">
        <v>13.87</v>
      </c>
      <c r="C83" s="7">
        <f t="shared" si="1"/>
        <v>599.29404067044572</v>
      </c>
      <c r="D83" s="9">
        <v>5.6</v>
      </c>
      <c r="E83" s="11">
        <v>15</v>
      </c>
      <c r="F83" s="11">
        <v>16.5</v>
      </c>
      <c r="G83" s="11">
        <v>19</v>
      </c>
    </row>
    <row r="84" spans="1:7" x14ac:dyDescent="0.3">
      <c r="A84" s="1">
        <v>45988.375004571761</v>
      </c>
      <c r="B84" s="5">
        <v>14.09</v>
      </c>
      <c r="C84" s="7">
        <f t="shared" si="1"/>
        <v>632.107694522256</v>
      </c>
      <c r="D84" s="9">
        <v>1.8</v>
      </c>
      <c r="E84" s="11">
        <v>15</v>
      </c>
      <c r="F84" s="11">
        <v>16.5</v>
      </c>
      <c r="G84" s="11">
        <v>19</v>
      </c>
    </row>
    <row r="85" spans="1:7" x14ac:dyDescent="0.3">
      <c r="A85" s="1">
        <v>45988.416671296298</v>
      </c>
      <c r="B85" s="5">
        <v>14.27</v>
      </c>
      <c r="C85" s="7">
        <f t="shared" si="1"/>
        <v>700.86099006239988</v>
      </c>
      <c r="D85" s="9">
        <v>4.5999999999999996</v>
      </c>
      <c r="E85" s="11">
        <v>15</v>
      </c>
      <c r="F85" s="11">
        <v>16.5</v>
      </c>
      <c r="G85" s="11">
        <v>19</v>
      </c>
    </row>
    <row r="86" spans="1:7" x14ac:dyDescent="0.3">
      <c r="A86" s="1">
        <v>45988.458338020835</v>
      </c>
      <c r="B86" s="5">
        <v>14.45</v>
      </c>
      <c r="C86" s="7">
        <f t="shared" si="1"/>
        <v>732.37843933439979</v>
      </c>
      <c r="D86" s="9">
        <v>1.4</v>
      </c>
      <c r="E86" s="11">
        <v>15</v>
      </c>
      <c r="F86" s="11">
        <v>16.5</v>
      </c>
      <c r="G86" s="11">
        <v>19</v>
      </c>
    </row>
    <row r="87" spans="1:7" x14ac:dyDescent="0.3">
      <c r="A87" s="1">
        <v>45988.500004745372</v>
      </c>
      <c r="B87" s="5">
        <v>14.59</v>
      </c>
      <c r="C87" s="7">
        <f t="shared" si="1"/>
        <v>757.33275787039986</v>
      </c>
      <c r="D87" s="9">
        <v>3.1</v>
      </c>
      <c r="E87" s="11">
        <v>15</v>
      </c>
      <c r="F87" s="11">
        <v>16.5</v>
      </c>
      <c r="G87" s="11">
        <v>19</v>
      </c>
    </row>
    <row r="88" spans="1:7" x14ac:dyDescent="0.3">
      <c r="A88" s="1">
        <v>45988.541671469909</v>
      </c>
      <c r="B88" s="5">
        <v>14.74</v>
      </c>
      <c r="C88" s="7">
        <f t="shared" si="1"/>
        <v>784.4974850804</v>
      </c>
      <c r="D88" s="9">
        <v>1.6</v>
      </c>
      <c r="E88" s="11">
        <v>15</v>
      </c>
      <c r="F88" s="11">
        <v>16.5</v>
      </c>
      <c r="G88" s="11">
        <v>19</v>
      </c>
    </row>
    <row r="89" spans="1:7" x14ac:dyDescent="0.3">
      <c r="A89" s="1">
        <v>45988.583338194447</v>
      </c>
      <c r="B89" s="5">
        <v>14.87</v>
      </c>
      <c r="C89" s="7">
        <f t="shared" si="1"/>
        <v>808.3983555023998</v>
      </c>
      <c r="D89" s="9">
        <v>0.5</v>
      </c>
      <c r="E89" s="11">
        <v>15</v>
      </c>
      <c r="F89" s="11">
        <v>16.5</v>
      </c>
      <c r="G89" s="11">
        <v>19</v>
      </c>
    </row>
    <row r="90" spans="1:7" x14ac:dyDescent="0.3">
      <c r="A90" s="1">
        <v>45988.625004918984</v>
      </c>
      <c r="B90" s="5">
        <v>14.99</v>
      </c>
      <c r="C90" s="7">
        <f t="shared" si="1"/>
        <v>830.75584043039999</v>
      </c>
      <c r="D90" s="9">
        <v>1.1000000000000001</v>
      </c>
      <c r="E90" s="11">
        <v>15</v>
      </c>
      <c r="F90" s="11">
        <v>16.5</v>
      </c>
      <c r="G90" s="11">
        <v>19</v>
      </c>
    </row>
    <row r="91" spans="1:7" x14ac:dyDescent="0.3">
      <c r="A91" s="1">
        <v>45988.666671643521</v>
      </c>
      <c r="B91" s="5">
        <v>15.08</v>
      </c>
      <c r="C91" s="7">
        <f t="shared" si="1"/>
        <v>847.70989421640002</v>
      </c>
      <c r="D91" s="9">
        <v>4.2</v>
      </c>
      <c r="E91" s="11">
        <v>15</v>
      </c>
      <c r="F91" s="11">
        <v>16.5</v>
      </c>
      <c r="G91" s="11">
        <v>19</v>
      </c>
    </row>
    <row r="92" spans="1:7" x14ac:dyDescent="0.3">
      <c r="A92" s="1">
        <v>45988.708338368058</v>
      </c>
      <c r="B92" s="5">
        <v>15.15</v>
      </c>
      <c r="C92" s="7">
        <f t="shared" si="1"/>
        <v>861.00656721439987</v>
      </c>
      <c r="D92" s="9">
        <v>1</v>
      </c>
      <c r="E92" s="11">
        <v>15</v>
      </c>
      <c r="F92" s="11">
        <v>16.5</v>
      </c>
      <c r="G92" s="11">
        <v>19</v>
      </c>
    </row>
    <row r="93" spans="1:7" x14ac:dyDescent="0.3">
      <c r="A93" s="1">
        <v>45988.750005092596</v>
      </c>
      <c r="B93" s="5">
        <v>15.21</v>
      </c>
      <c r="C93" s="7">
        <f t="shared" si="1"/>
        <v>872.48045267840007</v>
      </c>
      <c r="D93" s="9">
        <v>5</v>
      </c>
      <c r="E93" s="11">
        <v>15</v>
      </c>
      <c r="F93" s="11">
        <v>16.5</v>
      </c>
      <c r="G93" s="11">
        <v>19</v>
      </c>
    </row>
    <row r="94" spans="1:7" x14ac:dyDescent="0.3">
      <c r="A94" s="1">
        <v>45988.791671817133</v>
      </c>
      <c r="B94" s="5">
        <v>15.28</v>
      </c>
      <c r="C94" s="7">
        <f t="shared" si="1"/>
        <v>885.95617909639975</v>
      </c>
      <c r="D94" s="9">
        <v>8</v>
      </c>
      <c r="E94" s="11">
        <v>15</v>
      </c>
      <c r="F94" s="11">
        <v>16.5</v>
      </c>
      <c r="G94" s="11">
        <v>19</v>
      </c>
    </row>
    <row r="95" spans="1:7" x14ac:dyDescent="0.3">
      <c r="A95" s="1">
        <v>45988.83333854167</v>
      </c>
      <c r="B95" s="5">
        <v>15.4</v>
      </c>
      <c r="C95" s="7">
        <f t="shared" si="1"/>
        <v>909.28173306439999</v>
      </c>
      <c r="D95" s="9">
        <v>7.5</v>
      </c>
      <c r="E95" s="11">
        <v>15</v>
      </c>
      <c r="F95" s="11">
        <v>16.5</v>
      </c>
      <c r="G95" s="11">
        <v>19</v>
      </c>
    </row>
    <row r="96" spans="1:7" x14ac:dyDescent="0.3">
      <c r="A96" s="1">
        <v>45988.875005266207</v>
      </c>
      <c r="B96" s="5">
        <v>15.57</v>
      </c>
      <c r="C96" s="7">
        <f t="shared" si="1"/>
        <v>942.81128618239995</v>
      </c>
      <c r="D96" s="9">
        <v>6.6</v>
      </c>
      <c r="E96" s="11">
        <v>15</v>
      </c>
      <c r="F96" s="11">
        <v>16.5</v>
      </c>
      <c r="G96" s="11">
        <v>19</v>
      </c>
    </row>
    <row r="97" spans="1:7" x14ac:dyDescent="0.3">
      <c r="A97" s="1">
        <v>45988.916671990744</v>
      </c>
      <c r="B97" s="5">
        <v>15.79</v>
      </c>
      <c r="C97" s="7">
        <f t="shared" si="1"/>
        <v>987.04658155039976</v>
      </c>
      <c r="D97" s="9">
        <v>9.3000000000000007</v>
      </c>
      <c r="E97" s="11">
        <v>15</v>
      </c>
      <c r="F97" s="11">
        <v>16.5</v>
      </c>
      <c r="G97" s="11">
        <v>19</v>
      </c>
    </row>
    <row r="98" spans="1:7" x14ac:dyDescent="0.3">
      <c r="A98" s="1">
        <v>45988.958338715274</v>
      </c>
      <c r="B98" s="5">
        <v>16.05</v>
      </c>
      <c r="C98" s="7">
        <f t="shared" si="1"/>
        <v>1040.5524527744001</v>
      </c>
      <c r="D98" s="9">
        <v>9.1999999999999993</v>
      </c>
      <c r="E98" s="11">
        <v>15</v>
      </c>
      <c r="F98" s="11">
        <v>16.5</v>
      </c>
      <c r="G98" s="11">
        <v>19</v>
      </c>
    </row>
    <row r="99" spans="1:7" x14ac:dyDescent="0.3">
      <c r="A99" s="1">
        <v>45989.000005439812</v>
      </c>
      <c r="B99" s="5">
        <v>16.350000000000001</v>
      </c>
      <c r="C99" s="7">
        <f t="shared" si="1"/>
        <v>1103.9427972944006</v>
      </c>
      <c r="D99" s="9">
        <v>17.5</v>
      </c>
      <c r="E99" s="11">
        <v>15</v>
      </c>
      <c r="F99" s="11">
        <v>16.5</v>
      </c>
      <c r="G99" s="11">
        <v>19</v>
      </c>
    </row>
    <row r="100" spans="1:7" x14ac:dyDescent="0.3">
      <c r="A100" s="1">
        <v>45989.041672164349</v>
      </c>
      <c r="B100" s="5">
        <v>16.66</v>
      </c>
      <c r="C100" s="7">
        <f t="shared" si="1"/>
        <v>1171.3065380084004</v>
      </c>
      <c r="D100" s="9">
        <v>16.5</v>
      </c>
      <c r="E100" s="11">
        <v>15</v>
      </c>
      <c r="F100" s="11">
        <v>16.5</v>
      </c>
      <c r="G100" s="11">
        <v>19</v>
      </c>
    </row>
    <row r="101" spans="1:7" x14ac:dyDescent="0.3">
      <c r="A101" s="1">
        <v>45989.083338888886</v>
      </c>
      <c r="B101" s="5">
        <v>16.98</v>
      </c>
      <c r="C101" s="7">
        <f t="shared" si="1"/>
        <v>1242.8266635764003</v>
      </c>
      <c r="D101" s="9">
        <v>10.5</v>
      </c>
      <c r="E101" s="11">
        <v>15</v>
      </c>
      <c r="F101" s="11">
        <v>16.5</v>
      </c>
      <c r="G101" s="11">
        <v>19</v>
      </c>
    </row>
    <row r="102" spans="1:7" x14ac:dyDescent="0.3">
      <c r="A102" s="1">
        <v>45989.125005613423</v>
      </c>
      <c r="B102" s="5">
        <v>17.3</v>
      </c>
      <c r="C102" s="7">
        <f t="shared" si="1"/>
        <v>1316.3616320244005</v>
      </c>
      <c r="D102" s="9">
        <v>7</v>
      </c>
      <c r="E102" s="11">
        <v>15</v>
      </c>
      <c r="F102" s="11">
        <v>16.5</v>
      </c>
      <c r="G102" s="11">
        <v>19</v>
      </c>
    </row>
    <row r="103" spans="1:7" x14ac:dyDescent="0.3">
      <c r="A103" s="1">
        <v>45989.16667233796</v>
      </c>
      <c r="B103" s="5">
        <v>17.600000000000001</v>
      </c>
      <c r="C103" s="7">
        <f t="shared" si="1"/>
        <v>1387.1305515444008</v>
      </c>
      <c r="D103" s="9">
        <v>11.5</v>
      </c>
      <c r="E103" s="11">
        <v>15</v>
      </c>
      <c r="F103" s="11">
        <v>16.5</v>
      </c>
      <c r="G103" s="11">
        <v>19</v>
      </c>
    </row>
    <row r="104" spans="1:7" x14ac:dyDescent="0.3">
      <c r="A104" s="1">
        <v>45989.208339062498</v>
      </c>
      <c r="B104" s="5">
        <v>17.940000000000001</v>
      </c>
      <c r="C104" s="7">
        <f t="shared" si="1"/>
        <v>1469.4760975604008</v>
      </c>
      <c r="D104" s="9">
        <v>16.2</v>
      </c>
      <c r="E104" s="11">
        <v>15</v>
      </c>
      <c r="F104" s="11">
        <v>16.5</v>
      </c>
      <c r="G104" s="11">
        <v>19</v>
      </c>
    </row>
    <row r="105" spans="1:7" x14ac:dyDescent="0.3">
      <c r="A105" s="1">
        <v>45989.250005787035</v>
      </c>
      <c r="B105" s="5">
        <v>18.25</v>
      </c>
      <c r="C105" s="7">
        <f t="shared" si="1"/>
        <v>1546.5382372544002</v>
      </c>
      <c r="D105" s="9">
        <v>16.5</v>
      </c>
      <c r="E105" s="11">
        <v>15</v>
      </c>
      <c r="F105" s="11">
        <v>16.5</v>
      </c>
      <c r="G105" s="11">
        <v>19</v>
      </c>
    </row>
    <row r="106" spans="1:7" x14ac:dyDescent="0.3">
      <c r="A106" s="1">
        <v>45989.291672511572</v>
      </c>
      <c r="B106" s="5">
        <v>18.57</v>
      </c>
      <c r="C106" s="7">
        <f t="shared" si="1"/>
        <v>1628.0696133824003</v>
      </c>
      <c r="D106" s="9">
        <v>14</v>
      </c>
      <c r="E106" s="11">
        <v>15</v>
      </c>
      <c r="F106" s="11">
        <v>16.5</v>
      </c>
      <c r="G106" s="11">
        <v>19</v>
      </c>
    </row>
    <row r="107" spans="1:7" x14ac:dyDescent="0.3">
      <c r="A107" s="1">
        <v>45989.333339236109</v>
      </c>
      <c r="B107" s="5">
        <v>18.920000000000002</v>
      </c>
      <c r="C107" s="7">
        <f t="shared" si="1"/>
        <v>1719.5515904724007</v>
      </c>
      <c r="D107" s="9">
        <v>2.9</v>
      </c>
      <c r="E107" s="11">
        <v>15</v>
      </c>
      <c r="F107" s="11">
        <v>16.5</v>
      </c>
      <c r="G107" s="11">
        <v>19</v>
      </c>
    </row>
    <row r="108" spans="1:7" x14ac:dyDescent="0.3">
      <c r="A108" s="1">
        <v>45989.375005960646</v>
      </c>
      <c r="B108" s="5">
        <v>19.27</v>
      </c>
      <c r="C108" s="7">
        <f t="shared" si="1"/>
        <v>1813.4439020624004</v>
      </c>
      <c r="D108" s="9">
        <v>32.4</v>
      </c>
      <c r="E108" s="11">
        <v>15</v>
      </c>
      <c r="F108" s="11">
        <v>16.5</v>
      </c>
      <c r="G108" s="11">
        <v>19</v>
      </c>
    </row>
    <row r="109" spans="1:7" x14ac:dyDescent="0.3">
      <c r="A109" s="1">
        <v>45989.416672685184</v>
      </c>
      <c r="B109" s="5">
        <v>19.61</v>
      </c>
      <c r="C109" s="7">
        <f t="shared" si="1"/>
        <v>1906.9615944384004</v>
      </c>
      <c r="D109" s="9">
        <v>17.3</v>
      </c>
      <c r="E109" s="11">
        <v>15</v>
      </c>
      <c r="F109" s="11">
        <v>16.5</v>
      </c>
      <c r="G109" s="11">
        <v>19</v>
      </c>
    </row>
    <row r="110" spans="1:7" x14ac:dyDescent="0.3">
      <c r="A110" s="1">
        <v>45989.458339409721</v>
      </c>
      <c r="B110" s="5">
        <v>19.899999999999999</v>
      </c>
      <c r="C110" s="7">
        <f t="shared" si="1"/>
        <v>1988.5241058644001</v>
      </c>
      <c r="D110" s="9">
        <v>8</v>
      </c>
      <c r="E110" s="11">
        <v>15</v>
      </c>
      <c r="F110" s="11">
        <v>16.5</v>
      </c>
      <c r="G110" s="11">
        <v>19</v>
      </c>
    </row>
    <row r="111" spans="1:7" x14ac:dyDescent="0.3">
      <c r="A111" s="1">
        <v>45989.500006134258</v>
      </c>
      <c r="B111" s="5">
        <v>20.170000000000002</v>
      </c>
      <c r="C111" s="7">
        <f t="shared" si="1"/>
        <v>2065.9491372224011</v>
      </c>
      <c r="D111" s="9">
        <v>11.3</v>
      </c>
      <c r="E111" s="11">
        <v>15</v>
      </c>
      <c r="F111" s="11">
        <v>16.5</v>
      </c>
      <c r="G111" s="11">
        <v>19</v>
      </c>
    </row>
    <row r="112" spans="1:7" x14ac:dyDescent="0.3">
      <c r="A112" s="1">
        <v>45989.541672858795</v>
      </c>
      <c r="B112" s="5">
        <v>20.45</v>
      </c>
      <c r="C112" s="7">
        <f t="shared" si="1"/>
        <v>2147.7568297344005</v>
      </c>
      <c r="D112" s="9">
        <v>15.8</v>
      </c>
      <c r="E112" s="11">
        <v>15</v>
      </c>
      <c r="F112" s="11">
        <v>16.5</v>
      </c>
      <c r="G112" s="11">
        <v>19</v>
      </c>
    </row>
    <row r="113" spans="1:7" x14ac:dyDescent="0.3">
      <c r="A113" s="1">
        <v>45989.583339583332</v>
      </c>
      <c r="B113" s="5">
        <v>20.7</v>
      </c>
      <c r="C113" s="7">
        <f t="shared" si="1"/>
        <v>2222.1029605844001</v>
      </c>
      <c r="D113" s="9">
        <v>4.5999999999999996</v>
      </c>
      <c r="E113" s="11">
        <v>15</v>
      </c>
      <c r="F113" s="11">
        <v>16.5</v>
      </c>
      <c r="G113" s="11">
        <v>19</v>
      </c>
    </row>
    <row r="114" spans="1:7" x14ac:dyDescent="0.3">
      <c r="A114" s="1">
        <v>45989.62500630787</v>
      </c>
      <c r="B114" s="5">
        <v>20.93</v>
      </c>
      <c r="C114" s="7">
        <f t="shared" si="1"/>
        <v>2291.5875272064004</v>
      </c>
      <c r="D114" s="9">
        <v>5.8</v>
      </c>
      <c r="E114" s="11">
        <v>15</v>
      </c>
      <c r="F114" s="11">
        <v>16.5</v>
      </c>
      <c r="G114" s="11">
        <v>19</v>
      </c>
    </row>
    <row r="115" spans="1:7" x14ac:dyDescent="0.3">
      <c r="A115" s="1">
        <v>45989.666673032407</v>
      </c>
      <c r="B115" s="5">
        <v>21.1</v>
      </c>
      <c r="C115" s="7">
        <f t="shared" si="1"/>
        <v>2343.6146759444009</v>
      </c>
      <c r="D115" s="9">
        <v>7.2</v>
      </c>
      <c r="E115" s="11">
        <v>15</v>
      </c>
      <c r="F115" s="11">
        <v>16.5</v>
      </c>
      <c r="G115" s="11">
        <v>19</v>
      </c>
    </row>
    <row r="116" spans="1:7" x14ac:dyDescent="0.3">
      <c r="A116" s="1">
        <v>45989.708339756944</v>
      </c>
      <c r="B116" s="5">
        <v>21.29</v>
      </c>
      <c r="C116" s="7">
        <f t="shared" si="1"/>
        <v>2402.4355917504004</v>
      </c>
      <c r="D116" s="9">
        <v>3.8</v>
      </c>
      <c r="E116" s="11">
        <v>15</v>
      </c>
      <c r="F116" s="11">
        <v>16.5</v>
      </c>
      <c r="G116" s="11">
        <v>19</v>
      </c>
    </row>
    <row r="117" spans="1:7" x14ac:dyDescent="0.3">
      <c r="A117" s="1">
        <v>45989.750006481481</v>
      </c>
      <c r="B117" s="5">
        <v>21.48</v>
      </c>
      <c r="C117" s="7">
        <f t="shared" si="1"/>
        <v>2461.9668183764006</v>
      </c>
      <c r="D117" s="9">
        <v>3.5</v>
      </c>
      <c r="E117" s="11">
        <v>15</v>
      </c>
      <c r="F117" s="11">
        <v>16.5</v>
      </c>
      <c r="G117" s="11">
        <v>19</v>
      </c>
    </row>
    <row r="118" spans="1:7" x14ac:dyDescent="0.3">
      <c r="A118" s="1">
        <v>45989.791673206018</v>
      </c>
      <c r="B118" s="5">
        <v>21.61</v>
      </c>
      <c r="C118" s="7">
        <f t="shared" si="1"/>
        <v>2503.1079752384003</v>
      </c>
      <c r="D118" s="9">
        <v>3.5</v>
      </c>
      <c r="E118" s="11">
        <v>15</v>
      </c>
      <c r="F118" s="11">
        <v>16.5</v>
      </c>
      <c r="G118" s="11">
        <v>19</v>
      </c>
    </row>
    <row r="119" spans="1:7" x14ac:dyDescent="0.3">
      <c r="A119" s="1">
        <v>45989.833339930556</v>
      </c>
      <c r="B119" s="5">
        <v>21.75</v>
      </c>
      <c r="C119" s="7">
        <f t="shared" si="1"/>
        <v>2547.7857166544004</v>
      </c>
      <c r="D119" s="9">
        <v>3.5</v>
      </c>
      <c r="E119" s="11">
        <v>15</v>
      </c>
      <c r="F119" s="11">
        <v>16.5</v>
      </c>
      <c r="G119" s="11">
        <v>19</v>
      </c>
    </row>
    <row r="120" spans="1:7" x14ac:dyDescent="0.3">
      <c r="A120" s="1">
        <v>45989.875006655093</v>
      </c>
      <c r="B120" s="5">
        <v>21.83</v>
      </c>
      <c r="C120" s="7">
        <f t="shared" si="1"/>
        <v>2573.4890051663997</v>
      </c>
      <c r="D120" s="9">
        <v>4.5</v>
      </c>
      <c r="E120" s="11">
        <v>15</v>
      </c>
      <c r="F120" s="11">
        <v>16.5</v>
      </c>
      <c r="G120" s="11">
        <v>19</v>
      </c>
    </row>
    <row r="121" spans="1:7" x14ac:dyDescent="0.3">
      <c r="A121" s="1">
        <v>45989.91667337963</v>
      </c>
      <c r="B121" s="8">
        <v>21.91</v>
      </c>
      <c r="C121" s="7">
        <f t="shared" si="1"/>
        <v>2599.3182213584005</v>
      </c>
      <c r="D121" s="9">
        <v>0.5</v>
      </c>
      <c r="E121" s="11">
        <v>15</v>
      </c>
      <c r="F121" s="11">
        <v>16.5</v>
      </c>
      <c r="G121" s="11">
        <v>19</v>
      </c>
    </row>
    <row r="122" spans="1:7" x14ac:dyDescent="0.3">
      <c r="A122" s="1">
        <v>45989.958340104167</v>
      </c>
      <c r="B122" s="5">
        <v>21.91</v>
      </c>
      <c r="C122" s="7">
        <f t="shared" si="1"/>
        <v>2599.3182213584005</v>
      </c>
      <c r="D122" s="9">
        <v>0.5</v>
      </c>
      <c r="E122" s="11">
        <v>15</v>
      </c>
      <c r="F122" s="11">
        <v>16.5</v>
      </c>
      <c r="G122" s="11">
        <v>19</v>
      </c>
    </row>
    <row r="123" spans="1:7" x14ac:dyDescent="0.3">
      <c r="A123" s="1">
        <v>45990.000006828704</v>
      </c>
      <c r="B123" s="5">
        <v>21.9</v>
      </c>
      <c r="C123" s="7">
        <f t="shared" si="1"/>
        <v>2596.0826826644002</v>
      </c>
      <c r="D123" s="9">
        <v>0</v>
      </c>
      <c r="E123" s="11">
        <v>15</v>
      </c>
      <c r="F123" s="11">
        <v>16.5</v>
      </c>
      <c r="G123" s="11">
        <v>19</v>
      </c>
    </row>
    <row r="124" spans="1:7" x14ac:dyDescent="0.3">
      <c r="A124" s="1">
        <v>45990.041673553242</v>
      </c>
      <c r="B124" s="5">
        <v>21.9</v>
      </c>
      <c r="C124" s="7">
        <f t="shared" si="1"/>
        <v>2596.0826826644002</v>
      </c>
      <c r="D124" s="9">
        <v>0</v>
      </c>
      <c r="E124" s="11">
        <v>15</v>
      </c>
      <c r="F124" s="11">
        <v>16.5</v>
      </c>
      <c r="G124" s="11">
        <v>19</v>
      </c>
    </row>
    <row r="125" spans="1:7" x14ac:dyDescent="0.3">
      <c r="A125" s="1">
        <v>45990.083340277779</v>
      </c>
      <c r="B125" s="5">
        <v>21.88</v>
      </c>
      <c r="C125" s="7">
        <f t="shared" si="1"/>
        <v>2589.6175081364004</v>
      </c>
      <c r="D125" s="9">
        <v>0</v>
      </c>
      <c r="E125" s="11">
        <v>15</v>
      </c>
      <c r="F125" s="11">
        <v>16.5</v>
      </c>
      <c r="G125" s="11">
        <v>19</v>
      </c>
    </row>
    <row r="126" spans="1:7" x14ac:dyDescent="0.3">
      <c r="A126" s="1">
        <v>45990.125007002316</v>
      </c>
      <c r="B126" s="5">
        <v>21.84</v>
      </c>
      <c r="C126" s="7">
        <f t="shared" si="1"/>
        <v>2576.7107705204007</v>
      </c>
      <c r="D126" s="9">
        <v>0</v>
      </c>
      <c r="E126" s="11">
        <v>15</v>
      </c>
      <c r="F126" s="11">
        <v>16.5</v>
      </c>
      <c r="G126" s="11">
        <v>19</v>
      </c>
    </row>
    <row r="127" spans="1:7" x14ac:dyDescent="0.3">
      <c r="A127" s="1">
        <v>45990.166673726853</v>
      </c>
      <c r="B127" s="5">
        <v>21.78</v>
      </c>
      <c r="C127" s="7">
        <f t="shared" si="1"/>
        <v>2557.4096926964012</v>
      </c>
      <c r="D127" s="9">
        <v>0</v>
      </c>
      <c r="E127" s="11">
        <v>15</v>
      </c>
      <c r="F127" s="11">
        <v>16.5</v>
      </c>
      <c r="G127" s="11">
        <v>19</v>
      </c>
    </row>
    <row r="128" spans="1:7" x14ac:dyDescent="0.3">
      <c r="A128" s="1">
        <v>45990.208340451391</v>
      </c>
      <c r="B128" s="5">
        <v>21.7</v>
      </c>
      <c r="C128" s="7">
        <f t="shared" si="1"/>
        <v>2531.7851089844003</v>
      </c>
      <c r="D128" s="9">
        <v>0</v>
      </c>
      <c r="E128" s="11">
        <v>15</v>
      </c>
      <c r="F128" s="11">
        <v>16.5</v>
      </c>
      <c r="G128" s="11">
        <v>19</v>
      </c>
    </row>
    <row r="129" spans="1:7" x14ac:dyDescent="0.3">
      <c r="A129" s="1">
        <v>45990.250007175928</v>
      </c>
      <c r="B129" s="5">
        <v>21.65</v>
      </c>
      <c r="C129" s="7">
        <f t="shared" si="1"/>
        <v>2515.8336918144</v>
      </c>
      <c r="D129" s="9">
        <v>1.8</v>
      </c>
      <c r="E129" s="11">
        <v>15</v>
      </c>
      <c r="F129" s="11">
        <v>16.5</v>
      </c>
      <c r="G129" s="11">
        <v>19</v>
      </c>
    </row>
    <row r="130" spans="1:7" x14ac:dyDescent="0.3">
      <c r="A130" s="1">
        <v>45990.291673900465</v>
      </c>
      <c r="B130" s="5">
        <v>21.53</v>
      </c>
      <c r="C130" s="7">
        <f t="shared" si="1"/>
        <v>2477.7509878464007</v>
      </c>
      <c r="D130" s="9">
        <v>0</v>
      </c>
      <c r="E130" s="11">
        <v>15</v>
      </c>
      <c r="F130" s="11">
        <v>16.5</v>
      </c>
      <c r="G130" s="11">
        <v>19</v>
      </c>
    </row>
    <row r="131" spans="1:7" x14ac:dyDescent="0.3">
      <c r="A131" s="1">
        <v>45990.333340625002</v>
      </c>
      <c r="B131" s="5">
        <v>21.47</v>
      </c>
      <c r="C131" s="7">
        <f t="shared" si="1"/>
        <v>2458.8158873423999</v>
      </c>
      <c r="D131" s="9">
        <v>0</v>
      </c>
      <c r="E131" s="11">
        <v>15</v>
      </c>
      <c r="F131" s="11">
        <v>16.5</v>
      </c>
      <c r="G131" s="11">
        <v>19</v>
      </c>
    </row>
    <row r="132" spans="1:7" x14ac:dyDescent="0.3">
      <c r="A132" s="1">
        <v>45990.375007349539</v>
      </c>
      <c r="B132" s="5">
        <v>21.39</v>
      </c>
      <c r="C132" s="7">
        <f t="shared" si="1"/>
        <v>2433.6792733904003</v>
      </c>
      <c r="D132" s="9">
        <v>0</v>
      </c>
      <c r="E132" s="11">
        <v>15</v>
      </c>
      <c r="F132" s="11">
        <v>16.5</v>
      </c>
      <c r="G132" s="11">
        <v>19</v>
      </c>
    </row>
    <row r="133" spans="1:7" x14ac:dyDescent="0.3">
      <c r="A133" s="1">
        <v>45990.416674074077</v>
      </c>
      <c r="B133" s="5">
        <v>21.3</v>
      </c>
      <c r="C133" s="7">
        <f t="shared" ref="C133:C196" si="2">IF(B133="","",IF((B133-0.118)&gt;14,9.8381*((B133-0.118)-7.5)^2+42.44*((B133-0.118)-7.5)-16.777,35.535*((B133-0.118)-7.5)^1.5414))</f>
        <v>2405.5511056244004</v>
      </c>
      <c r="D133" s="9">
        <v>0</v>
      </c>
      <c r="E133" s="11">
        <v>15</v>
      </c>
      <c r="F133" s="11">
        <v>16.5</v>
      </c>
      <c r="G133" s="11">
        <v>19</v>
      </c>
    </row>
    <row r="134" spans="1:7" x14ac:dyDescent="0.3">
      <c r="A134" s="1">
        <v>45990.458340798614</v>
      </c>
      <c r="B134" s="5">
        <v>21.19</v>
      </c>
      <c r="C134" s="7">
        <f t="shared" si="2"/>
        <v>2371.3886721104009</v>
      </c>
      <c r="D134" s="9">
        <v>0</v>
      </c>
      <c r="E134" s="11">
        <v>15</v>
      </c>
      <c r="F134" s="11">
        <v>16.5</v>
      </c>
      <c r="G134" s="11">
        <v>19</v>
      </c>
    </row>
    <row r="135" spans="1:7" x14ac:dyDescent="0.3">
      <c r="A135" s="1">
        <v>45990.500007523151</v>
      </c>
      <c r="B135" s="5">
        <v>21.08</v>
      </c>
      <c r="C135" s="7">
        <f t="shared" si="2"/>
        <v>2337.4643206164001</v>
      </c>
      <c r="D135" s="9">
        <v>0</v>
      </c>
      <c r="E135" s="11">
        <v>15</v>
      </c>
      <c r="F135" s="11">
        <v>16.5</v>
      </c>
      <c r="G135" s="11">
        <v>19</v>
      </c>
    </row>
    <row r="136" spans="1:7" x14ac:dyDescent="0.3">
      <c r="A136" s="1">
        <v>45990.541674247688</v>
      </c>
      <c r="B136" s="5">
        <v>20.96</v>
      </c>
      <c r="C136" s="7">
        <f t="shared" si="2"/>
        <v>2300.7274687284007</v>
      </c>
      <c r="D136" s="9">
        <v>0</v>
      </c>
      <c r="E136" s="11">
        <v>15</v>
      </c>
      <c r="F136" s="11">
        <v>16.5</v>
      </c>
      <c r="G136" s="11">
        <v>19</v>
      </c>
    </row>
    <row r="137" spans="1:7" x14ac:dyDescent="0.3">
      <c r="A137" s="1">
        <v>45990.583340972225</v>
      </c>
      <c r="B137" s="5">
        <v>20.86</v>
      </c>
      <c r="C137" s="7">
        <f t="shared" si="2"/>
        <v>2270.3298636884001</v>
      </c>
      <c r="D137" s="9">
        <v>0</v>
      </c>
      <c r="E137" s="11">
        <v>15</v>
      </c>
      <c r="F137" s="11">
        <v>16.5</v>
      </c>
      <c r="G137" s="11">
        <v>19</v>
      </c>
    </row>
    <row r="138" spans="1:7" x14ac:dyDescent="0.3">
      <c r="A138" s="1">
        <v>45990.625007696763</v>
      </c>
      <c r="B138" s="5">
        <v>20.75</v>
      </c>
      <c r="C138" s="7">
        <f t="shared" si="2"/>
        <v>2237.1197582544005</v>
      </c>
      <c r="D138" s="9">
        <v>0</v>
      </c>
      <c r="E138" s="11">
        <v>15</v>
      </c>
      <c r="F138" s="11">
        <v>16.5</v>
      </c>
      <c r="G138" s="11">
        <v>19</v>
      </c>
    </row>
    <row r="139" spans="1:7" x14ac:dyDescent="0.3">
      <c r="A139" s="1">
        <v>45990.6666744213</v>
      </c>
      <c r="B139" s="5">
        <v>20.62</v>
      </c>
      <c r="C139" s="7">
        <f t="shared" si="2"/>
        <v>2198.1784005524009</v>
      </c>
      <c r="D139" s="9">
        <v>0</v>
      </c>
      <c r="E139" s="11">
        <v>15</v>
      </c>
      <c r="F139" s="11">
        <v>16.5</v>
      </c>
      <c r="G139" s="11">
        <v>19</v>
      </c>
    </row>
    <row r="140" spans="1:7" x14ac:dyDescent="0.3">
      <c r="A140" s="1">
        <v>45990.70834114583</v>
      </c>
      <c r="B140" s="5">
        <v>20.46</v>
      </c>
      <c r="C140" s="7">
        <f t="shared" si="2"/>
        <v>2150.7070635284008</v>
      </c>
      <c r="D140" s="9">
        <v>0</v>
      </c>
      <c r="E140" s="11">
        <v>15</v>
      </c>
      <c r="F140" s="11">
        <v>16.5</v>
      </c>
      <c r="G140" s="11">
        <v>19</v>
      </c>
    </row>
    <row r="141" spans="1:7" x14ac:dyDescent="0.3">
      <c r="A141" s="1">
        <v>45990.750007870367</v>
      </c>
      <c r="B141" s="5">
        <v>20.350000000000001</v>
      </c>
      <c r="C141" s="7">
        <f t="shared" si="2"/>
        <v>2118.3627108944006</v>
      </c>
      <c r="D141" s="9">
        <v>0</v>
      </c>
      <c r="E141" s="11">
        <v>15</v>
      </c>
      <c r="F141" s="11">
        <v>16.5</v>
      </c>
      <c r="G141" s="11">
        <v>19</v>
      </c>
    </row>
    <row r="142" spans="1:7" x14ac:dyDescent="0.3">
      <c r="A142" s="1">
        <v>45990.791674594904</v>
      </c>
      <c r="B142" s="5">
        <v>20.2</v>
      </c>
      <c r="C142" s="7">
        <f t="shared" si="2"/>
        <v>2074.6404613844006</v>
      </c>
      <c r="D142" s="9">
        <v>0</v>
      </c>
      <c r="E142" s="11">
        <v>15</v>
      </c>
      <c r="F142" s="11">
        <v>16.5</v>
      </c>
      <c r="G142" s="11">
        <v>19</v>
      </c>
    </row>
    <row r="143" spans="1:7" x14ac:dyDescent="0.3">
      <c r="A143" s="1">
        <v>45990.833341319441</v>
      </c>
      <c r="B143" s="5">
        <v>20.059999999999999</v>
      </c>
      <c r="C143" s="7">
        <f t="shared" si="2"/>
        <v>2034.2324553684002</v>
      </c>
      <c r="D143" s="9">
        <v>0</v>
      </c>
      <c r="E143" s="11">
        <v>15</v>
      </c>
      <c r="F143" s="11">
        <v>16.5</v>
      </c>
      <c r="G143" s="11">
        <v>19</v>
      </c>
    </row>
    <row r="144" spans="1:7" x14ac:dyDescent="0.3">
      <c r="A144" s="1">
        <v>45990.875008043979</v>
      </c>
      <c r="B144" s="5">
        <v>19.91</v>
      </c>
      <c r="C144" s="7">
        <f t="shared" si="2"/>
        <v>1991.3661205584003</v>
      </c>
      <c r="D144" s="9">
        <v>0</v>
      </c>
      <c r="E144" s="11">
        <v>15</v>
      </c>
      <c r="F144" s="11">
        <v>16.5</v>
      </c>
      <c r="G144" s="11">
        <v>19</v>
      </c>
    </row>
    <row r="145" spans="1:7" x14ac:dyDescent="0.3">
      <c r="A145" s="1">
        <v>45990.916674768516</v>
      </c>
      <c r="B145" s="5">
        <v>19.8</v>
      </c>
      <c r="C145" s="7">
        <f t="shared" si="2"/>
        <v>1960.2121780244006</v>
      </c>
      <c r="D145" s="9">
        <v>0</v>
      </c>
      <c r="E145" s="11">
        <v>15</v>
      </c>
      <c r="F145" s="11">
        <v>16.5</v>
      </c>
      <c r="G145" s="11">
        <v>19</v>
      </c>
    </row>
    <row r="146" spans="1:7" x14ac:dyDescent="0.3">
      <c r="A146" s="1">
        <v>45990.958341493053</v>
      </c>
      <c r="B146" s="5">
        <v>19.670000000000002</v>
      </c>
      <c r="C146" s="7">
        <f t="shared" si="2"/>
        <v>1923.700831022401</v>
      </c>
      <c r="D146" s="9">
        <v>0</v>
      </c>
      <c r="E146" s="11">
        <v>15</v>
      </c>
      <c r="F146" s="11">
        <v>16.5</v>
      </c>
      <c r="G146" s="11">
        <v>19</v>
      </c>
    </row>
    <row r="147" spans="1:7" x14ac:dyDescent="0.3">
      <c r="A147" s="1">
        <v>45991.00000821759</v>
      </c>
      <c r="B147" s="5">
        <v>19.5</v>
      </c>
      <c r="C147" s="7">
        <f t="shared" si="2"/>
        <v>1876.4569665044005</v>
      </c>
      <c r="D147" s="9">
        <v>0</v>
      </c>
      <c r="E147" s="11">
        <v>15</v>
      </c>
      <c r="F147" s="11">
        <v>16.5</v>
      </c>
      <c r="G147" s="11">
        <v>19</v>
      </c>
    </row>
    <row r="148" spans="1:7" x14ac:dyDescent="0.3">
      <c r="A148" s="1">
        <v>45991.041674942127</v>
      </c>
      <c r="B148" s="5">
        <v>19.350000000000001</v>
      </c>
      <c r="C148" s="7">
        <f t="shared" si="2"/>
        <v>1835.2434324944006</v>
      </c>
      <c r="D148" s="9">
        <v>0</v>
      </c>
      <c r="E148" s="11">
        <v>15</v>
      </c>
      <c r="F148" s="11">
        <v>16.5</v>
      </c>
      <c r="G148" s="11">
        <v>19</v>
      </c>
    </row>
    <row r="149" spans="1:7" x14ac:dyDescent="0.3">
      <c r="A149" s="1">
        <v>45991.083341666665</v>
      </c>
      <c r="B149" s="5">
        <v>19.18</v>
      </c>
      <c r="C149" s="7">
        <f t="shared" si="2"/>
        <v>1789.0699532564004</v>
      </c>
      <c r="D149" s="9">
        <v>0</v>
      </c>
      <c r="E149" s="11">
        <v>15</v>
      </c>
      <c r="F149" s="11">
        <v>16.5</v>
      </c>
      <c r="G149" s="11">
        <v>19</v>
      </c>
    </row>
    <row r="150" spans="1:7" x14ac:dyDescent="0.3">
      <c r="A150" s="1">
        <v>45991.125008391202</v>
      </c>
      <c r="B150" s="5">
        <v>19.02</v>
      </c>
      <c r="C150" s="7">
        <f t="shared" si="2"/>
        <v>1746.1320127124004</v>
      </c>
      <c r="D150" s="9">
        <v>0</v>
      </c>
      <c r="E150" s="11">
        <v>15</v>
      </c>
      <c r="F150" s="11">
        <v>16.5</v>
      </c>
      <c r="G150" s="11">
        <v>19</v>
      </c>
    </row>
    <row r="151" spans="1:7" x14ac:dyDescent="0.3">
      <c r="A151" s="1">
        <v>45991.166675115739</v>
      </c>
      <c r="B151" s="5">
        <v>18.850000000000001</v>
      </c>
      <c r="C151" s="7">
        <f t="shared" si="2"/>
        <v>1701.0623682944008</v>
      </c>
      <c r="D151" s="9">
        <v>0</v>
      </c>
      <c r="E151" s="11">
        <v>15</v>
      </c>
      <c r="F151" s="11">
        <v>16.5</v>
      </c>
      <c r="G151" s="11">
        <v>19</v>
      </c>
    </row>
    <row r="152" spans="1:7" x14ac:dyDescent="0.3">
      <c r="A152" s="1">
        <v>45991.208341840276</v>
      </c>
      <c r="B152" s="5">
        <v>18.7</v>
      </c>
      <c r="C152" s="7">
        <f t="shared" si="2"/>
        <v>1661.7672637844003</v>
      </c>
      <c r="D152" s="9">
        <v>0</v>
      </c>
      <c r="E152" s="11">
        <v>15</v>
      </c>
      <c r="F152" s="11">
        <v>16.5</v>
      </c>
      <c r="G152" s="11">
        <v>19</v>
      </c>
    </row>
    <row r="153" spans="1:7" x14ac:dyDescent="0.3">
      <c r="A153" s="1">
        <v>45991.250008564813</v>
      </c>
      <c r="B153" s="5">
        <v>18.55</v>
      </c>
      <c r="C153" s="7">
        <f t="shared" si="2"/>
        <v>1622.9148737744003</v>
      </c>
      <c r="D153" s="9">
        <v>0</v>
      </c>
      <c r="E153" s="11">
        <v>15</v>
      </c>
      <c r="F153" s="11">
        <v>16.5</v>
      </c>
      <c r="G153" s="11">
        <v>19</v>
      </c>
    </row>
    <row r="154" spans="1:7" x14ac:dyDescent="0.3">
      <c r="A154" s="1">
        <v>45991.291675289351</v>
      </c>
      <c r="B154" s="5">
        <v>18.36</v>
      </c>
      <c r="C154" s="7">
        <f t="shared" si="2"/>
        <v>1574.3373876884002</v>
      </c>
      <c r="D154" s="9">
        <v>0</v>
      </c>
      <c r="E154" s="11">
        <v>15</v>
      </c>
      <c r="F154" s="11">
        <v>16.5</v>
      </c>
      <c r="G154" s="11">
        <v>19</v>
      </c>
    </row>
    <row r="155" spans="1:7" x14ac:dyDescent="0.3">
      <c r="A155" s="1">
        <v>45991.333342013888</v>
      </c>
      <c r="B155" s="5">
        <v>18.18</v>
      </c>
      <c r="C155" s="7">
        <f t="shared" si="2"/>
        <v>1528.9718288564002</v>
      </c>
      <c r="D155" s="9">
        <v>0</v>
      </c>
      <c r="E155" s="11">
        <v>15</v>
      </c>
      <c r="F155" s="11">
        <v>16.5</v>
      </c>
      <c r="G155" s="11">
        <v>19</v>
      </c>
    </row>
    <row r="156" spans="1:7" x14ac:dyDescent="0.3">
      <c r="A156" s="1">
        <v>45991.375008738425</v>
      </c>
      <c r="B156" s="5">
        <v>18.010000000000002</v>
      </c>
      <c r="C156" s="7">
        <f t="shared" si="2"/>
        <v>1486.7119457984008</v>
      </c>
      <c r="D156" s="9">
        <v>0</v>
      </c>
      <c r="E156" s="11">
        <v>15</v>
      </c>
      <c r="F156" s="11">
        <v>16.5</v>
      </c>
      <c r="G156" s="11">
        <v>19</v>
      </c>
    </row>
    <row r="157" spans="1:7" x14ac:dyDescent="0.3">
      <c r="A157" s="1">
        <v>45991.416675462962</v>
      </c>
      <c r="B157" s="5">
        <v>17.82</v>
      </c>
      <c r="C157" s="7">
        <f t="shared" si="2"/>
        <v>1440.1532378324005</v>
      </c>
      <c r="D157" s="9">
        <v>0</v>
      </c>
      <c r="E157" s="11">
        <v>15</v>
      </c>
      <c r="F157" s="11">
        <v>16.5</v>
      </c>
      <c r="G157" s="11">
        <v>19</v>
      </c>
    </row>
    <row r="158" spans="1:7" x14ac:dyDescent="0.3">
      <c r="A158" s="1">
        <v>45991.4583421875</v>
      </c>
      <c r="B158" s="5">
        <v>17.66</v>
      </c>
      <c r="C158" s="7">
        <f t="shared" si="2"/>
        <v>1401.4968384084004</v>
      </c>
      <c r="D158" s="9">
        <v>0</v>
      </c>
      <c r="E158" s="11">
        <v>15</v>
      </c>
      <c r="F158" s="11">
        <v>16.5</v>
      </c>
      <c r="G158" s="11">
        <v>19</v>
      </c>
    </row>
    <row r="159" spans="1:7" x14ac:dyDescent="0.3">
      <c r="A159" s="1">
        <v>45991.500008912037</v>
      </c>
      <c r="B159" s="5">
        <v>17.47</v>
      </c>
      <c r="C159" s="7">
        <f t="shared" si="2"/>
        <v>1356.2465977424001</v>
      </c>
      <c r="D159" s="9">
        <v>0</v>
      </c>
      <c r="E159" s="11">
        <v>15</v>
      </c>
      <c r="F159" s="11">
        <v>16.5</v>
      </c>
      <c r="G159" s="11">
        <v>19</v>
      </c>
    </row>
    <row r="160" spans="1:7" x14ac:dyDescent="0.3">
      <c r="A160" s="1">
        <v>45991.541675636574</v>
      </c>
      <c r="B160" s="5">
        <v>17.29</v>
      </c>
      <c r="C160" s="7">
        <f t="shared" si="2"/>
        <v>1314.0331661504001</v>
      </c>
      <c r="D160" s="9">
        <v>0</v>
      </c>
      <c r="E160" s="11">
        <v>15</v>
      </c>
      <c r="F160" s="11">
        <v>16.5</v>
      </c>
      <c r="G160" s="11">
        <v>19</v>
      </c>
    </row>
    <row r="161" spans="1:7" x14ac:dyDescent="0.3">
      <c r="A161" s="1">
        <v>45991.583342361111</v>
      </c>
      <c r="B161" s="5">
        <v>17.09</v>
      </c>
      <c r="C161" s="7">
        <f t="shared" si="2"/>
        <v>1267.8770488704004</v>
      </c>
      <c r="D161" s="9">
        <v>0</v>
      </c>
      <c r="E161" s="11">
        <v>15</v>
      </c>
      <c r="F161" s="11">
        <v>16.5</v>
      </c>
      <c r="G161" s="11">
        <v>19</v>
      </c>
    </row>
    <row r="162" spans="1:7" x14ac:dyDescent="0.3">
      <c r="A162" s="1">
        <v>45991.625009085648</v>
      </c>
      <c r="B162" s="5">
        <v>16.899999999999999</v>
      </c>
      <c r="C162" s="7">
        <f t="shared" si="2"/>
        <v>1224.7577406644</v>
      </c>
      <c r="D162" s="9">
        <v>0</v>
      </c>
      <c r="E162" s="11">
        <v>15</v>
      </c>
      <c r="F162" s="11">
        <v>16.5</v>
      </c>
      <c r="G162" s="11">
        <v>19</v>
      </c>
    </row>
    <row r="163" spans="1:7" x14ac:dyDescent="0.3">
      <c r="A163" s="1">
        <v>45991.666675810186</v>
      </c>
      <c r="B163" s="5">
        <v>16.68</v>
      </c>
      <c r="C163" s="7">
        <f t="shared" si="2"/>
        <v>1175.7175172564002</v>
      </c>
      <c r="D163" s="9">
        <v>0</v>
      </c>
      <c r="E163" s="11">
        <v>15</v>
      </c>
      <c r="F163" s="11">
        <v>16.5</v>
      </c>
      <c r="G163" s="11">
        <v>19</v>
      </c>
    </row>
    <row r="164" spans="1:7" x14ac:dyDescent="0.3">
      <c r="A164" s="1">
        <v>45991.708342534723</v>
      </c>
      <c r="B164" s="5">
        <v>16.48</v>
      </c>
      <c r="C164" s="7">
        <f t="shared" si="2"/>
        <v>1131.9618963764003</v>
      </c>
      <c r="D164" s="9">
        <v>0</v>
      </c>
      <c r="E164" s="11">
        <v>15</v>
      </c>
      <c r="F164" s="11">
        <v>16.5</v>
      </c>
      <c r="G164" s="11">
        <v>19</v>
      </c>
    </row>
    <row r="165" spans="1:7" x14ac:dyDescent="0.3">
      <c r="A165" s="1">
        <v>45991.75000925926</v>
      </c>
      <c r="B165" s="5">
        <v>16.25</v>
      </c>
      <c r="C165" s="7">
        <f t="shared" si="2"/>
        <v>1082.6159204544003</v>
      </c>
      <c r="D165" s="9">
        <v>0</v>
      </c>
      <c r="E165" s="11">
        <v>15</v>
      </c>
      <c r="F165" s="11">
        <v>16.5</v>
      </c>
      <c r="G165" s="11">
        <v>19</v>
      </c>
    </row>
    <row r="166" spans="1:7" x14ac:dyDescent="0.3">
      <c r="A166" s="1">
        <v>45991.791675983797</v>
      </c>
      <c r="B166" s="5">
        <v>16.05</v>
      </c>
      <c r="C166" s="7">
        <f t="shared" si="2"/>
        <v>1040.5524527744001</v>
      </c>
      <c r="D166" s="9">
        <v>0</v>
      </c>
      <c r="E166" s="11">
        <v>15</v>
      </c>
      <c r="F166" s="11">
        <v>16.5</v>
      </c>
      <c r="G166" s="11">
        <v>19</v>
      </c>
    </row>
    <row r="167" spans="1:7" x14ac:dyDescent="0.3">
      <c r="A167" s="1">
        <v>45991.833342708334</v>
      </c>
      <c r="B167" s="5">
        <v>15.8</v>
      </c>
      <c r="C167" s="7">
        <f t="shared" si="2"/>
        <v>989.07990442440018</v>
      </c>
      <c r="D167" s="9">
        <v>0</v>
      </c>
      <c r="E167" s="11">
        <v>15</v>
      </c>
      <c r="F167" s="11">
        <v>16.5</v>
      </c>
      <c r="G167" s="11">
        <v>19</v>
      </c>
    </row>
    <row r="168" spans="1:7" x14ac:dyDescent="0.3">
      <c r="A168" s="1">
        <v>45991.875009432872</v>
      </c>
      <c r="B168" s="5">
        <v>15.56</v>
      </c>
      <c r="C168" s="7">
        <f t="shared" si="2"/>
        <v>940.82321856840008</v>
      </c>
      <c r="D168" s="9">
        <v>0</v>
      </c>
      <c r="E168" s="11">
        <v>15</v>
      </c>
      <c r="F168" s="11">
        <v>16.5</v>
      </c>
      <c r="G168" s="11">
        <v>19</v>
      </c>
    </row>
    <row r="169" spans="1:7" x14ac:dyDescent="0.3">
      <c r="A169" s="1">
        <v>45991.916676157409</v>
      </c>
      <c r="B169" s="5">
        <v>15.35</v>
      </c>
      <c r="C169" s="7">
        <f t="shared" si="2"/>
        <v>899.52831889439972</v>
      </c>
      <c r="D169" s="9">
        <v>0</v>
      </c>
      <c r="E169" s="11">
        <v>15</v>
      </c>
      <c r="F169" s="11">
        <v>16.5</v>
      </c>
      <c r="G169" s="11">
        <v>19</v>
      </c>
    </row>
    <row r="170" spans="1:7" x14ac:dyDescent="0.3">
      <c r="A170" s="1">
        <v>45991.958342881946</v>
      </c>
      <c r="B170" s="5">
        <v>15.11</v>
      </c>
      <c r="C170" s="7">
        <f t="shared" si="2"/>
        <v>853.39666263839979</v>
      </c>
      <c r="D170" s="9">
        <v>0</v>
      </c>
      <c r="E170" s="11">
        <v>15</v>
      </c>
      <c r="F170" s="11">
        <v>16.5</v>
      </c>
      <c r="G170" s="11">
        <v>19</v>
      </c>
    </row>
    <row r="171" spans="1:7" x14ac:dyDescent="0.3">
      <c r="A171" s="1">
        <v>45992.000009606483</v>
      </c>
      <c r="B171" s="5">
        <v>14.9</v>
      </c>
      <c r="C171" s="7">
        <f t="shared" si="2"/>
        <v>813.96116386439985</v>
      </c>
      <c r="D171" s="9">
        <v>0</v>
      </c>
      <c r="E171" s="11">
        <v>15</v>
      </c>
      <c r="F171" s="11">
        <v>16.5</v>
      </c>
      <c r="G171" s="11">
        <v>19</v>
      </c>
    </row>
    <row r="172" spans="1:7" x14ac:dyDescent="0.3">
      <c r="A172" s="1">
        <v>45992.04167633102</v>
      </c>
      <c r="B172" s="5">
        <v>14.68</v>
      </c>
      <c r="C172" s="7">
        <f t="shared" si="2"/>
        <v>773.57846845639983</v>
      </c>
      <c r="D172" s="9">
        <v>0</v>
      </c>
      <c r="E172" s="11">
        <v>15</v>
      </c>
      <c r="F172" s="11">
        <v>16.5</v>
      </c>
      <c r="G172" s="11">
        <v>19</v>
      </c>
    </row>
    <row r="173" spans="1:7" x14ac:dyDescent="0.3">
      <c r="A173" s="1">
        <v>45992.083343055558</v>
      </c>
      <c r="B173" s="5">
        <v>14.46</v>
      </c>
      <c r="C173" s="7">
        <f t="shared" si="2"/>
        <v>734.14810112840007</v>
      </c>
      <c r="D173" s="9">
        <v>0</v>
      </c>
      <c r="E173" s="11">
        <v>15</v>
      </c>
      <c r="F173" s="11">
        <v>16.5</v>
      </c>
      <c r="G173" s="11">
        <v>19</v>
      </c>
    </row>
    <row r="174" spans="1:7" x14ac:dyDescent="0.3">
      <c r="A174" s="1">
        <v>45992.125009780095</v>
      </c>
      <c r="B174" s="5">
        <v>14.21</v>
      </c>
      <c r="C174" s="7">
        <f t="shared" si="2"/>
        <v>690.49684227839998</v>
      </c>
      <c r="D174" s="9">
        <v>0</v>
      </c>
      <c r="E174" s="11">
        <v>15</v>
      </c>
      <c r="F174" s="11">
        <v>16.5</v>
      </c>
      <c r="G174" s="11">
        <v>19</v>
      </c>
    </row>
    <row r="175" spans="1:7" x14ac:dyDescent="0.3">
      <c r="A175" s="1">
        <v>45992.166676504632</v>
      </c>
      <c r="B175" s="5">
        <v>13.98</v>
      </c>
      <c r="C175" s="7">
        <f t="shared" si="2"/>
        <v>615.62407409248988</v>
      </c>
      <c r="D175" s="9">
        <v>0</v>
      </c>
      <c r="E175" s="11">
        <v>15</v>
      </c>
      <c r="F175" s="11">
        <v>16.5</v>
      </c>
      <c r="G175" s="11">
        <v>19</v>
      </c>
    </row>
    <row r="176" spans="1:7" x14ac:dyDescent="0.3">
      <c r="A176" s="1">
        <v>45992.208343229169</v>
      </c>
      <c r="B176" s="5">
        <v>13.75</v>
      </c>
      <c r="C176" s="7">
        <f t="shared" si="2"/>
        <v>581.65607438660413</v>
      </c>
      <c r="D176" s="9">
        <v>0</v>
      </c>
      <c r="E176" s="11">
        <v>15</v>
      </c>
      <c r="F176" s="11">
        <v>16.5</v>
      </c>
      <c r="G176" s="11">
        <v>19</v>
      </c>
    </row>
    <row r="177" spans="1:7" x14ac:dyDescent="0.3">
      <c r="A177" s="1">
        <v>45992.250009953706</v>
      </c>
      <c r="B177" s="5">
        <v>13.58</v>
      </c>
      <c r="C177" s="7">
        <f t="shared" si="2"/>
        <v>556.98757204216622</v>
      </c>
      <c r="D177" s="9">
        <v>0</v>
      </c>
      <c r="E177" s="11">
        <v>15</v>
      </c>
      <c r="F177" s="11">
        <v>16.5</v>
      </c>
      <c r="G177" s="11">
        <v>19</v>
      </c>
    </row>
    <row r="178" spans="1:7" x14ac:dyDescent="0.3">
      <c r="A178" s="1">
        <v>45992.291676678244</v>
      </c>
      <c r="B178" s="5">
        <v>13.38</v>
      </c>
      <c r="C178" s="7">
        <f t="shared" si="2"/>
        <v>528.45003792940952</v>
      </c>
      <c r="D178" s="9">
        <v>0</v>
      </c>
      <c r="E178" s="11">
        <v>15</v>
      </c>
      <c r="F178" s="11">
        <v>16.5</v>
      </c>
      <c r="G178" s="11">
        <v>19</v>
      </c>
    </row>
    <row r="179" spans="1:7" x14ac:dyDescent="0.3">
      <c r="A179" s="1">
        <v>45992.333343402781</v>
      </c>
      <c r="B179" s="5">
        <v>13.2</v>
      </c>
      <c r="C179" s="7">
        <f t="shared" si="2"/>
        <v>503.22031708878615</v>
      </c>
      <c r="D179" s="9">
        <v>0</v>
      </c>
      <c r="E179" s="11">
        <v>15</v>
      </c>
      <c r="F179" s="11">
        <v>16.5</v>
      </c>
      <c r="G179" s="11">
        <v>19</v>
      </c>
    </row>
    <row r="180" spans="1:7" x14ac:dyDescent="0.3">
      <c r="A180" s="1">
        <v>45992.375010127318</v>
      </c>
      <c r="B180" s="5">
        <v>13.05</v>
      </c>
      <c r="C180" s="7">
        <f t="shared" si="2"/>
        <v>482.5288624890174</v>
      </c>
      <c r="D180" s="9">
        <v>0</v>
      </c>
      <c r="E180" s="11">
        <v>15</v>
      </c>
      <c r="F180" s="11">
        <v>16.5</v>
      </c>
      <c r="G180" s="11">
        <v>19</v>
      </c>
    </row>
    <row r="181" spans="1:7" x14ac:dyDescent="0.3">
      <c r="A181" s="1">
        <v>45992.416676851855</v>
      </c>
      <c r="B181" s="5">
        <v>12.89</v>
      </c>
      <c r="C181" s="7">
        <f t="shared" si="2"/>
        <v>460.79653401440078</v>
      </c>
      <c r="D181" s="9">
        <v>0</v>
      </c>
      <c r="E181" s="11">
        <v>15</v>
      </c>
      <c r="F181" s="11">
        <v>16.5</v>
      </c>
      <c r="G181" s="11">
        <v>19</v>
      </c>
    </row>
    <row r="182" spans="1:7" x14ac:dyDescent="0.3">
      <c r="A182" s="1">
        <v>45992.458343576393</v>
      </c>
      <c r="B182" s="5">
        <v>12.79</v>
      </c>
      <c r="C182" s="7">
        <f t="shared" si="2"/>
        <v>447.39338312323832</v>
      </c>
      <c r="D182" s="9">
        <v>0</v>
      </c>
      <c r="E182" s="11">
        <v>15</v>
      </c>
      <c r="F182" s="11">
        <v>16.5</v>
      </c>
      <c r="G182" s="11">
        <v>19</v>
      </c>
    </row>
    <row r="183" spans="1:7" x14ac:dyDescent="0.3">
      <c r="A183" s="1">
        <v>45992.500010300922</v>
      </c>
      <c r="B183" s="5">
        <v>12.71</v>
      </c>
      <c r="C183" s="7">
        <f t="shared" si="2"/>
        <v>436.77129840952568</v>
      </c>
      <c r="D183" s="9">
        <v>0</v>
      </c>
      <c r="E183" s="11">
        <v>15</v>
      </c>
      <c r="F183" s="11">
        <v>16.5</v>
      </c>
      <c r="G183" s="11">
        <v>19</v>
      </c>
    </row>
    <row r="184" spans="1:7" x14ac:dyDescent="0.3">
      <c r="A184" s="1">
        <v>45992.54167702546</v>
      </c>
      <c r="B184" s="5">
        <v>12.65</v>
      </c>
      <c r="C184" s="7">
        <f t="shared" si="2"/>
        <v>428.8637419648079</v>
      </c>
      <c r="D184" s="9">
        <v>0</v>
      </c>
      <c r="E184" s="11">
        <v>15</v>
      </c>
      <c r="F184" s="11">
        <v>16.5</v>
      </c>
      <c r="G184" s="11">
        <v>19</v>
      </c>
    </row>
    <row r="185" spans="1:7" x14ac:dyDescent="0.3">
      <c r="A185" s="1">
        <v>45992.583343749997</v>
      </c>
      <c r="B185" s="5">
        <v>12.58</v>
      </c>
      <c r="C185" s="7">
        <f t="shared" si="2"/>
        <v>419.70259026791837</v>
      </c>
      <c r="D185" s="9">
        <v>0</v>
      </c>
      <c r="E185" s="11">
        <v>15</v>
      </c>
      <c r="F185" s="11">
        <v>16.5</v>
      </c>
      <c r="G185" s="11">
        <v>19</v>
      </c>
    </row>
    <row r="186" spans="1:7" x14ac:dyDescent="0.3">
      <c r="A186" s="1">
        <v>45992.625010474534</v>
      </c>
      <c r="B186" s="5">
        <v>12.51</v>
      </c>
      <c r="C186" s="7">
        <f t="shared" si="2"/>
        <v>410.61114336275813</v>
      </c>
      <c r="D186" s="9">
        <v>0</v>
      </c>
      <c r="E186" s="11">
        <v>15</v>
      </c>
      <c r="F186" s="11">
        <v>16.5</v>
      </c>
      <c r="G186" s="11">
        <v>19</v>
      </c>
    </row>
    <row r="187" spans="1:7" x14ac:dyDescent="0.3">
      <c r="A187" s="1">
        <v>45992.666677199071</v>
      </c>
      <c r="B187" s="5">
        <v>12.41</v>
      </c>
      <c r="C187" s="7">
        <f t="shared" si="2"/>
        <v>397.74518396013042</v>
      </c>
      <c r="D187" s="9">
        <v>0</v>
      </c>
      <c r="E187" s="11">
        <v>15</v>
      </c>
      <c r="F187" s="11">
        <v>16.5</v>
      </c>
      <c r="G187" s="11">
        <v>19</v>
      </c>
    </row>
    <row r="188" spans="1:7" x14ac:dyDescent="0.3">
      <c r="A188" s="1">
        <v>45992.708343923608</v>
      </c>
      <c r="B188" s="5">
        <v>12.31</v>
      </c>
      <c r="C188" s="7">
        <f t="shared" si="2"/>
        <v>385.02377368035991</v>
      </c>
      <c r="D188" s="9">
        <v>0</v>
      </c>
      <c r="E188" s="11">
        <v>15</v>
      </c>
      <c r="F188" s="11">
        <v>16.5</v>
      </c>
      <c r="G188" s="11">
        <v>19</v>
      </c>
    </row>
    <row r="189" spans="1:7" x14ac:dyDescent="0.3">
      <c r="A189" s="1">
        <v>45992.750010648146</v>
      </c>
      <c r="B189" s="5">
        <v>12.22</v>
      </c>
      <c r="C189" s="7">
        <f t="shared" si="2"/>
        <v>373.6992541926939</v>
      </c>
      <c r="D189" s="9">
        <v>0</v>
      </c>
      <c r="E189" s="11">
        <v>15</v>
      </c>
      <c r="F189" s="11">
        <v>16.5</v>
      </c>
      <c r="G189" s="11">
        <v>19</v>
      </c>
    </row>
    <row r="190" spans="1:7" x14ac:dyDescent="0.3">
      <c r="A190" s="1">
        <v>45992.791677372683</v>
      </c>
      <c r="B190" s="5">
        <v>12.13</v>
      </c>
      <c r="C190" s="7">
        <f t="shared" si="2"/>
        <v>362.49401175444433</v>
      </c>
      <c r="D190" s="9">
        <v>0</v>
      </c>
      <c r="E190" s="11">
        <v>15</v>
      </c>
      <c r="F190" s="11">
        <v>16.5</v>
      </c>
      <c r="G190" s="11">
        <v>19</v>
      </c>
    </row>
    <row r="191" spans="1:7" x14ac:dyDescent="0.3">
      <c r="A191" s="1">
        <v>45992.83334409722</v>
      </c>
      <c r="B191" s="5">
        <v>12.05</v>
      </c>
      <c r="C191" s="7">
        <f t="shared" si="2"/>
        <v>352.63480678966494</v>
      </c>
      <c r="D191" s="9">
        <v>0</v>
      </c>
      <c r="E191" s="11">
        <v>15</v>
      </c>
      <c r="F191" s="11">
        <v>16.5</v>
      </c>
      <c r="G191" s="11">
        <v>19</v>
      </c>
    </row>
    <row r="192" spans="1:7" x14ac:dyDescent="0.3">
      <c r="A192" s="1">
        <v>45992.875010821757</v>
      </c>
      <c r="B192" s="5">
        <v>11.98</v>
      </c>
      <c r="C192" s="7">
        <f t="shared" si="2"/>
        <v>344.08663018220744</v>
      </c>
      <c r="D192" s="9">
        <v>0</v>
      </c>
      <c r="E192" s="11">
        <v>15</v>
      </c>
      <c r="F192" s="11">
        <v>16.5</v>
      </c>
      <c r="G192" s="11">
        <v>19</v>
      </c>
    </row>
    <row r="193" spans="1:7" x14ac:dyDescent="0.3">
      <c r="A193" s="1">
        <v>45992.916677546295</v>
      </c>
      <c r="B193" s="5">
        <v>11.92</v>
      </c>
      <c r="C193" s="7">
        <f t="shared" si="2"/>
        <v>336.81845830976573</v>
      </c>
      <c r="D193" s="9">
        <v>0</v>
      </c>
      <c r="E193" s="11">
        <v>15</v>
      </c>
      <c r="F193" s="11">
        <v>16.5</v>
      </c>
      <c r="G193" s="11">
        <v>19</v>
      </c>
    </row>
    <row r="194" spans="1:7" x14ac:dyDescent="0.3">
      <c r="A194" s="1">
        <v>45992.958344270832</v>
      </c>
      <c r="B194" s="5">
        <v>11.88</v>
      </c>
      <c r="C194" s="7">
        <f t="shared" si="2"/>
        <v>332.00336422988755</v>
      </c>
      <c r="D194" s="9">
        <v>0</v>
      </c>
      <c r="E194" s="11">
        <v>15</v>
      </c>
      <c r="F194" s="11">
        <v>16.5</v>
      </c>
      <c r="G194" s="11">
        <v>19</v>
      </c>
    </row>
    <row r="195" spans="1:7" x14ac:dyDescent="0.3">
      <c r="A195" s="1">
        <v>45993.000010995369</v>
      </c>
      <c r="B195" s="5">
        <v>11.85</v>
      </c>
      <c r="C195" s="7">
        <f t="shared" si="2"/>
        <v>328.40805341555961</v>
      </c>
      <c r="D195" s="9">
        <v>0</v>
      </c>
      <c r="E195" s="11">
        <v>15</v>
      </c>
      <c r="F195" s="11">
        <v>16.5</v>
      </c>
      <c r="G195" s="11">
        <v>19</v>
      </c>
    </row>
    <row r="196" spans="1:7" x14ac:dyDescent="0.3">
      <c r="A196" s="1">
        <v>45993.041677719906</v>
      </c>
      <c r="B196" s="5">
        <v>11.81</v>
      </c>
      <c r="C196" s="7">
        <f t="shared" si="2"/>
        <v>323.63573667755196</v>
      </c>
      <c r="D196" s="9">
        <v>0</v>
      </c>
      <c r="E196" s="11">
        <v>15</v>
      </c>
      <c r="F196" s="11">
        <v>16.5</v>
      </c>
      <c r="G196" s="11">
        <v>19</v>
      </c>
    </row>
    <row r="197" spans="1:7" x14ac:dyDescent="0.3">
      <c r="A197" s="1">
        <v>45993.083344444443</v>
      </c>
      <c r="B197" s="5">
        <v>11.76</v>
      </c>
      <c r="C197" s="7">
        <f t="shared" ref="C197:C260" si="3">IF(B197="","",IF((B197-0.118)&gt;14,9.8381*((B197-0.118)-7.5)^2+42.44*((B197-0.118)-7.5)-16.777,35.535*((B197-0.118)-7.5)^1.5414))</f>
        <v>317.70493399892069</v>
      </c>
      <c r="D197" s="9">
        <v>0</v>
      </c>
      <c r="E197" s="11">
        <v>15</v>
      </c>
      <c r="F197" s="11">
        <v>16.5</v>
      </c>
      <c r="G197" s="11">
        <v>19</v>
      </c>
    </row>
    <row r="198" spans="1:7" x14ac:dyDescent="0.3">
      <c r="A198" s="1">
        <v>45993.125011168981</v>
      </c>
      <c r="B198" s="5">
        <v>11.71</v>
      </c>
      <c r="C198" s="7">
        <f t="shared" si="3"/>
        <v>311.81276631997224</v>
      </c>
      <c r="D198" s="9">
        <v>0</v>
      </c>
      <c r="E198" s="11">
        <v>15</v>
      </c>
      <c r="F198" s="11">
        <v>16.5</v>
      </c>
      <c r="G198" s="11">
        <v>19</v>
      </c>
    </row>
    <row r="199" spans="1:7" x14ac:dyDescent="0.3">
      <c r="A199" s="1">
        <v>45993.166677893518</v>
      </c>
      <c r="B199" s="5">
        <v>11.66</v>
      </c>
      <c r="C199" s="7">
        <f t="shared" si="3"/>
        <v>305.95944943256382</v>
      </c>
      <c r="D199" s="9">
        <v>0</v>
      </c>
      <c r="E199" s="11">
        <v>15</v>
      </c>
      <c r="F199" s="11">
        <v>16.5</v>
      </c>
      <c r="G199" s="11">
        <v>19</v>
      </c>
    </row>
    <row r="200" spans="1:7" x14ac:dyDescent="0.3">
      <c r="A200" s="1">
        <v>45993.208344618055</v>
      </c>
      <c r="B200" s="5">
        <v>11.6</v>
      </c>
      <c r="C200" s="7">
        <f t="shared" si="3"/>
        <v>298.98706179189918</v>
      </c>
      <c r="D200" s="9">
        <v>0</v>
      </c>
      <c r="E200" s="11">
        <v>15</v>
      </c>
      <c r="F200" s="11">
        <v>16.5</v>
      </c>
      <c r="G200" s="11">
        <v>19</v>
      </c>
    </row>
    <row r="201" spans="1:7" x14ac:dyDescent="0.3">
      <c r="A201" s="1">
        <v>45993.250011342592</v>
      </c>
      <c r="B201" s="5">
        <v>11.56</v>
      </c>
      <c r="C201" s="7">
        <f t="shared" si="3"/>
        <v>294.37025072317988</v>
      </c>
      <c r="D201" s="9">
        <v>0</v>
      </c>
      <c r="E201" s="11">
        <v>15</v>
      </c>
      <c r="F201" s="11">
        <v>16.5</v>
      </c>
      <c r="G201" s="11">
        <v>19</v>
      </c>
    </row>
    <row r="202" spans="1:7" x14ac:dyDescent="0.3">
      <c r="A202" s="1">
        <v>45993.291678067129</v>
      </c>
      <c r="B202" s="5">
        <v>11.52</v>
      </c>
      <c r="C202" s="7">
        <f t="shared" si="3"/>
        <v>289.77873361049387</v>
      </c>
      <c r="D202" s="9">
        <v>0</v>
      </c>
      <c r="E202" s="11">
        <v>15</v>
      </c>
      <c r="F202" s="11">
        <v>16.5</v>
      </c>
      <c r="G202" s="11">
        <v>19</v>
      </c>
    </row>
    <row r="203" spans="1:7" x14ac:dyDescent="0.3">
      <c r="A203" s="1">
        <v>45993.333344733794</v>
      </c>
      <c r="B203" s="5">
        <v>11.47</v>
      </c>
      <c r="C203" s="7">
        <f t="shared" si="3"/>
        <v>284.07508767338481</v>
      </c>
      <c r="D203" s="9">
        <v>0</v>
      </c>
      <c r="E203" s="11">
        <v>15</v>
      </c>
      <c r="F203" s="11">
        <v>16.5</v>
      </c>
      <c r="G203" s="11">
        <v>19</v>
      </c>
    </row>
    <row r="204" spans="1:7" x14ac:dyDescent="0.3">
      <c r="A204" s="1">
        <v>45993.375011458331</v>
      </c>
      <c r="B204" s="5">
        <v>11.45</v>
      </c>
      <c r="C204" s="7">
        <f t="shared" si="3"/>
        <v>281.80479993624766</v>
      </c>
      <c r="D204" s="9">
        <v>0</v>
      </c>
      <c r="E204" s="11">
        <v>15</v>
      </c>
      <c r="F204" s="11">
        <v>16.5</v>
      </c>
      <c r="G204" s="11">
        <v>19</v>
      </c>
    </row>
    <row r="205" spans="1:7" x14ac:dyDescent="0.3">
      <c r="A205" s="1">
        <v>45993.416678182868</v>
      </c>
      <c r="B205" s="5">
        <v>11.41</v>
      </c>
      <c r="C205" s="7">
        <f t="shared" si="3"/>
        <v>277.28345806212616</v>
      </c>
      <c r="D205" s="9">
        <v>0</v>
      </c>
      <c r="E205" s="11">
        <v>15</v>
      </c>
      <c r="F205" s="11">
        <v>16.5</v>
      </c>
      <c r="G205" s="11">
        <v>19</v>
      </c>
    </row>
    <row r="206" spans="1:7" x14ac:dyDescent="0.3">
      <c r="A206" s="1">
        <v>45993.458344907405</v>
      </c>
      <c r="B206" s="5">
        <v>11.39</v>
      </c>
      <c r="C206" s="7">
        <f t="shared" si="3"/>
        <v>275.03243482703346</v>
      </c>
      <c r="D206" s="9">
        <v>0</v>
      </c>
      <c r="E206" s="11">
        <v>15</v>
      </c>
      <c r="F206" s="11">
        <v>16.5</v>
      </c>
      <c r="G206" s="11">
        <v>19</v>
      </c>
    </row>
    <row r="207" spans="1:7" x14ac:dyDescent="0.3">
      <c r="A207" s="1">
        <v>45993.500011631942</v>
      </c>
      <c r="B207" s="5">
        <v>11.37</v>
      </c>
      <c r="C207" s="7">
        <f t="shared" si="3"/>
        <v>272.78786419312439</v>
      </c>
      <c r="D207" s="9">
        <v>0</v>
      </c>
      <c r="E207" s="11">
        <v>15</v>
      </c>
      <c r="F207" s="11">
        <v>16.5</v>
      </c>
      <c r="G207" s="11">
        <v>19</v>
      </c>
    </row>
    <row r="208" spans="1:7" x14ac:dyDescent="0.3">
      <c r="A208" s="1">
        <v>45993.54167835648</v>
      </c>
      <c r="B208" s="5">
        <v>11.35</v>
      </c>
      <c r="C208" s="7">
        <f t="shared" si="3"/>
        <v>270.54976191159818</v>
      </c>
      <c r="D208" s="9">
        <v>0</v>
      </c>
      <c r="E208" s="11">
        <v>15</v>
      </c>
      <c r="F208" s="11">
        <v>16.5</v>
      </c>
      <c r="G208" s="11">
        <v>19</v>
      </c>
    </row>
    <row r="209" spans="1:7" x14ac:dyDescent="0.3">
      <c r="A209" s="1">
        <v>45993.583345081017</v>
      </c>
      <c r="B209" s="5">
        <v>11.32</v>
      </c>
      <c r="C209" s="7">
        <f t="shared" si="3"/>
        <v>267.20477140873692</v>
      </c>
      <c r="D209" s="9">
        <v>0</v>
      </c>
      <c r="E209" s="11">
        <v>15</v>
      </c>
      <c r="F209" s="11">
        <v>16.5</v>
      </c>
      <c r="G209" s="11">
        <v>19</v>
      </c>
    </row>
    <row r="210" spans="1:7" x14ac:dyDescent="0.3">
      <c r="A210" s="1">
        <v>45993.625011805554</v>
      </c>
      <c r="B210" s="5">
        <v>11.27</v>
      </c>
      <c r="C210" s="7">
        <f t="shared" si="3"/>
        <v>261.66235567078252</v>
      </c>
      <c r="D210" s="9">
        <v>0</v>
      </c>
      <c r="E210" s="11">
        <v>15</v>
      </c>
      <c r="F210" s="11">
        <v>16.5</v>
      </c>
      <c r="G210" s="11">
        <v>19</v>
      </c>
    </row>
    <row r="211" spans="1:7" x14ac:dyDescent="0.3">
      <c r="A211" s="1">
        <v>45993.666678530091</v>
      </c>
      <c r="B211" s="5">
        <v>11.23</v>
      </c>
      <c r="C211" s="7">
        <f t="shared" si="3"/>
        <v>257.25788138833599</v>
      </c>
      <c r="D211" s="9">
        <v>0</v>
      </c>
      <c r="E211" s="11">
        <v>15</v>
      </c>
      <c r="F211" s="11">
        <v>16.5</v>
      </c>
      <c r="G211" s="11">
        <v>19</v>
      </c>
    </row>
    <row r="212" spans="1:7" x14ac:dyDescent="0.3">
      <c r="A212" s="1">
        <v>45993.708345254629</v>
      </c>
      <c r="B212" s="5">
        <v>11.21</v>
      </c>
      <c r="C212" s="7">
        <f t="shared" si="3"/>
        <v>255.06550914334974</v>
      </c>
      <c r="D212" s="9">
        <v>0</v>
      </c>
      <c r="E212" s="11">
        <v>15</v>
      </c>
      <c r="F212" s="11">
        <v>16.5</v>
      </c>
      <c r="G212" s="11">
        <v>19</v>
      </c>
    </row>
    <row r="213" spans="1:7" x14ac:dyDescent="0.3">
      <c r="A213" s="1">
        <v>45993.750011979166</v>
      </c>
      <c r="B213" s="4">
        <v>11.15</v>
      </c>
      <c r="C213" s="7">
        <f t="shared" si="3"/>
        <v>248.52805379423552</v>
      </c>
      <c r="D213" s="9">
        <v>0</v>
      </c>
      <c r="E213" s="11">
        <v>15</v>
      </c>
      <c r="F213" s="11">
        <v>16.5</v>
      </c>
      <c r="G213" s="11">
        <v>19</v>
      </c>
    </row>
    <row r="214" spans="1:7" x14ac:dyDescent="0.3">
      <c r="A214" s="1">
        <v>45993.791678703703</v>
      </c>
      <c r="B214" s="4">
        <v>11.1</v>
      </c>
      <c r="C214" s="7">
        <f t="shared" si="3"/>
        <v>243.1258745603364</v>
      </c>
      <c r="D214" s="9">
        <v>0</v>
      </c>
      <c r="E214" s="11">
        <v>15</v>
      </c>
      <c r="F214" s="11">
        <v>16.5</v>
      </c>
      <c r="G214" s="11">
        <v>19</v>
      </c>
    </row>
    <row r="215" spans="1:7" x14ac:dyDescent="0.3">
      <c r="A215" s="1">
        <v>45993.83334542824</v>
      </c>
      <c r="B215" s="4">
        <v>11.1</v>
      </c>
      <c r="C215" s="7">
        <f t="shared" si="3"/>
        <v>243.1258745603364</v>
      </c>
      <c r="D215" s="9">
        <v>0</v>
      </c>
      <c r="E215" s="11">
        <v>15</v>
      </c>
      <c r="F215" s="11">
        <v>16.5</v>
      </c>
      <c r="G215" s="11">
        <v>19</v>
      </c>
    </row>
    <row r="216" spans="1:7" x14ac:dyDescent="0.3">
      <c r="A216" s="1">
        <v>45993.875012152777</v>
      </c>
      <c r="B216" s="4">
        <v>11.09</v>
      </c>
      <c r="C216" s="7">
        <f t="shared" si="3"/>
        <v>242.05045023223866</v>
      </c>
      <c r="D216" s="9">
        <v>0</v>
      </c>
      <c r="E216" s="11">
        <v>15</v>
      </c>
      <c r="F216" s="11">
        <v>16.5</v>
      </c>
      <c r="G216" s="11">
        <v>19</v>
      </c>
    </row>
    <row r="217" spans="1:7" x14ac:dyDescent="0.3">
      <c r="A217" s="1">
        <v>45993.916678877315</v>
      </c>
      <c r="B217" s="4">
        <v>11.08</v>
      </c>
      <c r="C217" s="7">
        <f t="shared" si="3"/>
        <v>240.97670154240316</v>
      </c>
      <c r="D217" s="9">
        <v>0</v>
      </c>
      <c r="E217" s="11">
        <v>15</v>
      </c>
      <c r="F217" s="11">
        <v>16.5</v>
      </c>
      <c r="G217" s="11">
        <v>19</v>
      </c>
    </row>
    <row r="218" spans="1:7" x14ac:dyDescent="0.3">
      <c r="A218" s="1">
        <v>45993.958345601852</v>
      </c>
      <c r="B218" s="4">
        <v>11.08</v>
      </c>
      <c r="C218" s="7">
        <f t="shared" si="3"/>
        <v>240.97670154240316</v>
      </c>
      <c r="D218" s="9">
        <v>0</v>
      </c>
      <c r="E218" s="11">
        <v>15</v>
      </c>
      <c r="F218" s="11">
        <v>16.5</v>
      </c>
      <c r="G218" s="11">
        <v>19</v>
      </c>
    </row>
    <row r="219" spans="1:7" x14ac:dyDescent="0.3">
      <c r="A219" s="1">
        <v>45994.000012326389</v>
      </c>
      <c r="B219" s="4">
        <v>11.1</v>
      </c>
      <c r="C219" s="7">
        <f t="shared" si="3"/>
        <v>243.1258745603364</v>
      </c>
      <c r="D219" s="9">
        <v>0</v>
      </c>
      <c r="E219" s="11">
        <v>15</v>
      </c>
      <c r="F219" s="11">
        <v>16.5</v>
      </c>
      <c r="G219" s="11">
        <v>19</v>
      </c>
    </row>
    <row r="220" spans="1:7" x14ac:dyDescent="0.3">
      <c r="A220" s="1">
        <v>45994.041679108799</v>
      </c>
      <c r="B220" s="4">
        <v>11.09</v>
      </c>
      <c r="C220" s="7">
        <f t="shared" si="3"/>
        <v>242.05045023223866</v>
      </c>
      <c r="D220" s="9">
        <v>0</v>
      </c>
      <c r="E220" s="11">
        <v>15</v>
      </c>
      <c r="F220" s="11">
        <v>16.5</v>
      </c>
      <c r="G220" s="11">
        <v>19</v>
      </c>
    </row>
    <row r="221" spans="1:7" x14ac:dyDescent="0.3">
      <c r="A221" s="1">
        <v>45994.083345891202</v>
      </c>
      <c r="B221" s="4">
        <v>11.08</v>
      </c>
      <c r="C221" s="7">
        <f t="shared" si="3"/>
        <v>240.97670154240316</v>
      </c>
      <c r="D221" s="9">
        <v>0</v>
      </c>
      <c r="E221" s="11">
        <v>15</v>
      </c>
      <c r="F221" s="11">
        <v>16.5</v>
      </c>
      <c r="G221" s="11">
        <v>19</v>
      </c>
    </row>
    <row r="222" spans="1:7" x14ac:dyDescent="0.3">
      <c r="A222" s="1">
        <v>45994.125012673612</v>
      </c>
      <c r="B222" s="4">
        <v>11.07</v>
      </c>
      <c r="C222" s="7">
        <f t="shared" si="3"/>
        <v>239.90463070876561</v>
      </c>
      <c r="D222" s="9">
        <v>0</v>
      </c>
      <c r="E222" s="11">
        <v>15</v>
      </c>
      <c r="F222" s="11">
        <v>16.5</v>
      </c>
      <c r="G222" s="11">
        <v>19</v>
      </c>
    </row>
    <row r="223" spans="1:7" x14ac:dyDescent="0.3">
      <c r="A223" s="1">
        <v>45994.166679456015</v>
      </c>
      <c r="B223" s="4">
        <v>11.04</v>
      </c>
      <c r="C223" s="7">
        <f t="shared" si="3"/>
        <v>236.69850766526204</v>
      </c>
      <c r="D223" s="9">
        <v>0</v>
      </c>
      <c r="E223" s="11">
        <v>15</v>
      </c>
      <c r="F223" s="11">
        <v>16.5</v>
      </c>
      <c r="G223" s="11">
        <v>19</v>
      </c>
    </row>
    <row r="224" spans="1:7" x14ac:dyDescent="0.3">
      <c r="A224" s="1">
        <v>45994.208346238425</v>
      </c>
      <c r="B224" s="4">
        <v>11.02</v>
      </c>
      <c r="C224" s="7">
        <f t="shared" si="3"/>
        <v>234.56952267055405</v>
      </c>
      <c r="D224" s="9">
        <v>0</v>
      </c>
      <c r="E224" s="11">
        <v>15</v>
      </c>
      <c r="F224" s="11">
        <v>16.5</v>
      </c>
      <c r="G224" s="11">
        <v>19</v>
      </c>
    </row>
    <row r="225" spans="1:7" x14ac:dyDescent="0.3">
      <c r="A225" s="1">
        <v>45994.250013020835</v>
      </c>
      <c r="B225" s="4">
        <v>11.04</v>
      </c>
      <c r="C225" s="7">
        <f t="shared" si="3"/>
        <v>236.69850766526204</v>
      </c>
      <c r="D225" s="9">
        <v>0</v>
      </c>
      <c r="E225" s="11">
        <v>15</v>
      </c>
      <c r="F225" s="11">
        <v>16.5</v>
      </c>
      <c r="G225" s="11">
        <v>19</v>
      </c>
    </row>
    <row r="226" spans="1:7" x14ac:dyDescent="0.3">
      <c r="A226" s="1">
        <v>45994.291679803238</v>
      </c>
      <c r="B226" s="4">
        <v>11.03</v>
      </c>
      <c r="C226" s="7">
        <f t="shared" si="3"/>
        <v>235.63317062406446</v>
      </c>
      <c r="D226" s="9">
        <v>0</v>
      </c>
      <c r="E226" s="11">
        <v>15</v>
      </c>
      <c r="F226" s="11">
        <v>16.5</v>
      </c>
      <c r="G226" s="11">
        <v>19</v>
      </c>
    </row>
    <row r="227" spans="1:7" x14ac:dyDescent="0.3">
      <c r="A227" s="1">
        <v>45994.333346585649</v>
      </c>
      <c r="B227" s="4">
        <v>11.03</v>
      </c>
      <c r="C227" s="7">
        <f t="shared" si="3"/>
        <v>235.63317062406446</v>
      </c>
      <c r="D227" s="9">
        <v>0</v>
      </c>
      <c r="E227" s="11">
        <v>15</v>
      </c>
      <c r="F227" s="11">
        <v>16.5</v>
      </c>
      <c r="G227" s="11">
        <v>19</v>
      </c>
    </row>
    <row r="228" spans="1:7" x14ac:dyDescent="0.3">
      <c r="A228" s="1">
        <v>45994.375013368059</v>
      </c>
      <c r="B228" s="4">
        <v>11.02</v>
      </c>
      <c r="C228" s="7">
        <f t="shared" si="3"/>
        <v>234.56952267055405</v>
      </c>
      <c r="D228" s="9">
        <v>0</v>
      </c>
      <c r="E228" s="11">
        <v>15</v>
      </c>
      <c r="F228" s="11">
        <v>16.5</v>
      </c>
      <c r="G228" s="11">
        <v>19</v>
      </c>
    </row>
    <row r="229" spans="1:7" x14ac:dyDescent="0.3">
      <c r="A229" s="1">
        <v>45994.416680150462</v>
      </c>
      <c r="B229" s="4">
        <v>11.01</v>
      </c>
      <c r="C229" s="7">
        <f t="shared" si="3"/>
        <v>233.50756607986841</v>
      </c>
      <c r="D229" s="9">
        <v>0</v>
      </c>
      <c r="E229" s="11">
        <v>15</v>
      </c>
      <c r="F229" s="11">
        <v>16.5</v>
      </c>
      <c r="G229" s="11">
        <v>19</v>
      </c>
    </row>
    <row r="230" spans="1:7" x14ac:dyDescent="0.3">
      <c r="A230" s="1">
        <v>45994.458346932872</v>
      </c>
      <c r="B230" s="4">
        <v>10.99</v>
      </c>
      <c r="C230" s="7">
        <f t="shared" si="3"/>
        <v>231.38873613647064</v>
      </c>
      <c r="D230" s="9">
        <v>0</v>
      </c>
      <c r="E230" s="11">
        <v>15</v>
      </c>
      <c r="F230" s="11">
        <v>16.5</v>
      </c>
      <c r="G230" s="11">
        <v>19</v>
      </c>
    </row>
    <row r="231" spans="1:7" x14ac:dyDescent="0.3">
      <c r="A231" s="1">
        <v>45994.500013715275</v>
      </c>
      <c r="B231" s="4">
        <v>10.98</v>
      </c>
      <c r="C231" s="7">
        <f t="shared" si="3"/>
        <v>230.33186738319637</v>
      </c>
      <c r="D231" s="9">
        <v>0</v>
      </c>
      <c r="E231" s="11">
        <v>15</v>
      </c>
      <c r="F231" s="11">
        <v>16.5</v>
      </c>
      <c r="G231" s="11">
        <v>19</v>
      </c>
    </row>
    <row r="232" spans="1:7" x14ac:dyDescent="0.3">
      <c r="A232" s="1">
        <v>45994.541680497685</v>
      </c>
      <c r="B232" s="4">
        <v>10.95</v>
      </c>
      <c r="C232" s="7">
        <f t="shared" si="3"/>
        <v>227.1714738035119</v>
      </c>
      <c r="D232" s="9">
        <v>0</v>
      </c>
      <c r="E232" s="11">
        <v>15</v>
      </c>
      <c r="F232" s="11">
        <v>16.5</v>
      </c>
      <c r="G232" s="11">
        <v>19</v>
      </c>
    </row>
    <row r="233" spans="1:7" x14ac:dyDescent="0.3">
      <c r="A233" s="1">
        <v>45994.583347280095</v>
      </c>
      <c r="B233" s="4">
        <v>10.93</v>
      </c>
      <c r="C233" s="7">
        <f t="shared" si="3"/>
        <v>225.07307869167539</v>
      </c>
      <c r="D233" s="9">
        <v>0</v>
      </c>
      <c r="E233" s="11">
        <v>15</v>
      </c>
      <c r="F233" s="11">
        <v>16.5</v>
      </c>
      <c r="G233" s="11">
        <v>19</v>
      </c>
    </row>
    <row r="234" spans="1:7" x14ac:dyDescent="0.3">
      <c r="A234" s="1">
        <v>45994.625014062498</v>
      </c>
      <c r="B234" s="4">
        <v>10.91</v>
      </c>
      <c r="C234" s="7">
        <f t="shared" si="3"/>
        <v>222.98153274084549</v>
      </c>
      <c r="D234" s="9">
        <v>0</v>
      </c>
      <c r="E234" s="11">
        <v>15</v>
      </c>
      <c r="F234" s="11">
        <v>16.5</v>
      </c>
      <c r="G234" s="11">
        <v>19</v>
      </c>
    </row>
    <row r="235" spans="1:7" x14ac:dyDescent="0.3">
      <c r="A235" s="1">
        <v>45994.666680844908</v>
      </c>
      <c r="B235" s="4">
        <v>10.9</v>
      </c>
      <c r="C235" s="7">
        <f t="shared" si="3"/>
        <v>221.93833414785794</v>
      </c>
      <c r="D235" s="9">
        <v>0</v>
      </c>
      <c r="E235" s="11">
        <v>15</v>
      </c>
      <c r="F235" s="11">
        <v>16.5</v>
      </c>
      <c r="G235" s="11">
        <v>19</v>
      </c>
    </row>
    <row r="236" spans="1:7" x14ac:dyDescent="0.3">
      <c r="A236" s="1">
        <v>45994.708347627318</v>
      </c>
      <c r="B236" s="4">
        <v>10.85</v>
      </c>
      <c r="C236" s="7">
        <f t="shared" si="3"/>
        <v>216.74818122148065</v>
      </c>
      <c r="D236" s="9">
        <v>0</v>
      </c>
      <c r="E236" s="11">
        <v>15</v>
      </c>
      <c r="F236" s="11">
        <v>16.5</v>
      </c>
      <c r="G236" s="11">
        <v>19</v>
      </c>
    </row>
    <row r="237" spans="1:7" x14ac:dyDescent="0.3">
      <c r="A237" s="1">
        <v>45994.750014409721</v>
      </c>
      <c r="B237" s="4">
        <v>10.79</v>
      </c>
      <c r="C237" s="7">
        <f t="shared" si="3"/>
        <v>210.5771683256323</v>
      </c>
      <c r="D237" s="9">
        <v>0</v>
      </c>
      <c r="E237" s="11">
        <v>15</v>
      </c>
      <c r="F237" s="11">
        <v>16.5</v>
      </c>
      <c r="G237" s="11">
        <v>19</v>
      </c>
    </row>
    <row r="238" spans="1:7" x14ac:dyDescent="0.3">
      <c r="A238" s="1">
        <v>45994.791681192131</v>
      </c>
      <c r="B238" s="4">
        <v>10.74</v>
      </c>
      <c r="C238" s="7">
        <f t="shared" si="3"/>
        <v>205.48266510404326</v>
      </c>
      <c r="D238" s="9">
        <v>0</v>
      </c>
      <c r="E238" s="11">
        <v>15</v>
      </c>
      <c r="F238" s="11">
        <v>16.5</v>
      </c>
      <c r="G238" s="11">
        <v>19</v>
      </c>
    </row>
    <row r="239" spans="1:7" x14ac:dyDescent="0.3">
      <c r="A239" s="1">
        <v>45994.833347974534</v>
      </c>
      <c r="B239" s="4">
        <v>10.7</v>
      </c>
      <c r="C239" s="7">
        <f t="shared" si="3"/>
        <v>201.43871502584832</v>
      </c>
      <c r="D239" s="9">
        <v>0</v>
      </c>
      <c r="E239" s="11">
        <v>15</v>
      </c>
      <c r="F239" s="11">
        <v>16.5</v>
      </c>
      <c r="G239" s="11">
        <v>19</v>
      </c>
    </row>
    <row r="240" spans="1:7" x14ac:dyDescent="0.3">
      <c r="A240" s="1">
        <v>45994.875014756944</v>
      </c>
      <c r="B240" s="4">
        <v>10.65</v>
      </c>
      <c r="C240" s="7">
        <f t="shared" si="3"/>
        <v>196.4236169869051</v>
      </c>
      <c r="D240" s="9">
        <v>0</v>
      </c>
      <c r="E240" s="11">
        <v>15</v>
      </c>
      <c r="F240" s="11">
        <v>16.5</v>
      </c>
      <c r="G240" s="11">
        <v>19</v>
      </c>
    </row>
    <row r="241" spans="1:7" x14ac:dyDescent="0.3">
      <c r="A241" s="1">
        <v>45994.916681539355</v>
      </c>
      <c r="B241" s="4">
        <v>10.6</v>
      </c>
      <c r="C241" s="7">
        <f t="shared" si="3"/>
        <v>191.45309642743908</v>
      </c>
      <c r="D241" s="9">
        <v>0</v>
      </c>
      <c r="E241" s="11">
        <v>15</v>
      </c>
      <c r="F241" s="11">
        <v>16.5</v>
      </c>
      <c r="G241" s="11">
        <v>19</v>
      </c>
    </row>
    <row r="242" spans="1:7" x14ac:dyDescent="0.3">
      <c r="A242" s="1">
        <v>45994.958348321758</v>
      </c>
      <c r="B242" s="4">
        <v>10.56</v>
      </c>
      <c r="C242" s="7">
        <f t="shared" si="3"/>
        <v>187.50900480912696</v>
      </c>
      <c r="D242" s="9">
        <v>0</v>
      </c>
      <c r="E242" s="11">
        <v>15</v>
      </c>
      <c r="F242" s="11">
        <v>16.5</v>
      </c>
      <c r="G242" s="11">
        <v>19</v>
      </c>
    </row>
    <row r="243" spans="1:7" x14ac:dyDescent="0.3">
      <c r="A243" s="1">
        <v>45995.000015104168</v>
      </c>
      <c r="B243" s="4">
        <v>10.52</v>
      </c>
      <c r="C243" s="7">
        <f t="shared" si="3"/>
        <v>183.59383962203529</v>
      </c>
      <c r="D243" s="9">
        <v>0</v>
      </c>
      <c r="E243" s="11">
        <v>15</v>
      </c>
      <c r="F243" s="11">
        <v>16.5</v>
      </c>
      <c r="G243" s="11">
        <v>19</v>
      </c>
    </row>
    <row r="244" spans="1:7" x14ac:dyDescent="0.3">
      <c r="A244" s="1">
        <v>45995.041681886571</v>
      </c>
      <c r="B244" s="4">
        <v>10.48</v>
      </c>
      <c r="C244" s="7">
        <f t="shared" si="3"/>
        <v>179.70778304556984</v>
      </c>
      <c r="D244" s="9">
        <v>0</v>
      </c>
      <c r="E244" s="11">
        <v>15</v>
      </c>
      <c r="F244" s="11">
        <v>16.5</v>
      </c>
      <c r="G244" s="11">
        <v>19</v>
      </c>
    </row>
    <row r="245" spans="1:7" x14ac:dyDescent="0.3">
      <c r="A245" s="1">
        <v>45995.083348668981</v>
      </c>
      <c r="B245" s="4">
        <v>10.46</v>
      </c>
      <c r="C245" s="7">
        <f t="shared" si="3"/>
        <v>177.77572842569842</v>
      </c>
      <c r="D245" s="9">
        <v>0</v>
      </c>
      <c r="E245" s="11">
        <v>15</v>
      </c>
      <c r="F245" s="11">
        <v>16.5</v>
      </c>
      <c r="G245" s="11">
        <v>19</v>
      </c>
    </row>
    <row r="246" spans="1:7" x14ac:dyDescent="0.3">
      <c r="A246" s="1">
        <v>45995.125015451391</v>
      </c>
      <c r="B246" s="4">
        <v>10.44</v>
      </c>
      <c r="C246" s="7">
        <f t="shared" si="3"/>
        <v>175.85102095936989</v>
      </c>
      <c r="D246" s="9">
        <v>0</v>
      </c>
      <c r="E246" s="11">
        <v>15</v>
      </c>
      <c r="F246" s="11">
        <v>16.5</v>
      </c>
      <c r="G246" s="11">
        <v>19</v>
      </c>
    </row>
    <row r="247" spans="1:7" x14ac:dyDescent="0.3">
      <c r="A247" s="1">
        <v>45995.166682233794</v>
      </c>
      <c r="B247" s="4">
        <v>10.5</v>
      </c>
      <c r="C247" s="7">
        <f t="shared" si="3"/>
        <v>181.64716122819658</v>
      </c>
      <c r="D247" s="9">
        <v>0</v>
      </c>
      <c r="E247" s="11">
        <v>15</v>
      </c>
      <c r="F247" s="11">
        <v>16.5</v>
      </c>
      <c r="G247" s="11">
        <v>19</v>
      </c>
    </row>
    <row r="248" spans="1:7" x14ac:dyDescent="0.3">
      <c r="A248" s="1">
        <v>45995.208349016204</v>
      </c>
      <c r="B248" s="4">
        <v>10.57</v>
      </c>
      <c r="C248" s="7">
        <f t="shared" si="3"/>
        <v>188.49232289763052</v>
      </c>
      <c r="D248" s="9">
        <v>0</v>
      </c>
      <c r="E248" s="11">
        <v>15</v>
      </c>
      <c r="F248" s="11">
        <v>16.5</v>
      </c>
      <c r="G248" s="11">
        <v>19</v>
      </c>
    </row>
    <row r="249" spans="1:7" x14ac:dyDescent="0.3">
      <c r="A249" s="1">
        <v>45995.250015798614</v>
      </c>
      <c r="B249" s="4">
        <v>10.6</v>
      </c>
      <c r="C249" s="7">
        <f t="shared" si="3"/>
        <v>191.45309642743908</v>
      </c>
      <c r="D249" s="9">
        <v>0</v>
      </c>
      <c r="E249" s="11">
        <v>15</v>
      </c>
      <c r="F249" s="11">
        <v>16.5</v>
      </c>
      <c r="G249" s="11">
        <v>19</v>
      </c>
    </row>
    <row r="250" spans="1:7" x14ac:dyDescent="0.3">
      <c r="A250" s="1">
        <v>45995.291682581017</v>
      </c>
      <c r="B250" s="4">
        <v>10.6</v>
      </c>
      <c r="C250" s="7">
        <f t="shared" si="3"/>
        <v>191.45309642743908</v>
      </c>
      <c r="D250" s="9">
        <v>0</v>
      </c>
      <c r="E250" s="11">
        <v>15</v>
      </c>
      <c r="F250" s="11">
        <v>16.5</v>
      </c>
      <c r="G250" s="11">
        <v>19</v>
      </c>
    </row>
    <row r="251" spans="1:7" x14ac:dyDescent="0.3">
      <c r="A251" s="1">
        <v>45995.333349363427</v>
      </c>
      <c r="B251" s="4">
        <v>10.59</v>
      </c>
      <c r="C251" s="7">
        <f t="shared" si="3"/>
        <v>190.46437149723798</v>
      </c>
      <c r="D251" s="9">
        <v>0</v>
      </c>
      <c r="E251" s="11">
        <v>15</v>
      </c>
      <c r="F251" s="11">
        <v>16.5</v>
      </c>
      <c r="G251" s="11">
        <v>19</v>
      </c>
    </row>
    <row r="252" spans="1:7" x14ac:dyDescent="0.3">
      <c r="A252" s="1">
        <v>45995.37501614583</v>
      </c>
      <c r="B252" s="4">
        <v>10.69</v>
      </c>
      <c r="C252" s="7">
        <f t="shared" si="3"/>
        <v>200.43214532487315</v>
      </c>
      <c r="D252" s="9">
        <v>0</v>
      </c>
      <c r="E252" s="11">
        <v>15</v>
      </c>
      <c r="F252" s="11">
        <v>16.5</v>
      </c>
      <c r="G252" s="11">
        <v>19</v>
      </c>
    </row>
    <row r="253" spans="1:7" x14ac:dyDescent="0.3">
      <c r="A253" s="1">
        <v>45995.41668292824</v>
      </c>
      <c r="B253" s="4">
        <v>10.68</v>
      </c>
      <c r="C253" s="7">
        <f t="shared" si="3"/>
        <v>199.42734801195471</v>
      </c>
      <c r="D253" s="9">
        <v>0</v>
      </c>
      <c r="E253" s="11">
        <v>15</v>
      </c>
      <c r="F253" s="11">
        <v>16.5</v>
      </c>
      <c r="G253" s="11">
        <v>19</v>
      </c>
    </row>
    <row r="254" spans="1:7" x14ac:dyDescent="0.3">
      <c r="A254" s="1">
        <v>45995.458349710651</v>
      </c>
      <c r="B254" s="4">
        <v>10.64</v>
      </c>
      <c r="C254" s="7">
        <f t="shared" si="3"/>
        <v>195.42593587530968</v>
      </c>
      <c r="D254" s="9">
        <v>0</v>
      </c>
      <c r="E254" s="11">
        <v>15</v>
      </c>
      <c r="F254" s="11">
        <v>16.5</v>
      </c>
      <c r="G254" s="11">
        <v>19</v>
      </c>
    </row>
    <row r="255" spans="1:7" x14ac:dyDescent="0.3">
      <c r="A255" s="1">
        <v>45995.500016493053</v>
      </c>
      <c r="B255" s="4">
        <v>10.6</v>
      </c>
      <c r="C255" s="7">
        <f t="shared" si="3"/>
        <v>191.45309642743908</v>
      </c>
      <c r="D255" s="9">
        <v>0</v>
      </c>
      <c r="E255" s="11">
        <v>15</v>
      </c>
      <c r="F255" s="11">
        <v>16.5</v>
      </c>
      <c r="G255" s="11">
        <v>19</v>
      </c>
    </row>
    <row r="256" spans="1:7" x14ac:dyDescent="0.3">
      <c r="A256" s="1">
        <v>45995.541683275464</v>
      </c>
      <c r="B256" s="4">
        <v>10.52</v>
      </c>
      <c r="C256" s="7">
        <f t="shared" si="3"/>
        <v>183.59383962203529</v>
      </c>
      <c r="D256" s="9">
        <v>0</v>
      </c>
      <c r="E256" s="11">
        <v>15</v>
      </c>
      <c r="F256" s="11">
        <v>16.5</v>
      </c>
      <c r="G256" s="11">
        <v>19</v>
      </c>
    </row>
    <row r="257" spans="1:7" x14ac:dyDescent="0.3">
      <c r="A257" s="1">
        <v>45995.583350057874</v>
      </c>
      <c r="B257" s="4">
        <v>10.45</v>
      </c>
      <c r="C257" s="7">
        <f t="shared" si="3"/>
        <v>176.81245481445833</v>
      </c>
      <c r="D257" s="9">
        <v>0</v>
      </c>
      <c r="E257" s="11">
        <v>15</v>
      </c>
      <c r="F257" s="11">
        <v>16.5</v>
      </c>
      <c r="G257" s="11">
        <v>19</v>
      </c>
    </row>
    <row r="258" spans="1:7" x14ac:dyDescent="0.3">
      <c r="A258" s="1">
        <v>45995.625016840277</v>
      </c>
      <c r="B258" s="4">
        <v>10.37</v>
      </c>
      <c r="C258" s="7">
        <f t="shared" si="3"/>
        <v>169.17275001421865</v>
      </c>
      <c r="D258" s="9">
        <v>0</v>
      </c>
      <c r="E258" s="11">
        <v>15</v>
      </c>
      <c r="F258" s="11">
        <v>16.5</v>
      </c>
      <c r="G258" s="11">
        <v>19</v>
      </c>
    </row>
    <row r="259" spans="1:7" x14ac:dyDescent="0.3">
      <c r="A259" s="1">
        <v>45995.666683622687</v>
      </c>
      <c r="B259" s="4">
        <v>10.32</v>
      </c>
      <c r="C259" s="7">
        <f t="shared" si="3"/>
        <v>164.45841868523087</v>
      </c>
      <c r="D259" s="9">
        <v>20.3</v>
      </c>
      <c r="E259" s="11">
        <v>15</v>
      </c>
      <c r="F259" s="11">
        <v>16.5</v>
      </c>
      <c r="G259" s="11">
        <v>19</v>
      </c>
    </row>
    <row r="260" spans="1:7" x14ac:dyDescent="0.3">
      <c r="A260" s="1">
        <v>45995.70835040509</v>
      </c>
      <c r="B260" s="4">
        <v>10.35</v>
      </c>
      <c r="C260" s="7">
        <f t="shared" si="3"/>
        <v>167.28140330242118</v>
      </c>
      <c r="D260" s="9">
        <v>15.9</v>
      </c>
      <c r="E260" s="11">
        <v>15</v>
      </c>
      <c r="F260" s="11">
        <v>16.5</v>
      </c>
      <c r="G260" s="11">
        <v>19</v>
      </c>
    </row>
    <row r="261" spans="1:7" x14ac:dyDescent="0.3">
      <c r="A261" s="1">
        <v>45995.7500171875</v>
      </c>
      <c r="B261" s="4">
        <v>10.42</v>
      </c>
      <c r="C261" s="7">
        <f t="shared" ref="C261:C267" si="4">IF(B261="","",IF((B261-0.118)&gt;14,9.8381*((B261-0.118)-7.5)^2+42.44*((B261-0.118)-7.5)-16.777,35.535*((B261-0.118)-7.5)^1.5414))</f>
        <v>173.9336844807782</v>
      </c>
      <c r="D261" s="9">
        <v>0</v>
      </c>
      <c r="E261" s="11">
        <v>15</v>
      </c>
      <c r="F261" s="11">
        <v>16.5</v>
      </c>
      <c r="G261" s="11">
        <v>19</v>
      </c>
    </row>
    <row r="262" spans="1:7" x14ac:dyDescent="0.3">
      <c r="A262" s="1">
        <v>45995.79168396991</v>
      </c>
      <c r="B262" s="4">
        <v>10.48</v>
      </c>
      <c r="C262" s="7">
        <f t="shared" si="4"/>
        <v>179.70778304556984</v>
      </c>
      <c r="D262" s="9">
        <v>0</v>
      </c>
      <c r="E262" s="11">
        <v>15</v>
      </c>
      <c r="F262" s="11">
        <v>16.5</v>
      </c>
      <c r="G262" s="11">
        <v>19</v>
      </c>
    </row>
    <row r="263" spans="1:7" x14ac:dyDescent="0.3">
      <c r="A263" s="1">
        <v>45995.833350752313</v>
      </c>
      <c r="B263" s="4">
        <v>10.5</v>
      </c>
      <c r="C263" s="7">
        <f t="shared" si="4"/>
        <v>181.64716122819658</v>
      </c>
      <c r="D263" s="9">
        <v>0</v>
      </c>
      <c r="E263" s="11">
        <v>15</v>
      </c>
      <c r="F263" s="11">
        <v>16.5</v>
      </c>
      <c r="G263" s="11">
        <v>19</v>
      </c>
    </row>
    <row r="264" spans="1:7" x14ac:dyDescent="0.3">
      <c r="A264" s="1">
        <v>45995.875017534723</v>
      </c>
      <c r="B264" s="4">
        <v>10.52</v>
      </c>
      <c r="C264" s="7">
        <f t="shared" si="4"/>
        <v>183.59383962203529</v>
      </c>
      <c r="D264" s="9">
        <v>0</v>
      </c>
      <c r="E264" s="11">
        <v>15</v>
      </c>
      <c r="F264" s="11">
        <v>16.5</v>
      </c>
      <c r="G264" s="11">
        <v>19</v>
      </c>
    </row>
    <row r="265" spans="1:7" x14ac:dyDescent="0.3">
      <c r="A265" s="1">
        <v>45995.916684317126</v>
      </c>
      <c r="B265" s="4">
        <v>10.62</v>
      </c>
      <c r="C265" s="7">
        <f t="shared" si="4"/>
        <v>193.43593369876038</v>
      </c>
      <c r="D265" s="9">
        <v>0</v>
      </c>
      <c r="E265" s="11">
        <v>15</v>
      </c>
      <c r="F265" s="11">
        <v>16.5</v>
      </c>
      <c r="G265" s="11">
        <v>19</v>
      </c>
    </row>
    <row r="266" spans="1:7" x14ac:dyDescent="0.3">
      <c r="A266" s="1">
        <v>45995.958351099536</v>
      </c>
      <c r="B266" s="4">
        <v>10.65</v>
      </c>
      <c r="C266" s="7">
        <f t="shared" si="4"/>
        <v>196.4236169869051</v>
      </c>
      <c r="D266" s="9">
        <v>0</v>
      </c>
      <c r="E266" s="11">
        <v>15</v>
      </c>
      <c r="F266" s="11">
        <v>16.5</v>
      </c>
      <c r="G266" s="11">
        <v>19</v>
      </c>
    </row>
    <row r="267" spans="1:7" x14ac:dyDescent="0.3">
      <c r="A267" s="1">
        <v>45996.000017881946</v>
      </c>
      <c r="B267" s="4">
        <v>10.65</v>
      </c>
      <c r="C267" s="7">
        <f t="shared" si="4"/>
        <v>196.4236169869051</v>
      </c>
      <c r="D267" s="9">
        <v>0</v>
      </c>
      <c r="E267" s="11">
        <v>15</v>
      </c>
      <c r="F267" s="11">
        <v>16.5</v>
      </c>
      <c r="G267" s="11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643-963A-4786-B9D7-4CCEA60E37DA}">
  <dimension ref="A1:Q267"/>
  <sheetViews>
    <sheetView workbookViewId="0">
      <selection activeCell="O43" sqref="O43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3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1.8</v>
      </c>
      <c r="C4" s="7">
        <f>IF(B4="","",IF(B4&lt;=2.23,13.015*(B4-0.345)^3.274,114.59*(B4-0.345)^2-419*(B4-0.345)+487.77))</f>
        <v>44.428086891605425</v>
      </c>
      <c r="D4" s="9">
        <v>0</v>
      </c>
      <c r="E4" s="11">
        <v>3</v>
      </c>
      <c r="F4" s="11">
        <v>4</v>
      </c>
      <c r="G4" s="11">
        <v>6</v>
      </c>
      <c r="I4" s="23">
        <v>8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1.7</v>
      </c>
      <c r="C5" s="7">
        <f t="shared" ref="C5:C68" si="0">IF(B5="","",IF(B5&lt;=2.23,13.015*(B5-0.345)^3.274,114.59*(B5-0.345)^2-419*(B5-0.345)+487.77))</f>
        <v>35.189526648238292</v>
      </c>
      <c r="D5" s="9">
        <v>0</v>
      </c>
      <c r="E5" s="11">
        <v>3</v>
      </c>
      <c r="F5" s="11">
        <v>4</v>
      </c>
      <c r="G5" s="11">
        <v>6</v>
      </c>
      <c r="K5" s="1"/>
      <c r="Q5" s="25"/>
    </row>
    <row r="6" spans="1:17" x14ac:dyDescent="0.3">
      <c r="A6" s="1">
        <v>45985.125000057873</v>
      </c>
      <c r="B6" s="5">
        <v>1.7</v>
      </c>
      <c r="C6" s="7">
        <f t="shared" si="0"/>
        <v>35.189526648238292</v>
      </c>
      <c r="D6" s="9">
        <v>0</v>
      </c>
      <c r="E6" s="11">
        <v>3</v>
      </c>
      <c r="F6" s="11">
        <v>4</v>
      </c>
      <c r="G6" s="11">
        <v>6</v>
      </c>
      <c r="K6" s="1"/>
      <c r="M6" s="1"/>
    </row>
    <row r="7" spans="1:17" x14ac:dyDescent="0.3">
      <c r="A7" s="1">
        <v>45985.16666678241</v>
      </c>
      <c r="B7" s="5">
        <v>1.7</v>
      </c>
      <c r="C7" s="7">
        <f t="shared" si="0"/>
        <v>35.189526648238292</v>
      </c>
      <c r="D7" s="9">
        <v>0</v>
      </c>
      <c r="E7" s="11">
        <v>3</v>
      </c>
      <c r="F7" s="11">
        <v>4</v>
      </c>
      <c r="G7" s="11">
        <v>6</v>
      </c>
    </row>
    <row r="8" spans="1:17" x14ac:dyDescent="0.3">
      <c r="A8" s="1">
        <v>45985.208333506947</v>
      </c>
      <c r="B8" s="5">
        <v>1.7</v>
      </c>
      <c r="C8" s="7">
        <f t="shared" si="0"/>
        <v>35.189526648238292</v>
      </c>
      <c r="D8" s="9">
        <v>0</v>
      </c>
      <c r="E8" s="11">
        <v>3</v>
      </c>
      <c r="F8" s="11">
        <v>4</v>
      </c>
      <c r="G8" s="11">
        <v>6</v>
      </c>
    </row>
    <row r="9" spans="1:17" x14ac:dyDescent="0.3">
      <c r="A9" s="1">
        <v>45985.250000231485</v>
      </c>
      <c r="B9" s="5">
        <v>1.65</v>
      </c>
      <c r="C9" s="7">
        <f t="shared" si="0"/>
        <v>31.113795123628769</v>
      </c>
      <c r="D9" s="9">
        <v>0</v>
      </c>
      <c r="E9" s="11">
        <v>3</v>
      </c>
      <c r="F9" s="11">
        <v>4</v>
      </c>
      <c r="G9" s="11">
        <v>6</v>
      </c>
    </row>
    <row r="10" spans="1:17" x14ac:dyDescent="0.3">
      <c r="A10" s="1">
        <v>45985.291666956022</v>
      </c>
      <c r="B10" s="5">
        <v>1.69</v>
      </c>
      <c r="C10" s="7">
        <f t="shared" si="0"/>
        <v>34.346376902123808</v>
      </c>
      <c r="D10" s="9">
        <v>0</v>
      </c>
      <c r="E10" s="11">
        <v>3</v>
      </c>
      <c r="F10" s="11">
        <v>4</v>
      </c>
      <c r="G10" s="11">
        <v>6</v>
      </c>
    </row>
    <row r="11" spans="1:17" x14ac:dyDescent="0.3">
      <c r="A11" s="1">
        <v>45985.333333680559</v>
      </c>
      <c r="B11" s="5">
        <v>1.58</v>
      </c>
      <c r="C11" s="7">
        <f t="shared" si="0"/>
        <v>25.975372938816697</v>
      </c>
      <c r="D11" s="9">
        <v>0</v>
      </c>
      <c r="E11" s="11">
        <v>3</v>
      </c>
      <c r="F11" s="11">
        <v>4</v>
      </c>
      <c r="G11" s="11">
        <v>6</v>
      </c>
    </row>
    <row r="12" spans="1:17" x14ac:dyDescent="0.3">
      <c r="A12" s="1">
        <v>45985.375000405096</v>
      </c>
      <c r="B12" s="5">
        <v>1.57</v>
      </c>
      <c r="C12" s="7">
        <f t="shared" si="0"/>
        <v>25.293080535140668</v>
      </c>
      <c r="D12" s="9">
        <v>0</v>
      </c>
      <c r="E12" s="11">
        <v>3</v>
      </c>
      <c r="F12" s="11">
        <v>4</v>
      </c>
      <c r="G12" s="11">
        <v>6</v>
      </c>
    </row>
    <row r="13" spans="1:17" x14ac:dyDescent="0.3">
      <c r="A13" s="1">
        <v>45985.416667129626</v>
      </c>
      <c r="B13" s="5">
        <v>1.66</v>
      </c>
      <c r="C13" s="7">
        <f t="shared" si="0"/>
        <v>31.901204947242384</v>
      </c>
      <c r="D13" s="9">
        <v>0</v>
      </c>
      <c r="E13" s="11">
        <v>3</v>
      </c>
      <c r="F13" s="11">
        <v>4</v>
      </c>
      <c r="G13" s="11">
        <v>6</v>
      </c>
    </row>
    <row r="14" spans="1:17" x14ac:dyDescent="0.3">
      <c r="A14" s="1">
        <v>45985.458333854163</v>
      </c>
      <c r="B14" s="5">
        <v>1.47</v>
      </c>
      <c r="C14" s="7">
        <f t="shared" si="0"/>
        <v>19.138924575829883</v>
      </c>
      <c r="D14" s="9">
        <v>0</v>
      </c>
      <c r="E14" s="11">
        <v>3</v>
      </c>
      <c r="F14" s="11">
        <v>4</v>
      </c>
      <c r="G14" s="11">
        <v>6</v>
      </c>
    </row>
    <row r="15" spans="1:17" x14ac:dyDescent="0.3">
      <c r="A15" s="1">
        <v>45985.500000578701</v>
      </c>
      <c r="B15" s="5">
        <v>1.47</v>
      </c>
      <c r="C15" s="7">
        <f t="shared" si="0"/>
        <v>19.138924575829883</v>
      </c>
      <c r="D15" s="9">
        <v>0</v>
      </c>
      <c r="E15" s="11">
        <v>3</v>
      </c>
      <c r="F15" s="11">
        <v>4</v>
      </c>
      <c r="G15" s="11">
        <v>6</v>
      </c>
    </row>
    <row r="16" spans="1:17" x14ac:dyDescent="0.3">
      <c r="A16" s="1">
        <v>45985.541667303238</v>
      </c>
      <c r="B16" s="5">
        <v>1.74</v>
      </c>
      <c r="C16" s="7">
        <f t="shared" si="0"/>
        <v>38.706163621184182</v>
      </c>
      <c r="D16" s="9">
        <v>0</v>
      </c>
      <c r="E16" s="11">
        <v>3</v>
      </c>
      <c r="F16" s="11">
        <v>4</v>
      </c>
      <c r="G16" s="11">
        <v>6</v>
      </c>
    </row>
    <row r="17" spans="1:7" x14ac:dyDescent="0.3">
      <c r="A17" s="1">
        <v>45985.583334027775</v>
      </c>
      <c r="B17" s="5">
        <v>1.8</v>
      </c>
      <c r="C17" s="7">
        <f t="shared" si="0"/>
        <v>44.428086891605425</v>
      </c>
      <c r="D17" s="9">
        <v>0</v>
      </c>
      <c r="E17" s="11">
        <v>3</v>
      </c>
      <c r="F17" s="11">
        <v>4</v>
      </c>
      <c r="G17" s="11">
        <v>6</v>
      </c>
    </row>
    <row r="18" spans="1:7" x14ac:dyDescent="0.3">
      <c r="A18" s="1">
        <v>45985.625000752312</v>
      </c>
      <c r="B18" s="5">
        <v>1.99</v>
      </c>
      <c r="C18" s="7">
        <f t="shared" si="0"/>
        <v>66.400497994676087</v>
      </c>
      <c r="D18" s="9">
        <v>0</v>
      </c>
      <c r="E18" s="11">
        <v>3</v>
      </c>
      <c r="F18" s="11">
        <v>4</v>
      </c>
      <c r="G18" s="11">
        <v>6</v>
      </c>
    </row>
    <row r="19" spans="1:7" x14ac:dyDescent="0.3">
      <c r="A19" s="1">
        <v>45985.666667476849</v>
      </c>
      <c r="B19" s="5">
        <v>1.93</v>
      </c>
      <c r="C19" s="7">
        <f t="shared" si="0"/>
        <v>58.794945365776705</v>
      </c>
      <c r="D19" s="9">
        <v>0</v>
      </c>
      <c r="E19" s="11">
        <v>3</v>
      </c>
      <c r="F19" s="11">
        <v>4</v>
      </c>
      <c r="G19" s="11">
        <v>6</v>
      </c>
    </row>
    <row r="20" spans="1:7" x14ac:dyDescent="0.3">
      <c r="A20" s="1">
        <v>45985.708334201387</v>
      </c>
      <c r="B20" s="5">
        <v>2.14</v>
      </c>
      <c r="C20" s="7">
        <f t="shared" si="0"/>
        <v>88.359081213371596</v>
      </c>
      <c r="D20" s="9">
        <v>0</v>
      </c>
      <c r="E20" s="11">
        <v>3</v>
      </c>
      <c r="F20" s="11">
        <v>4</v>
      </c>
      <c r="G20" s="11">
        <v>6</v>
      </c>
    </row>
    <row r="21" spans="1:7" x14ac:dyDescent="0.3">
      <c r="A21" s="1">
        <v>45985.750000925924</v>
      </c>
      <c r="B21" s="5">
        <v>1.98</v>
      </c>
      <c r="C21" s="7">
        <f t="shared" si="0"/>
        <v>65.088057242302639</v>
      </c>
      <c r="D21" s="9">
        <v>0</v>
      </c>
      <c r="E21" s="11">
        <v>3</v>
      </c>
      <c r="F21" s="11">
        <v>4</v>
      </c>
      <c r="G21" s="11">
        <v>6</v>
      </c>
    </row>
    <row r="22" spans="1:7" x14ac:dyDescent="0.3">
      <c r="A22" s="1">
        <v>45985.791667650461</v>
      </c>
      <c r="B22" s="5">
        <v>1.95</v>
      </c>
      <c r="C22" s="7">
        <f t="shared" si="0"/>
        <v>61.258935071009347</v>
      </c>
      <c r="D22" s="9">
        <v>0</v>
      </c>
      <c r="E22" s="11">
        <v>3</v>
      </c>
      <c r="F22" s="11">
        <v>4</v>
      </c>
      <c r="G22" s="11">
        <v>6</v>
      </c>
    </row>
    <row r="23" spans="1:7" x14ac:dyDescent="0.3">
      <c r="A23" s="1">
        <v>45985.833334374998</v>
      </c>
      <c r="B23" s="5">
        <v>1.96</v>
      </c>
      <c r="C23" s="7">
        <f t="shared" si="0"/>
        <v>62.517416792361395</v>
      </c>
      <c r="D23" s="9">
        <v>0</v>
      </c>
      <c r="E23" s="11">
        <v>3</v>
      </c>
      <c r="F23" s="11">
        <v>4</v>
      </c>
      <c r="G23" s="11">
        <v>6</v>
      </c>
    </row>
    <row r="24" spans="1:7" x14ac:dyDescent="0.3">
      <c r="A24" s="1">
        <v>45985.875001099535</v>
      </c>
      <c r="B24" s="5">
        <v>1.9</v>
      </c>
      <c r="C24" s="7">
        <f t="shared" si="0"/>
        <v>55.229292559593233</v>
      </c>
      <c r="D24" s="9">
        <v>0</v>
      </c>
      <c r="E24" s="11">
        <v>3</v>
      </c>
      <c r="F24" s="11">
        <v>4</v>
      </c>
      <c r="G24" s="11">
        <v>6</v>
      </c>
    </row>
    <row r="25" spans="1:7" x14ac:dyDescent="0.3">
      <c r="A25" s="1">
        <v>45985.916667824073</v>
      </c>
      <c r="B25" s="5">
        <v>1.9</v>
      </c>
      <c r="C25" s="7">
        <f t="shared" si="0"/>
        <v>55.229292559593233</v>
      </c>
      <c r="D25" s="9">
        <v>0</v>
      </c>
      <c r="E25" s="11">
        <v>3</v>
      </c>
      <c r="F25" s="11">
        <v>4</v>
      </c>
      <c r="G25" s="11">
        <v>6</v>
      </c>
    </row>
    <row r="26" spans="1:7" x14ac:dyDescent="0.3">
      <c r="A26" s="1">
        <v>45985.95833454861</v>
      </c>
      <c r="B26" s="5">
        <v>1.88</v>
      </c>
      <c r="C26" s="7">
        <f t="shared" si="0"/>
        <v>52.937448838920183</v>
      </c>
      <c r="D26" s="9">
        <v>0</v>
      </c>
      <c r="E26" s="11">
        <v>3</v>
      </c>
      <c r="F26" s="11">
        <v>4</v>
      </c>
      <c r="G26" s="11">
        <v>6</v>
      </c>
    </row>
    <row r="27" spans="1:7" x14ac:dyDescent="0.3">
      <c r="A27" s="1">
        <v>45986.000001273147</v>
      </c>
      <c r="B27" s="5">
        <v>1.8</v>
      </c>
      <c r="C27" s="7">
        <f t="shared" si="0"/>
        <v>44.428086891605425</v>
      </c>
      <c r="D27" s="9">
        <v>0</v>
      </c>
      <c r="E27" s="11">
        <v>3</v>
      </c>
      <c r="F27" s="11">
        <v>4</v>
      </c>
      <c r="G27" s="11">
        <v>6</v>
      </c>
    </row>
    <row r="28" spans="1:7" x14ac:dyDescent="0.3">
      <c r="A28" s="1">
        <v>45986.041667997684</v>
      </c>
      <c r="B28" s="5">
        <v>1.8</v>
      </c>
      <c r="C28" s="7">
        <f t="shared" si="0"/>
        <v>44.428086891605425</v>
      </c>
      <c r="D28" s="9">
        <v>0</v>
      </c>
      <c r="E28" s="11">
        <v>3</v>
      </c>
      <c r="F28" s="11">
        <v>4</v>
      </c>
      <c r="G28" s="11">
        <v>6</v>
      </c>
    </row>
    <row r="29" spans="1:7" x14ac:dyDescent="0.3">
      <c r="A29" s="1">
        <v>45986.083334722221</v>
      </c>
      <c r="B29" s="5">
        <v>1.8</v>
      </c>
      <c r="C29" s="7">
        <f t="shared" si="0"/>
        <v>44.428086891605425</v>
      </c>
      <c r="D29" s="9">
        <v>0</v>
      </c>
      <c r="E29" s="11">
        <v>3</v>
      </c>
      <c r="F29" s="11">
        <v>4</v>
      </c>
      <c r="G29" s="11">
        <v>6</v>
      </c>
    </row>
    <row r="30" spans="1:7" x14ac:dyDescent="0.3">
      <c r="A30" s="1">
        <v>45986.125001446759</v>
      </c>
      <c r="B30" s="5">
        <v>1.7</v>
      </c>
      <c r="C30" s="7">
        <f t="shared" si="0"/>
        <v>35.189526648238292</v>
      </c>
      <c r="D30" s="9">
        <v>0</v>
      </c>
      <c r="E30" s="11">
        <v>3</v>
      </c>
      <c r="F30" s="11">
        <v>4</v>
      </c>
      <c r="G30" s="11">
        <v>6</v>
      </c>
    </row>
    <row r="31" spans="1:7" x14ac:dyDescent="0.3">
      <c r="A31" s="1">
        <v>45986.166668171296</v>
      </c>
      <c r="B31" s="5">
        <v>1.89</v>
      </c>
      <c r="C31" s="7">
        <f t="shared" si="0"/>
        <v>54.074937764704792</v>
      </c>
      <c r="D31" s="9">
        <v>0</v>
      </c>
      <c r="E31" s="11">
        <v>3</v>
      </c>
      <c r="F31" s="11">
        <v>4</v>
      </c>
      <c r="G31" s="11">
        <v>6</v>
      </c>
    </row>
    <row r="32" spans="1:7" x14ac:dyDescent="0.3">
      <c r="A32" s="1">
        <v>45986.208334895833</v>
      </c>
      <c r="B32" s="5">
        <v>1.83</v>
      </c>
      <c r="C32" s="7">
        <f t="shared" si="0"/>
        <v>47.498137645475794</v>
      </c>
      <c r="D32" s="9">
        <v>0</v>
      </c>
      <c r="E32" s="11">
        <v>3</v>
      </c>
      <c r="F32" s="11">
        <v>4</v>
      </c>
      <c r="G32" s="11">
        <v>6</v>
      </c>
    </row>
    <row r="33" spans="1:7" x14ac:dyDescent="0.3">
      <c r="A33" s="1">
        <v>45986.25000162037</v>
      </c>
      <c r="B33" s="5">
        <v>1.83</v>
      </c>
      <c r="C33" s="7">
        <f t="shared" si="0"/>
        <v>47.498137645475794</v>
      </c>
      <c r="D33" s="9">
        <v>0</v>
      </c>
      <c r="E33" s="11">
        <v>3</v>
      </c>
      <c r="F33" s="11">
        <v>4</v>
      </c>
      <c r="G33" s="11">
        <v>6</v>
      </c>
    </row>
    <row r="34" spans="1:7" x14ac:dyDescent="0.3">
      <c r="A34" s="1">
        <v>45986.291668344908</v>
      </c>
      <c r="B34" s="5">
        <v>1.8</v>
      </c>
      <c r="C34" s="7">
        <f t="shared" si="0"/>
        <v>44.428086891605425</v>
      </c>
      <c r="D34" s="9">
        <v>0</v>
      </c>
      <c r="E34" s="11">
        <v>3</v>
      </c>
      <c r="F34" s="11">
        <v>4</v>
      </c>
      <c r="G34" s="11">
        <v>6</v>
      </c>
    </row>
    <row r="35" spans="1:7" x14ac:dyDescent="0.3">
      <c r="A35" s="1">
        <v>45986.333335069445</v>
      </c>
      <c r="B35" s="5">
        <v>1.8</v>
      </c>
      <c r="C35" s="7">
        <f t="shared" si="0"/>
        <v>44.428086891605425</v>
      </c>
      <c r="D35" s="9">
        <v>0</v>
      </c>
      <c r="E35" s="11">
        <v>3</v>
      </c>
      <c r="F35" s="11">
        <v>4</v>
      </c>
      <c r="G35" s="11">
        <v>6</v>
      </c>
    </row>
    <row r="36" spans="1:7" x14ac:dyDescent="0.3">
      <c r="A36" s="1">
        <v>45986.375001793982</v>
      </c>
      <c r="B36" s="5">
        <v>1.8</v>
      </c>
      <c r="C36" s="7">
        <f t="shared" si="0"/>
        <v>44.428086891605425</v>
      </c>
      <c r="D36" s="9">
        <v>0</v>
      </c>
      <c r="E36" s="11">
        <v>3</v>
      </c>
      <c r="F36" s="11">
        <v>4</v>
      </c>
      <c r="G36" s="11">
        <v>6</v>
      </c>
    </row>
    <row r="37" spans="1:7" x14ac:dyDescent="0.3">
      <c r="A37" s="1">
        <v>45986.416668518519</v>
      </c>
      <c r="B37" s="5">
        <v>1.8</v>
      </c>
      <c r="C37" s="7">
        <f t="shared" si="0"/>
        <v>44.428086891605425</v>
      </c>
      <c r="D37" s="9">
        <v>0</v>
      </c>
      <c r="E37" s="11">
        <v>3</v>
      </c>
      <c r="F37" s="11">
        <v>4</v>
      </c>
      <c r="G37" s="11">
        <v>6</v>
      </c>
    </row>
    <row r="38" spans="1:7" x14ac:dyDescent="0.3">
      <c r="A38" s="1">
        <v>45986.458335243056</v>
      </c>
      <c r="B38" s="5">
        <v>1.76</v>
      </c>
      <c r="C38" s="7">
        <f t="shared" si="0"/>
        <v>40.552791667203564</v>
      </c>
      <c r="D38" s="9">
        <v>0.5</v>
      </c>
      <c r="E38" s="11">
        <v>3</v>
      </c>
      <c r="F38" s="11">
        <v>4</v>
      </c>
      <c r="G38" s="11">
        <v>6</v>
      </c>
    </row>
    <row r="39" spans="1:7" x14ac:dyDescent="0.3">
      <c r="A39" s="1">
        <v>45986.500001967594</v>
      </c>
      <c r="B39" s="5">
        <v>1.76</v>
      </c>
      <c r="C39" s="7">
        <f t="shared" si="0"/>
        <v>40.552791667203564</v>
      </c>
      <c r="D39" s="9">
        <v>1</v>
      </c>
      <c r="E39" s="11">
        <v>3</v>
      </c>
      <c r="F39" s="11">
        <v>4</v>
      </c>
      <c r="G39" s="11">
        <v>6</v>
      </c>
    </row>
    <row r="40" spans="1:7" x14ac:dyDescent="0.3">
      <c r="A40" s="1">
        <v>45986.541668692131</v>
      </c>
      <c r="B40" s="5">
        <v>1.75</v>
      </c>
      <c r="C40" s="7">
        <f t="shared" si="0"/>
        <v>39.622005872567456</v>
      </c>
      <c r="D40" s="9">
        <v>0</v>
      </c>
      <c r="E40" s="11">
        <v>3</v>
      </c>
      <c r="F40" s="11">
        <v>4</v>
      </c>
      <c r="G40" s="11">
        <v>6</v>
      </c>
    </row>
    <row r="41" spans="1:7" x14ac:dyDescent="0.3">
      <c r="A41" s="1">
        <v>45986.583335416668</v>
      </c>
      <c r="B41" s="5">
        <v>1.58</v>
      </c>
      <c r="C41" s="7">
        <f t="shared" si="0"/>
        <v>25.975372938816697</v>
      </c>
      <c r="D41" s="9">
        <v>0</v>
      </c>
      <c r="E41" s="11">
        <v>3</v>
      </c>
      <c r="F41" s="11">
        <v>4</v>
      </c>
      <c r="G41" s="11">
        <v>6</v>
      </c>
    </row>
    <row r="42" spans="1:7" x14ac:dyDescent="0.3">
      <c r="A42" s="1">
        <v>45986.625002141205</v>
      </c>
      <c r="B42" s="5">
        <v>1.7</v>
      </c>
      <c r="C42" s="7">
        <f t="shared" si="0"/>
        <v>35.189526648238292</v>
      </c>
      <c r="D42" s="9">
        <v>0</v>
      </c>
      <c r="E42" s="11">
        <v>3</v>
      </c>
      <c r="F42" s="11">
        <v>4</v>
      </c>
      <c r="G42" s="11">
        <v>6</v>
      </c>
    </row>
    <row r="43" spans="1:7" x14ac:dyDescent="0.3">
      <c r="A43" s="1">
        <v>45986.666668865742</v>
      </c>
      <c r="B43" s="5">
        <v>1.72</v>
      </c>
      <c r="C43" s="7">
        <f t="shared" si="0"/>
        <v>36.918768535255168</v>
      </c>
      <c r="D43" s="9">
        <v>0</v>
      </c>
      <c r="E43" s="11">
        <v>3</v>
      </c>
      <c r="F43" s="11">
        <v>4</v>
      </c>
      <c r="G43" s="11">
        <v>6</v>
      </c>
    </row>
    <row r="44" spans="1:7" x14ac:dyDescent="0.3">
      <c r="A44" s="1">
        <v>45986.70833559028</v>
      </c>
      <c r="B44" s="5">
        <v>1.85</v>
      </c>
      <c r="C44" s="7">
        <f t="shared" si="0"/>
        <v>49.624789002328875</v>
      </c>
      <c r="D44" s="9">
        <v>0.5</v>
      </c>
      <c r="E44" s="11">
        <v>3</v>
      </c>
      <c r="F44" s="11">
        <v>4</v>
      </c>
      <c r="G44" s="11">
        <v>6</v>
      </c>
    </row>
    <row r="45" spans="1:7" x14ac:dyDescent="0.3">
      <c r="A45" s="1">
        <v>45986.750002314817</v>
      </c>
      <c r="B45" s="5">
        <v>1.78</v>
      </c>
      <c r="C45" s="7">
        <f t="shared" si="0"/>
        <v>42.459736684708091</v>
      </c>
      <c r="D45" s="9">
        <v>3</v>
      </c>
      <c r="E45" s="11">
        <v>3</v>
      </c>
      <c r="F45" s="11">
        <v>4</v>
      </c>
      <c r="G45" s="11">
        <v>6</v>
      </c>
    </row>
    <row r="46" spans="1:7" x14ac:dyDescent="0.3">
      <c r="A46" s="1">
        <v>45986.791669039354</v>
      </c>
      <c r="B46" s="5">
        <v>1.73</v>
      </c>
      <c r="C46" s="7">
        <f t="shared" si="0"/>
        <v>37.805129543416001</v>
      </c>
      <c r="D46" s="9">
        <v>0</v>
      </c>
      <c r="E46" s="11">
        <v>3</v>
      </c>
      <c r="F46" s="11">
        <v>4</v>
      </c>
      <c r="G46" s="11">
        <v>6</v>
      </c>
    </row>
    <row r="47" spans="1:7" x14ac:dyDescent="0.3">
      <c r="A47" s="1">
        <v>45986.833335763891</v>
      </c>
      <c r="B47" s="5">
        <v>1.89</v>
      </c>
      <c r="C47" s="7">
        <f t="shared" si="0"/>
        <v>54.074937764704792</v>
      </c>
      <c r="D47" s="9">
        <v>0</v>
      </c>
      <c r="E47" s="11">
        <v>3</v>
      </c>
      <c r="F47" s="11">
        <v>4</v>
      </c>
      <c r="G47" s="11">
        <v>6</v>
      </c>
    </row>
    <row r="48" spans="1:7" x14ac:dyDescent="0.3">
      <c r="A48" s="1">
        <v>45986.875002488428</v>
      </c>
      <c r="B48" s="5">
        <v>1.89</v>
      </c>
      <c r="C48" s="7">
        <f t="shared" si="0"/>
        <v>54.074937764704792</v>
      </c>
      <c r="D48" s="9">
        <v>0</v>
      </c>
      <c r="E48" s="11">
        <v>3</v>
      </c>
      <c r="F48" s="11">
        <v>4</v>
      </c>
      <c r="G48" s="11">
        <v>6</v>
      </c>
    </row>
    <row r="49" spans="1:7" x14ac:dyDescent="0.3">
      <c r="A49" s="1">
        <v>45986.916669212966</v>
      </c>
      <c r="B49" s="5">
        <v>1.83</v>
      </c>
      <c r="C49" s="7">
        <f t="shared" si="0"/>
        <v>47.498137645475794</v>
      </c>
      <c r="D49" s="9">
        <v>0</v>
      </c>
      <c r="E49" s="11">
        <v>3</v>
      </c>
      <c r="F49" s="11">
        <v>4</v>
      </c>
      <c r="G49" s="11">
        <v>6</v>
      </c>
    </row>
    <row r="50" spans="1:7" x14ac:dyDescent="0.3">
      <c r="A50" s="1">
        <v>45986.958335937503</v>
      </c>
      <c r="B50" s="5">
        <v>1.83</v>
      </c>
      <c r="C50" s="7">
        <f t="shared" si="0"/>
        <v>47.498137645475794</v>
      </c>
      <c r="D50" s="9">
        <v>0</v>
      </c>
      <c r="E50" s="11">
        <v>3</v>
      </c>
      <c r="F50" s="11">
        <v>4</v>
      </c>
      <c r="G50" s="11">
        <v>6</v>
      </c>
    </row>
    <row r="51" spans="1:7" x14ac:dyDescent="0.3">
      <c r="A51" s="1">
        <v>45987.00000266204</v>
      </c>
      <c r="B51" s="5">
        <v>1.53</v>
      </c>
      <c r="C51" s="7">
        <f t="shared" si="0"/>
        <v>22.688096017973614</v>
      </c>
      <c r="D51" s="9">
        <v>5</v>
      </c>
      <c r="E51" s="11">
        <v>3</v>
      </c>
      <c r="F51" s="11">
        <v>4</v>
      </c>
      <c r="G51" s="11">
        <v>6</v>
      </c>
    </row>
    <row r="52" spans="1:7" x14ac:dyDescent="0.3">
      <c r="A52" s="1">
        <v>45987.041669386577</v>
      </c>
      <c r="B52" s="5">
        <v>1.59</v>
      </c>
      <c r="C52" s="7">
        <f t="shared" si="0"/>
        <v>26.670344717306079</v>
      </c>
      <c r="D52" s="9">
        <v>6.1</v>
      </c>
      <c r="E52" s="11">
        <v>3</v>
      </c>
      <c r="F52" s="11">
        <v>4</v>
      </c>
      <c r="G52" s="11">
        <v>6</v>
      </c>
    </row>
    <row r="53" spans="1:7" x14ac:dyDescent="0.3">
      <c r="A53" s="1">
        <v>45987.083336111114</v>
      </c>
      <c r="B53" s="5">
        <v>1.65</v>
      </c>
      <c r="C53" s="7">
        <f t="shared" si="0"/>
        <v>31.113795123628769</v>
      </c>
      <c r="D53" s="9">
        <v>0</v>
      </c>
      <c r="E53" s="11">
        <v>3</v>
      </c>
      <c r="F53" s="11">
        <v>4</v>
      </c>
      <c r="G53" s="11">
        <v>6</v>
      </c>
    </row>
    <row r="54" spans="1:7" x14ac:dyDescent="0.3">
      <c r="A54" s="1">
        <v>45987.125002835652</v>
      </c>
      <c r="B54" s="5">
        <v>1.69</v>
      </c>
      <c r="C54" s="7">
        <f t="shared" si="0"/>
        <v>34.346376902123808</v>
      </c>
      <c r="D54" s="9">
        <v>0</v>
      </c>
      <c r="E54" s="11">
        <v>3</v>
      </c>
      <c r="F54" s="11">
        <v>4</v>
      </c>
      <c r="G54" s="11">
        <v>6</v>
      </c>
    </row>
    <row r="55" spans="1:7" x14ac:dyDescent="0.3">
      <c r="A55" s="1">
        <v>45987.166669560182</v>
      </c>
      <c r="B55" s="5">
        <v>1.69</v>
      </c>
      <c r="C55" s="7">
        <f t="shared" si="0"/>
        <v>34.346376902123808</v>
      </c>
      <c r="D55" s="9">
        <v>0</v>
      </c>
      <c r="E55" s="11">
        <v>3</v>
      </c>
      <c r="F55" s="11">
        <v>4</v>
      </c>
      <c r="G55" s="11">
        <v>6</v>
      </c>
    </row>
    <row r="56" spans="1:7" x14ac:dyDescent="0.3">
      <c r="A56" s="1">
        <v>45987.208336284719</v>
      </c>
      <c r="B56" s="5">
        <v>1.73</v>
      </c>
      <c r="C56" s="7">
        <f t="shared" si="0"/>
        <v>37.805129543416001</v>
      </c>
      <c r="D56" s="9">
        <v>0</v>
      </c>
      <c r="E56" s="11">
        <v>3</v>
      </c>
      <c r="F56" s="11">
        <v>4</v>
      </c>
      <c r="G56" s="11">
        <v>6</v>
      </c>
    </row>
    <row r="57" spans="1:7" x14ac:dyDescent="0.3">
      <c r="A57" s="1">
        <v>45987.250003009256</v>
      </c>
      <c r="B57" s="5">
        <v>1.79</v>
      </c>
      <c r="C57" s="7">
        <f t="shared" si="0"/>
        <v>43.43616796271975</v>
      </c>
      <c r="D57" s="9">
        <v>4.8</v>
      </c>
      <c r="E57" s="11">
        <v>3</v>
      </c>
      <c r="F57" s="11">
        <v>4</v>
      </c>
      <c r="G57" s="11">
        <v>6</v>
      </c>
    </row>
    <row r="58" spans="1:7" x14ac:dyDescent="0.3">
      <c r="A58" s="1">
        <v>45987.291669733793</v>
      </c>
      <c r="B58" s="5">
        <v>1.9</v>
      </c>
      <c r="C58" s="7">
        <f t="shared" si="0"/>
        <v>55.229292559593233</v>
      </c>
      <c r="D58" s="9">
        <v>0</v>
      </c>
      <c r="E58" s="11">
        <v>3</v>
      </c>
      <c r="F58" s="11">
        <v>4</v>
      </c>
      <c r="G58" s="11">
        <v>6</v>
      </c>
    </row>
    <row r="59" spans="1:7" x14ac:dyDescent="0.3">
      <c r="A59" s="1">
        <v>45987.33333645833</v>
      </c>
      <c r="B59" s="5">
        <v>1.8</v>
      </c>
      <c r="C59" s="7">
        <f t="shared" si="0"/>
        <v>44.428086891605425</v>
      </c>
      <c r="D59" s="9">
        <v>0.5</v>
      </c>
      <c r="E59" s="11">
        <v>3</v>
      </c>
      <c r="F59" s="11">
        <v>4</v>
      </c>
      <c r="G59" s="11">
        <v>6</v>
      </c>
    </row>
    <row r="60" spans="1:7" x14ac:dyDescent="0.3">
      <c r="A60" s="1">
        <v>45987.375003182868</v>
      </c>
      <c r="B60" s="5">
        <v>1.8</v>
      </c>
      <c r="C60" s="7">
        <f t="shared" si="0"/>
        <v>44.428086891605425</v>
      </c>
      <c r="D60" s="9">
        <v>1</v>
      </c>
      <c r="E60" s="11">
        <v>3</v>
      </c>
      <c r="F60" s="11">
        <v>4</v>
      </c>
      <c r="G60" s="11">
        <v>6</v>
      </c>
    </row>
    <row r="61" spans="1:7" x14ac:dyDescent="0.3">
      <c r="A61" s="1">
        <v>45987.416669907405</v>
      </c>
      <c r="B61" s="5">
        <v>1.72</v>
      </c>
      <c r="C61" s="7">
        <f t="shared" si="0"/>
        <v>36.918768535255168</v>
      </c>
      <c r="D61" s="9">
        <v>4.4000000000000004</v>
      </c>
      <c r="E61" s="11">
        <v>3</v>
      </c>
      <c r="F61" s="11">
        <v>4</v>
      </c>
      <c r="G61" s="11">
        <v>6</v>
      </c>
    </row>
    <row r="62" spans="1:7" x14ac:dyDescent="0.3">
      <c r="A62" s="1">
        <v>45987.458336631942</v>
      </c>
      <c r="B62" s="5">
        <v>1.84</v>
      </c>
      <c r="C62" s="7">
        <f t="shared" si="0"/>
        <v>48.55337652288771</v>
      </c>
      <c r="D62" s="9">
        <v>2.5</v>
      </c>
      <c r="E62" s="11">
        <v>3</v>
      </c>
      <c r="F62" s="11">
        <v>4</v>
      </c>
      <c r="G62" s="11">
        <v>6</v>
      </c>
    </row>
    <row r="63" spans="1:7" x14ac:dyDescent="0.3">
      <c r="A63" s="1">
        <v>45987.500003356479</v>
      </c>
      <c r="B63" s="5">
        <v>1.84</v>
      </c>
      <c r="C63" s="7">
        <f t="shared" si="0"/>
        <v>48.55337652288771</v>
      </c>
      <c r="D63" s="9">
        <v>1.3</v>
      </c>
      <c r="E63" s="11">
        <v>3</v>
      </c>
      <c r="F63" s="11">
        <v>4</v>
      </c>
      <c r="G63" s="11">
        <v>6</v>
      </c>
    </row>
    <row r="64" spans="1:7" x14ac:dyDescent="0.3">
      <c r="A64" s="1">
        <v>45987.541670081016</v>
      </c>
      <c r="B64" s="5">
        <v>1.85</v>
      </c>
      <c r="C64" s="7">
        <f t="shared" si="0"/>
        <v>49.624789002328875</v>
      </c>
      <c r="D64" s="9">
        <v>0</v>
      </c>
      <c r="E64" s="11">
        <v>3</v>
      </c>
      <c r="F64" s="11">
        <v>4</v>
      </c>
      <c r="G64" s="11">
        <v>6</v>
      </c>
    </row>
    <row r="65" spans="1:7" x14ac:dyDescent="0.3">
      <c r="A65" s="1">
        <v>45987.583336805554</v>
      </c>
      <c r="B65" s="5">
        <v>1.85</v>
      </c>
      <c r="C65" s="7">
        <f t="shared" si="0"/>
        <v>49.624789002328875</v>
      </c>
      <c r="D65" s="9">
        <v>0.8</v>
      </c>
      <c r="E65" s="11">
        <v>3</v>
      </c>
      <c r="F65" s="11">
        <v>4</v>
      </c>
      <c r="G65" s="11">
        <v>6</v>
      </c>
    </row>
    <row r="66" spans="1:7" x14ac:dyDescent="0.3">
      <c r="A66" s="1">
        <v>45987.625003530091</v>
      </c>
      <c r="B66" s="5">
        <v>1.86</v>
      </c>
      <c r="C66" s="7">
        <f t="shared" si="0"/>
        <v>50.712513036834743</v>
      </c>
      <c r="D66" s="9">
        <v>1.2</v>
      </c>
      <c r="E66" s="11">
        <v>3</v>
      </c>
      <c r="F66" s="11">
        <v>4</v>
      </c>
      <c r="G66" s="11">
        <v>6</v>
      </c>
    </row>
    <row r="67" spans="1:7" x14ac:dyDescent="0.3">
      <c r="A67" s="1">
        <v>45987.666670254628</v>
      </c>
      <c r="B67" s="5">
        <v>1.85</v>
      </c>
      <c r="C67" s="7">
        <f t="shared" si="0"/>
        <v>49.624789002328875</v>
      </c>
      <c r="D67" s="9">
        <v>1</v>
      </c>
      <c r="E67" s="11">
        <v>3</v>
      </c>
      <c r="F67" s="11">
        <v>4</v>
      </c>
      <c r="G67" s="11">
        <v>6</v>
      </c>
    </row>
    <row r="68" spans="1:7" x14ac:dyDescent="0.3">
      <c r="A68" s="1">
        <v>45987.708336979165</v>
      </c>
      <c r="B68" s="5">
        <v>1.85</v>
      </c>
      <c r="C68" s="7">
        <f t="shared" si="0"/>
        <v>49.624789002328875</v>
      </c>
      <c r="D68" s="9">
        <v>1.5</v>
      </c>
      <c r="E68" s="11">
        <v>3</v>
      </c>
      <c r="F68" s="11">
        <v>4</v>
      </c>
      <c r="G68" s="11">
        <v>6</v>
      </c>
    </row>
    <row r="69" spans="1:7" x14ac:dyDescent="0.3">
      <c r="A69" s="1">
        <v>45987.750003703703</v>
      </c>
      <c r="B69" s="5">
        <v>1.8</v>
      </c>
      <c r="C69" s="7">
        <f t="shared" ref="C69:C132" si="1">IF(B69="","",IF(B69&lt;=2.23,13.015*(B69-0.345)^3.274,114.59*(B69-0.345)^2-419*(B69-0.345)+487.77))</f>
        <v>44.428086891605425</v>
      </c>
      <c r="D69" s="9">
        <v>14.7</v>
      </c>
      <c r="E69" s="11">
        <v>3</v>
      </c>
      <c r="F69" s="11">
        <v>4</v>
      </c>
      <c r="G69" s="11">
        <v>6</v>
      </c>
    </row>
    <row r="70" spans="1:7" x14ac:dyDescent="0.3">
      <c r="A70" s="1">
        <v>45987.79167042824</v>
      </c>
      <c r="B70" s="5">
        <v>1.95</v>
      </c>
      <c r="C70" s="7">
        <f t="shared" si="1"/>
        <v>61.258935071009347</v>
      </c>
      <c r="D70" s="9">
        <v>1.5</v>
      </c>
      <c r="E70" s="11">
        <v>3</v>
      </c>
      <c r="F70" s="11">
        <v>4</v>
      </c>
      <c r="G70" s="11">
        <v>6</v>
      </c>
    </row>
    <row r="71" spans="1:7" x14ac:dyDescent="0.3">
      <c r="A71" s="1">
        <v>45987.833337152777</v>
      </c>
      <c r="B71" s="5">
        <v>1.96</v>
      </c>
      <c r="C71" s="7">
        <f t="shared" si="1"/>
        <v>62.517416792361395</v>
      </c>
      <c r="D71" s="9">
        <v>2.1</v>
      </c>
      <c r="E71" s="11">
        <v>3</v>
      </c>
      <c r="F71" s="11">
        <v>4</v>
      </c>
      <c r="G71" s="11">
        <v>6</v>
      </c>
    </row>
    <row r="72" spans="1:7" x14ac:dyDescent="0.3">
      <c r="A72" s="1">
        <v>45987.875003877314</v>
      </c>
      <c r="B72" s="5">
        <v>1.92</v>
      </c>
      <c r="C72" s="7">
        <f t="shared" si="1"/>
        <v>57.58915679440171</v>
      </c>
      <c r="D72" s="9">
        <v>7.4</v>
      </c>
      <c r="E72" s="11">
        <v>3</v>
      </c>
      <c r="F72" s="11">
        <v>4</v>
      </c>
      <c r="G72" s="11">
        <v>6</v>
      </c>
    </row>
    <row r="73" spans="1:7" x14ac:dyDescent="0.3">
      <c r="A73" s="1">
        <v>45987.916670601851</v>
      </c>
      <c r="B73" s="5">
        <v>1.9</v>
      </c>
      <c r="C73" s="7">
        <f t="shared" si="1"/>
        <v>55.229292559593233</v>
      </c>
      <c r="D73" s="9">
        <v>7.5</v>
      </c>
      <c r="E73" s="11">
        <v>3</v>
      </c>
      <c r="F73" s="11">
        <v>4</v>
      </c>
      <c r="G73" s="11">
        <v>6</v>
      </c>
    </row>
    <row r="74" spans="1:7" x14ac:dyDescent="0.3">
      <c r="A74" s="1">
        <v>45987.958337326389</v>
      </c>
      <c r="B74" s="5">
        <v>1.83</v>
      </c>
      <c r="C74" s="7">
        <f t="shared" si="1"/>
        <v>47.498137645475794</v>
      </c>
      <c r="D74" s="9">
        <v>10.5</v>
      </c>
      <c r="E74" s="11">
        <v>3</v>
      </c>
      <c r="F74" s="11">
        <v>4</v>
      </c>
      <c r="G74" s="11">
        <v>6</v>
      </c>
    </row>
    <row r="75" spans="1:7" x14ac:dyDescent="0.3">
      <c r="A75" s="1">
        <v>45988.000004050926</v>
      </c>
      <c r="B75" s="5">
        <v>1.9</v>
      </c>
      <c r="C75" s="7">
        <f t="shared" si="1"/>
        <v>55.229292559593233</v>
      </c>
      <c r="D75" s="9">
        <v>11.3</v>
      </c>
      <c r="E75" s="11">
        <v>3</v>
      </c>
      <c r="F75" s="11">
        <v>4</v>
      </c>
      <c r="G75" s="11">
        <v>6</v>
      </c>
    </row>
    <row r="76" spans="1:7" x14ac:dyDescent="0.3">
      <c r="A76" s="1">
        <v>45988.041670775463</v>
      </c>
      <c r="B76" s="5">
        <v>1.95</v>
      </c>
      <c r="C76" s="7">
        <f t="shared" si="1"/>
        <v>61.258935071009347</v>
      </c>
      <c r="D76" s="9">
        <v>1.5</v>
      </c>
      <c r="E76" s="11">
        <v>3</v>
      </c>
      <c r="F76" s="11">
        <v>4</v>
      </c>
      <c r="G76" s="11">
        <v>6</v>
      </c>
    </row>
    <row r="77" spans="1:7" x14ac:dyDescent="0.3">
      <c r="A77" s="1">
        <v>45988.0833375</v>
      </c>
      <c r="B77" s="5">
        <v>1.98</v>
      </c>
      <c r="C77" s="7">
        <f t="shared" si="1"/>
        <v>65.088057242302639</v>
      </c>
      <c r="D77" s="9">
        <v>1.5</v>
      </c>
      <c r="E77" s="11">
        <v>3</v>
      </c>
      <c r="F77" s="11">
        <v>4</v>
      </c>
      <c r="G77" s="11">
        <v>6</v>
      </c>
    </row>
    <row r="78" spans="1:7" x14ac:dyDescent="0.3">
      <c r="A78" s="1">
        <v>45988.125004224537</v>
      </c>
      <c r="B78" s="5">
        <v>1.98</v>
      </c>
      <c r="C78" s="7">
        <f t="shared" si="1"/>
        <v>65.088057242302639</v>
      </c>
      <c r="D78" s="9">
        <v>1</v>
      </c>
      <c r="E78" s="11">
        <v>3</v>
      </c>
      <c r="F78" s="11">
        <v>4</v>
      </c>
      <c r="G78" s="11">
        <v>6</v>
      </c>
    </row>
    <row r="79" spans="1:7" x14ac:dyDescent="0.3">
      <c r="A79" s="1">
        <v>45988.166670949075</v>
      </c>
      <c r="B79" s="5">
        <v>1.98</v>
      </c>
      <c r="C79" s="7">
        <f t="shared" si="1"/>
        <v>65.088057242302639</v>
      </c>
      <c r="D79" s="9">
        <v>2.2999999999999998</v>
      </c>
      <c r="E79" s="11">
        <v>3</v>
      </c>
      <c r="F79" s="11">
        <v>4</v>
      </c>
      <c r="G79" s="11">
        <v>6</v>
      </c>
    </row>
    <row r="80" spans="1:7" x14ac:dyDescent="0.3">
      <c r="A80" s="1">
        <v>45988.208337673612</v>
      </c>
      <c r="B80" s="5">
        <v>2.0499999999999998</v>
      </c>
      <c r="C80" s="7">
        <f t="shared" si="1"/>
        <v>74.663750826566528</v>
      </c>
      <c r="D80" s="9">
        <v>0.8</v>
      </c>
      <c r="E80" s="11">
        <v>3</v>
      </c>
      <c r="F80" s="11">
        <v>4</v>
      </c>
      <c r="G80" s="11">
        <v>6</v>
      </c>
    </row>
    <row r="81" spans="1:7" x14ac:dyDescent="0.3">
      <c r="A81" s="1">
        <v>45988.250004398149</v>
      </c>
      <c r="B81" s="5">
        <v>2.1</v>
      </c>
      <c r="C81" s="7">
        <f t="shared" si="1"/>
        <v>82.074352644841866</v>
      </c>
      <c r="D81" s="9">
        <v>12.3</v>
      </c>
      <c r="E81" s="11">
        <v>3</v>
      </c>
      <c r="F81" s="11">
        <v>4</v>
      </c>
      <c r="G81" s="11">
        <v>6</v>
      </c>
    </row>
    <row r="82" spans="1:7" x14ac:dyDescent="0.3">
      <c r="A82" s="1">
        <v>45988.291671122686</v>
      </c>
      <c r="B82" s="5">
        <v>2.1800000000000002</v>
      </c>
      <c r="C82" s="7">
        <f t="shared" si="1"/>
        <v>94.970486118870411</v>
      </c>
      <c r="D82" s="9">
        <v>8.9</v>
      </c>
      <c r="E82" s="11">
        <v>3</v>
      </c>
      <c r="F82" s="11">
        <v>4</v>
      </c>
      <c r="G82" s="11">
        <v>6</v>
      </c>
    </row>
    <row r="83" spans="1:7" x14ac:dyDescent="0.3">
      <c r="A83" s="1">
        <v>45988.333337847223</v>
      </c>
      <c r="B83" s="5">
        <v>2.19</v>
      </c>
      <c r="C83" s="7">
        <f t="shared" si="1"/>
        <v>96.675469403081379</v>
      </c>
      <c r="D83" s="9">
        <v>8</v>
      </c>
      <c r="E83" s="11">
        <v>3</v>
      </c>
      <c r="F83" s="11">
        <v>4</v>
      </c>
      <c r="G83" s="11">
        <v>6</v>
      </c>
    </row>
    <row r="84" spans="1:7" x14ac:dyDescent="0.3">
      <c r="A84" s="1">
        <v>45988.375004571761</v>
      </c>
      <c r="B84" s="5">
        <v>2.19</v>
      </c>
      <c r="C84" s="7">
        <f t="shared" si="1"/>
        <v>96.675469403081379</v>
      </c>
      <c r="D84" s="9">
        <v>5</v>
      </c>
      <c r="E84" s="11">
        <v>3</v>
      </c>
      <c r="F84" s="11">
        <v>4</v>
      </c>
      <c r="G84" s="11">
        <v>6</v>
      </c>
    </row>
    <row r="85" spans="1:7" x14ac:dyDescent="0.3">
      <c r="A85" s="1">
        <v>45988.416671296298</v>
      </c>
      <c r="B85" s="5">
        <v>2.3199999999999998</v>
      </c>
      <c r="C85" s="7">
        <f t="shared" si="1"/>
        <v>107.21761874999993</v>
      </c>
      <c r="D85" s="9">
        <v>3.8</v>
      </c>
      <c r="E85" s="11">
        <v>3</v>
      </c>
      <c r="F85" s="11">
        <v>4</v>
      </c>
      <c r="G85" s="11">
        <v>6</v>
      </c>
    </row>
    <row r="86" spans="1:7" x14ac:dyDescent="0.3">
      <c r="A86" s="1">
        <v>45988.458338020835</v>
      </c>
      <c r="B86" s="5">
        <v>2.35</v>
      </c>
      <c r="C86" s="7">
        <f t="shared" si="1"/>
        <v>108.32966475000001</v>
      </c>
      <c r="D86" s="9">
        <v>3.2</v>
      </c>
      <c r="E86" s="11">
        <v>3</v>
      </c>
      <c r="F86" s="11">
        <v>4</v>
      </c>
      <c r="G86" s="11">
        <v>6</v>
      </c>
    </row>
    <row r="87" spans="1:7" x14ac:dyDescent="0.3">
      <c r="A87" s="1">
        <v>45988.500004745372</v>
      </c>
      <c r="B87" s="5">
        <v>2.4500000000000002</v>
      </c>
      <c r="C87" s="7">
        <f t="shared" si="1"/>
        <v>113.52615474999999</v>
      </c>
      <c r="D87" s="9">
        <v>2.5</v>
      </c>
      <c r="E87" s="11">
        <v>3</v>
      </c>
      <c r="F87" s="11">
        <v>4</v>
      </c>
      <c r="G87" s="11">
        <v>6</v>
      </c>
    </row>
    <row r="88" spans="1:7" x14ac:dyDescent="0.3">
      <c r="A88" s="1">
        <v>45988.541671469909</v>
      </c>
      <c r="B88" s="5">
        <v>2.4300000000000002</v>
      </c>
      <c r="C88" s="7">
        <f t="shared" si="1"/>
        <v>112.30351274999998</v>
      </c>
      <c r="D88" s="9">
        <v>0.5</v>
      </c>
      <c r="E88" s="11">
        <v>3</v>
      </c>
      <c r="F88" s="11">
        <v>4</v>
      </c>
      <c r="G88" s="11">
        <v>6</v>
      </c>
    </row>
    <row r="89" spans="1:7" x14ac:dyDescent="0.3">
      <c r="A89" s="1">
        <v>45988.583338194447</v>
      </c>
      <c r="B89" s="5">
        <v>2.42</v>
      </c>
      <c r="C89" s="7">
        <f t="shared" si="1"/>
        <v>111.72656875000001</v>
      </c>
      <c r="D89" s="9">
        <v>1.2</v>
      </c>
      <c r="E89" s="11">
        <v>3</v>
      </c>
      <c r="F89" s="11">
        <v>4</v>
      </c>
      <c r="G89" s="11">
        <v>6</v>
      </c>
    </row>
    <row r="90" spans="1:7" x14ac:dyDescent="0.3">
      <c r="A90" s="1">
        <v>45988.625004918984</v>
      </c>
      <c r="B90" s="5">
        <v>2.4500000000000002</v>
      </c>
      <c r="C90" s="7">
        <f t="shared" si="1"/>
        <v>113.52615474999999</v>
      </c>
      <c r="D90" s="9">
        <v>6.5</v>
      </c>
      <c r="E90" s="11">
        <v>3</v>
      </c>
      <c r="F90" s="11">
        <v>4</v>
      </c>
      <c r="G90" s="11">
        <v>6</v>
      </c>
    </row>
    <row r="91" spans="1:7" x14ac:dyDescent="0.3">
      <c r="A91" s="1">
        <v>45988.666671643521</v>
      </c>
      <c r="B91" s="5">
        <v>2.2799999999999998</v>
      </c>
      <c r="C91" s="7">
        <f t="shared" si="1"/>
        <v>106.05574275000004</v>
      </c>
      <c r="D91" s="9">
        <v>12</v>
      </c>
      <c r="E91" s="11">
        <v>3</v>
      </c>
      <c r="F91" s="11">
        <v>4</v>
      </c>
      <c r="G91" s="11">
        <v>6</v>
      </c>
    </row>
    <row r="92" spans="1:7" x14ac:dyDescent="0.3">
      <c r="A92" s="1">
        <v>45988.708338368058</v>
      </c>
      <c r="B92" s="5">
        <v>2.5499999999999998</v>
      </c>
      <c r="C92" s="7">
        <f t="shared" si="1"/>
        <v>121.01444475000005</v>
      </c>
      <c r="D92" s="9">
        <v>10</v>
      </c>
      <c r="E92" s="11">
        <v>3</v>
      </c>
      <c r="F92" s="11">
        <v>4</v>
      </c>
      <c r="G92" s="11">
        <v>6</v>
      </c>
    </row>
    <row r="93" spans="1:7" x14ac:dyDescent="0.3">
      <c r="A93" s="1">
        <v>45988.750005092596</v>
      </c>
      <c r="B93" s="5">
        <v>3.39</v>
      </c>
      <c r="C93" s="7">
        <f t="shared" si="1"/>
        <v>274.39634475000003</v>
      </c>
      <c r="D93" s="9">
        <v>7.5</v>
      </c>
      <c r="E93" s="11">
        <v>3</v>
      </c>
      <c r="F93" s="11">
        <v>4</v>
      </c>
      <c r="G93" s="11">
        <v>6</v>
      </c>
    </row>
    <row r="94" spans="1:7" x14ac:dyDescent="0.3">
      <c r="A94" s="1">
        <v>45988.791671817133</v>
      </c>
      <c r="B94" s="5">
        <v>3.76</v>
      </c>
      <c r="C94" s="7">
        <f t="shared" si="1"/>
        <v>393.25936275000004</v>
      </c>
      <c r="D94" s="9">
        <v>7.2</v>
      </c>
      <c r="E94" s="11">
        <v>3</v>
      </c>
      <c r="F94" s="11">
        <v>4</v>
      </c>
      <c r="G94" s="11">
        <v>6</v>
      </c>
    </row>
    <row r="95" spans="1:7" x14ac:dyDescent="0.3">
      <c r="A95" s="1">
        <v>45988.83333854167</v>
      </c>
      <c r="B95" s="5">
        <v>3.94</v>
      </c>
      <c r="C95" s="7">
        <f t="shared" si="1"/>
        <v>462.42902475000005</v>
      </c>
      <c r="D95" s="9">
        <v>21.2</v>
      </c>
      <c r="E95" s="11">
        <v>3</v>
      </c>
      <c r="F95" s="11">
        <v>4</v>
      </c>
      <c r="G95" s="11">
        <v>6</v>
      </c>
    </row>
    <row r="96" spans="1:7" x14ac:dyDescent="0.3">
      <c r="A96" s="1">
        <v>45988.875005266207</v>
      </c>
      <c r="B96" s="5">
        <v>5.47</v>
      </c>
      <c r="C96" s="7">
        <f t="shared" si="1"/>
        <v>1350.1729687500001</v>
      </c>
      <c r="D96" s="9">
        <v>7.3</v>
      </c>
      <c r="E96" s="11">
        <v>3</v>
      </c>
      <c r="F96" s="11">
        <v>4</v>
      </c>
      <c r="G96" s="11">
        <v>6</v>
      </c>
    </row>
    <row r="97" spans="1:7" x14ac:dyDescent="0.3">
      <c r="A97" s="1">
        <v>45988.916671990744</v>
      </c>
      <c r="B97" s="5">
        <v>5.81</v>
      </c>
      <c r="C97" s="7">
        <f t="shared" si="1"/>
        <v>1620.3057227499999</v>
      </c>
      <c r="D97" s="9">
        <v>16.7</v>
      </c>
      <c r="E97" s="11">
        <v>3</v>
      </c>
      <c r="F97" s="11">
        <v>4</v>
      </c>
      <c r="G97" s="11">
        <v>6</v>
      </c>
    </row>
    <row r="98" spans="1:7" x14ac:dyDescent="0.3">
      <c r="A98" s="1">
        <v>45988.958338715274</v>
      </c>
      <c r="B98" s="5">
        <v>5.85</v>
      </c>
      <c r="C98" s="7">
        <f t="shared" si="1"/>
        <v>1653.8278147500005</v>
      </c>
      <c r="D98" s="9">
        <v>12.2</v>
      </c>
      <c r="E98" s="11">
        <v>3</v>
      </c>
      <c r="F98" s="11">
        <v>4</v>
      </c>
      <c r="G98" s="11">
        <v>6</v>
      </c>
    </row>
    <row r="99" spans="1:7" x14ac:dyDescent="0.3">
      <c r="A99" s="1">
        <v>45989.000005439812</v>
      </c>
      <c r="B99" s="5">
        <v>6.18</v>
      </c>
      <c r="C99" s="7">
        <f t="shared" si="1"/>
        <v>1944.3765127500001</v>
      </c>
      <c r="D99" s="9">
        <v>28</v>
      </c>
      <c r="E99" s="11">
        <v>3</v>
      </c>
      <c r="F99" s="11">
        <v>4</v>
      </c>
      <c r="G99" s="11">
        <v>6</v>
      </c>
    </row>
    <row r="100" spans="1:7" x14ac:dyDescent="0.3">
      <c r="A100" s="1">
        <v>45989.041672164349</v>
      </c>
      <c r="B100" s="5">
        <v>6.1</v>
      </c>
      <c r="C100" s="7">
        <f t="shared" si="1"/>
        <v>1871.6486647500001</v>
      </c>
      <c r="D100" s="9">
        <v>16</v>
      </c>
      <c r="E100" s="11">
        <v>3</v>
      </c>
      <c r="F100" s="11">
        <v>4</v>
      </c>
      <c r="G100" s="11">
        <v>6</v>
      </c>
    </row>
    <row r="101" spans="1:7" x14ac:dyDescent="0.3">
      <c r="A101" s="1">
        <v>45989.083338888886</v>
      </c>
      <c r="B101" s="5">
        <v>6.18</v>
      </c>
      <c r="C101" s="7">
        <f t="shared" si="1"/>
        <v>1944.3765127500001</v>
      </c>
      <c r="D101" s="9">
        <v>17</v>
      </c>
      <c r="E101" s="11">
        <v>3</v>
      </c>
      <c r="F101" s="11">
        <v>4</v>
      </c>
      <c r="G101" s="11">
        <v>6</v>
      </c>
    </row>
    <row r="102" spans="1:7" x14ac:dyDescent="0.3">
      <c r="A102" s="1">
        <v>45989.125005613423</v>
      </c>
      <c r="B102" s="5">
        <v>6.18</v>
      </c>
      <c r="C102" s="7">
        <f t="shared" si="1"/>
        <v>1944.3765127500001</v>
      </c>
      <c r="D102" s="9">
        <v>15.5</v>
      </c>
      <c r="E102" s="11">
        <v>3</v>
      </c>
      <c r="F102" s="11">
        <v>4</v>
      </c>
      <c r="G102" s="11">
        <v>6</v>
      </c>
    </row>
    <row r="103" spans="1:7" x14ac:dyDescent="0.3">
      <c r="A103" s="1">
        <v>45989.16667233796</v>
      </c>
      <c r="B103" s="5">
        <v>6.05</v>
      </c>
      <c r="C103" s="7">
        <f t="shared" si="1"/>
        <v>1826.93859475</v>
      </c>
      <c r="D103" s="9">
        <v>7</v>
      </c>
      <c r="E103" s="11">
        <v>3</v>
      </c>
      <c r="F103" s="11">
        <v>4</v>
      </c>
      <c r="G103" s="11">
        <v>6</v>
      </c>
    </row>
    <row r="104" spans="1:7" x14ac:dyDescent="0.3">
      <c r="A104" s="1">
        <v>45989.208339062498</v>
      </c>
      <c r="B104" s="5">
        <v>5.65</v>
      </c>
      <c r="C104" s="7">
        <f t="shared" si="1"/>
        <v>1489.8842347500004</v>
      </c>
      <c r="D104" s="9">
        <v>5</v>
      </c>
      <c r="E104" s="11">
        <v>3</v>
      </c>
      <c r="F104" s="11">
        <v>4</v>
      </c>
      <c r="G104" s="11">
        <v>6</v>
      </c>
    </row>
    <row r="105" spans="1:7" x14ac:dyDescent="0.3">
      <c r="A105" s="1">
        <v>45989.250005787035</v>
      </c>
      <c r="B105" s="5">
        <v>5.3</v>
      </c>
      <c r="C105" s="7">
        <f t="shared" si="1"/>
        <v>1225.04154475</v>
      </c>
      <c r="D105" s="9">
        <v>9.1999999999999993</v>
      </c>
      <c r="E105" s="11">
        <v>3</v>
      </c>
      <c r="F105" s="11">
        <v>4</v>
      </c>
      <c r="G105" s="11">
        <v>6</v>
      </c>
    </row>
    <row r="106" spans="1:7" x14ac:dyDescent="0.3">
      <c r="A106" s="1">
        <v>45989.291672511572</v>
      </c>
      <c r="B106" s="5">
        <v>5.25</v>
      </c>
      <c r="C106" s="7">
        <f t="shared" si="1"/>
        <v>1189.4986747500002</v>
      </c>
      <c r="D106" s="9">
        <v>7</v>
      </c>
      <c r="E106" s="11">
        <v>3</v>
      </c>
      <c r="F106" s="11">
        <v>4</v>
      </c>
      <c r="G106" s="11">
        <v>6</v>
      </c>
    </row>
    <row r="107" spans="1:7" x14ac:dyDescent="0.3">
      <c r="A107" s="1">
        <v>45989.333339236109</v>
      </c>
      <c r="B107" s="5">
        <v>5.0999999999999996</v>
      </c>
      <c r="C107" s="7">
        <f t="shared" si="1"/>
        <v>1086.3077647500002</v>
      </c>
      <c r="D107" s="9">
        <v>7.3</v>
      </c>
      <c r="E107" s="11">
        <v>3</v>
      </c>
      <c r="F107" s="11">
        <v>4</v>
      </c>
      <c r="G107" s="11">
        <v>6</v>
      </c>
    </row>
    <row r="108" spans="1:7" x14ac:dyDescent="0.3">
      <c r="A108" s="1">
        <v>45989.375005960646</v>
      </c>
      <c r="B108" s="5">
        <v>5.05</v>
      </c>
      <c r="C108" s="7">
        <f t="shared" si="1"/>
        <v>1053.0566947500001</v>
      </c>
      <c r="D108" s="9">
        <v>21.5</v>
      </c>
      <c r="E108" s="11">
        <v>3</v>
      </c>
      <c r="F108" s="11">
        <v>4</v>
      </c>
      <c r="G108" s="11">
        <v>6</v>
      </c>
    </row>
    <row r="109" spans="1:7" x14ac:dyDescent="0.3">
      <c r="A109" s="1">
        <v>45989.416672685184</v>
      </c>
      <c r="B109" s="5">
        <v>5.38</v>
      </c>
      <c r="C109" s="7">
        <f t="shared" si="1"/>
        <v>1283.1018727500004</v>
      </c>
      <c r="D109" s="9">
        <v>30.5</v>
      </c>
      <c r="E109" s="11">
        <v>3</v>
      </c>
      <c r="F109" s="11">
        <v>4</v>
      </c>
      <c r="G109" s="11">
        <v>6</v>
      </c>
    </row>
    <row r="110" spans="1:7" x14ac:dyDescent="0.3">
      <c r="A110" s="1">
        <v>45989.458339409721</v>
      </c>
      <c r="B110" s="5">
        <v>6.25</v>
      </c>
      <c r="C110" s="7">
        <f t="shared" si="1"/>
        <v>2009.2165747499998</v>
      </c>
      <c r="D110" s="9">
        <v>17.399999999999999</v>
      </c>
      <c r="E110" s="11">
        <v>3</v>
      </c>
      <c r="F110" s="11">
        <v>4</v>
      </c>
      <c r="G110" s="11">
        <v>6</v>
      </c>
    </row>
    <row r="111" spans="1:7" x14ac:dyDescent="0.3">
      <c r="A111" s="1">
        <v>45989.500006134258</v>
      </c>
      <c r="B111" s="5">
        <v>6.48</v>
      </c>
      <c r="C111" s="7">
        <f t="shared" si="1"/>
        <v>2230.1692027499998</v>
      </c>
      <c r="D111" s="9">
        <v>22</v>
      </c>
      <c r="E111" s="11">
        <v>3</v>
      </c>
      <c r="F111" s="11">
        <v>4</v>
      </c>
      <c r="G111" s="11">
        <v>6</v>
      </c>
    </row>
    <row r="112" spans="1:7" x14ac:dyDescent="0.3">
      <c r="A112" s="1">
        <v>45989.541672858795</v>
      </c>
      <c r="B112" s="5">
        <v>7.1</v>
      </c>
      <c r="C112" s="7">
        <f t="shared" si="1"/>
        <v>2886.1695647500001</v>
      </c>
      <c r="D112" s="9">
        <v>27.5</v>
      </c>
      <c r="E112" s="11">
        <v>3</v>
      </c>
      <c r="F112" s="11">
        <v>4</v>
      </c>
      <c r="G112" s="11">
        <v>6</v>
      </c>
    </row>
    <row r="113" spans="1:7" x14ac:dyDescent="0.3">
      <c r="A113" s="1">
        <v>45989.583339583332</v>
      </c>
      <c r="B113" s="5">
        <v>6.8</v>
      </c>
      <c r="C113" s="7">
        <f t="shared" si="1"/>
        <v>2557.7493947500006</v>
      </c>
      <c r="D113" s="9">
        <v>15</v>
      </c>
      <c r="E113" s="11">
        <v>3</v>
      </c>
      <c r="F113" s="11">
        <v>4</v>
      </c>
      <c r="G113" s="11">
        <v>6</v>
      </c>
    </row>
    <row r="114" spans="1:7" x14ac:dyDescent="0.3">
      <c r="A114" s="1">
        <v>45989.62500630787</v>
      </c>
      <c r="B114" s="5">
        <v>6</v>
      </c>
      <c r="C114" s="7">
        <f t="shared" si="1"/>
        <v>1782.8014747500001</v>
      </c>
      <c r="D114" s="9">
        <v>4.2</v>
      </c>
      <c r="E114" s="11">
        <v>3</v>
      </c>
      <c r="F114" s="11">
        <v>4</v>
      </c>
      <c r="G114" s="11">
        <v>6</v>
      </c>
    </row>
    <row r="115" spans="1:7" x14ac:dyDescent="0.3">
      <c r="A115" s="1">
        <v>45989.666673032407</v>
      </c>
      <c r="B115" s="5">
        <v>5.26</v>
      </c>
      <c r="C115" s="7">
        <f t="shared" si="1"/>
        <v>1196.5614127499998</v>
      </c>
      <c r="D115" s="9">
        <v>7.3</v>
      </c>
      <c r="E115" s="11">
        <v>3</v>
      </c>
      <c r="F115" s="11">
        <v>4</v>
      </c>
      <c r="G115" s="11">
        <v>6</v>
      </c>
    </row>
    <row r="116" spans="1:7" x14ac:dyDescent="0.3">
      <c r="A116" s="1">
        <v>45989.708339756944</v>
      </c>
      <c r="B116" s="5">
        <v>4.8</v>
      </c>
      <c r="C116" s="7">
        <f t="shared" si="1"/>
        <v>895.39559475000033</v>
      </c>
      <c r="D116" s="9">
        <v>7.9</v>
      </c>
      <c r="E116" s="11">
        <v>3</v>
      </c>
      <c r="F116" s="11">
        <v>4</v>
      </c>
      <c r="G116" s="11">
        <v>6</v>
      </c>
    </row>
    <row r="117" spans="1:7" x14ac:dyDescent="0.3">
      <c r="A117" s="1">
        <v>45989.750006481481</v>
      </c>
      <c r="B117" s="5">
        <v>4.6500000000000004</v>
      </c>
      <c r="C117" s="7">
        <f t="shared" si="1"/>
        <v>807.6743347500003</v>
      </c>
      <c r="D117" s="9">
        <v>3.5</v>
      </c>
      <c r="E117" s="11">
        <v>3</v>
      </c>
      <c r="F117" s="11">
        <v>4</v>
      </c>
      <c r="G117" s="11">
        <v>6</v>
      </c>
    </row>
    <row r="118" spans="1:7" x14ac:dyDescent="0.3">
      <c r="A118" s="1">
        <v>45989.791673206018</v>
      </c>
      <c r="B118" s="5">
        <v>4.2</v>
      </c>
      <c r="C118" s="7">
        <f t="shared" si="1"/>
        <v>575.44985475000021</v>
      </c>
      <c r="D118" s="9">
        <v>2</v>
      </c>
      <c r="E118" s="11">
        <v>3</v>
      </c>
      <c r="F118" s="11">
        <v>4</v>
      </c>
      <c r="G118" s="11">
        <v>6</v>
      </c>
    </row>
    <row r="119" spans="1:7" x14ac:dyDescent="0.3">
      <c r="A119" s="1">
        <v>45989.833339930556</v>
      </c>
      <c r="B119" s="5">
        <v>4.1500000000000004</v>
      </c>
      <c r="C119" s="7">
        <f t="shared" si="1"/>
        <v>552.51188475000026</v>
      </c>
      <c r="D119" s="9">
        <v>1</v>
      </c>
      <c r="E119" s="11">
        <v>3</v>
      </c>
      <c r="F119" s="11">
        <v>4</v>
      </c>
      <c r="G119" s="11">
        <v>6</v>
      </c>
    </row>
    <row r="120" spans="1:7" x14ac:dyDescent="0.3">
      <c r="A120" s="1">
        <v>45989.875006655093</v>
      </c>
      <c r="B120" s="5">
        <v>4.05</v>
      </c>
      <c r="C120" s="7">
        <f t="shared" si="1"/>
        <v>508.35479475000011</v>
      </c>
      <c r="D120" s="9">
        <v>1.2</v>
      </c>
      <c r="E120" s="11">
        <v>3</v>
      </c>
      <c r="F120" s="11">
        <v>4</v>
      </c>
      <c r="G120" s="11">
        <v>6</v>
      </c>
    </row>
    <row r="121" spans="1:7" x14ac:dyDescent="0.3">
      <c r="A121" s="1">
        <v>45989.91667337963</v>
      </c>
      <c r="B121" s="5">
        <v>3.89</v>
      </c>
      <c r="C121" s="7">
        <f t="shared" si="1"/>
        <v>442.47039474999997</v>
      </c>
      <c r="D121" s="9">
        <v>1.5</v>
      </c>
      <c r="E121" s="11">
        <v>3</v>
      </c>
      <c r="F121" s="11">
        <v>4</v>
      </c>
      <c r="G121" s="11">
        <v>6</v>
      </c>
    </row>
    <row r="122" spans="1:7" x14ac:dyDescent="0.3">
      <c r="A122" s="1">
        <v>45989.958340104167</v>
      </c>
      <c r="B122" s="5">
        <v>3.92</v>
      </c>
      <c r="C122" s="7">
        <f t="shared" si="1"/>
        <v>454.37681874999998</v>
      </c>
      <c r="D122" s="9">
        <v>1.3</v>
      </c>
      <c r="E122" s="11">
        <v>3</v>
      </c>
      <c r="F122" s="11">
        <v>4</v>
      </c>
      <c r="G122" s="11">
        <v>6</v>
      </c>
    </row>
    <row r="123" spans="1:7" x14ac:dyDescent="0.3">
      <c r="A123" s="1">
        <v>45990.000006828704</v>
      </c>
      <c r="B123" s="5">
        <v>3.75</v>
      </c>
      <c r="C123" s="7">
        <f t="shared" si="1"/>
        <v>389.63432475000013</v>
      </c>
      <c r="D123" s="9">
        <v>0.5</v>
      </c>
      <c r="E123" s="11">
        <v>3</v>
      </c>
      <c r="F123" s="11">
        <v>4</v>
      </c>
      <c r="G123" s="11">
        <v>6</v>
      </c>
    </row>
    <row r="124" spans="1:7" x14ac:dyDescent="0.3">
      <c r="A124" s="1">
        <v>45990.041673553242</v>
      </c>
      <c r="B124" s="5">
        <v>3.69</v>
      </c>
      <c r="C124" s="7">
        <f t="shared" si="1"/>
        <v>368.36537475</v>
      </c>
      <c r="D124" s="9">
        <v>0</v>
      </c>
      <c r="E124" s="11">
        <v>3</v>
      </c>
      <c r="F124" s="11">
        <v>4</v>
      </c>
      <c r="G124" s="11">
        <v>6</v>
      </c>
    </row>
    <row r="125" spans="1:7" x14ac:dyDescent="0.3">
      <c r="A125" s="1">
        <v>45990.083340277779</v>
      </c>
      <c r="B125" s="5">
        <v>3.55</v>
      </c>
      <c r="C125" s="7">
        <f t="shared" si="1"/>
        <v>321.94634475000021</v>
      </c>
      <c r="D125" s="9">
        <v>0</v>
      </c>
      <c r="E125" s="11">
        <v>3</v>
      </c>
      <c r="F125" s="11">
        <v>4</v>
      </c>
      <c r="G125" s="11">
        <v>6</v>
      </c>
    </row>
    <row r="126" spans="1:7" x14ac:dyDescent="0.3">
      <c r="A126" s="1">
        <v>45990.125007002316</v>
      </c>
      <c r="B126" s="5">
        <v>3.48</v>
      </c>
      <c r="C126" s="7">
        <f t="shared" si="1"/>
        <v>300.42130275</v>
      </c>
      <c r="D126" s="9">
        <v>0</v>
      </c>
      <c r="E126" s="11">
        <v>3</v>
      </c>
      <c r="F126" s="11">
        <v>4</v>
      </c>
      <c r="G126" s="11">
        <v>6</v>
      </c>
    </row>
    <row r="127" spans="1:7" x14ac:dyDescent="0.3">
      <c r="A127" s="1">
        <v>45990.166673726853</v>
      </c>
      <c r="B127" s="5">
        <v>3.48</v>
      </c>
      <c r="C127" s="7">
        <f t="shared" si="1"/>
        <v>300.42130275</v>
      </c>
      <c r="D127" s="9">
        <v>0</v>
      </c>
      <c r="E127" s="11">
        <v>3</v>
      </c>
      <c r="F127" s="11">
        <v>4</v>
      </c>
      <c r="G127" s="11">
        <v>6</v>
      </c>
    </row>
    <row r="128" spans="1:7" x14ac:dyDescent="0.3">
      <c r="A128" s="1">
        <v>45990.208340451391</v>
      </c>
      <c r="B128" s="5">
        <v>3.52</v>
      </c>
      <c r="C128" s="7">
        <f t="shared" si="1"/>
        <v>312.58381875000009</v>
      </c>
      <c r="D128" s="9">
        <v>0</v>
      </c>
      <c r="E128" s="11">
        <v>3</v>
      </c>
      <c r="F128" s="11">
        <v>4</v>
      </c>
      <c r="G128" s="11">
        <v>6</v>
      </c>
    </row>
    <row r="129" spans="1:7" x14ac:dyDescent="0.3">
      <c r="A129" s="1">
        <v>45990.250007175928</v>
      </c>
      <c r="B129" s="5">
        <v>3.4</v>
      </c>
      <c r="C129" s="7">
        <f t="shared" si="1"/>
        <v>277.19633474999978</v>
      </c>
      <c r="D129" s="9">
        <v>4</v>
      </c>
      <c r="E129" s="11">
        <v>3</v>
      </c>
      <c r="F129" s="11">
        <v>4</v>
      </c>
      <c r="G129" s="11">
        <v>6</v>
      </c>
    </row>
    <row r="130" spans="1:7" x14ac:dyDescent="0.3">
      <c r="A130" s="1">
        <v>45990.291673900465</v>
      </c>
      <c r="B130" s="5">
        <v>3.35</v>
      </c>
      <c r="C130" s="7">
        <f t="shared" si="1"/>
        <v>263.42556474999992</v>
      </c>
      <c r="D130" s="9">
        <v>0.5</v>
      </c>
      <c r="E130" s="11">
        <v>3</v>
      </c>
      <c r="F130" s="11">
        <v>4</v>
      </c>
      <c r="G130" s="11">
        <v>6</v>
      </c>
    </row>
    <row r="131" spans="1:7" x14ac:dyDescent="0.3">
      <c r="A131" s="1">
        <v>45990.333340625002</v>
      </c>
      <c r="B131" s="5">
        <v>3.28</v>
      </c>
      <c r="C131" s="7">
        <f t="shared" si="1"/>
        <v>245.10904274999984</v>
      </c>
      <c r="D131" s="9">
        <v>0</v>
      </c>
      <c r="E131" s="11">
        <v>3</v>
      </c>
      <c r="F131" s="11">
        <v>4</v>
      </c>
      <c r="G131" s="11">
        <v>6</v>
      </c>
    </row>
    <row r="132" spans="1:7" x14ac:dyDescent="0.3">
      <c r="A132" s="1">
        <v>45990.375007349539</v>
      </c>
      <c r="B132" s="5">
        <v>3.15</v>
      </c>
      <c r="C132" s="7">
        <f t="shared" si="1"/>
        <v>214.07198474999996</v>
      </c>
      <c r="D132" s="9">
        <v>1</v>
      </c>
      <c r="E132" s="11">
        <v>3</v>
      </c>
      <c r="F132" s="11">
        <v>4</v>
      </c>
      <c r="G132" s="11">
        <v>6</v>
      </c>
    </row>
    <row r="133" spans="1:7" x14ac:dyDescent="0.3">
      <c r="A133" s="1">
        <v>45990.416674074077</v>
      </c>
      <c r="B133" s="5">
        <v>3.05</v>
      </c>
      <c r="C133" s="7">
        <f t="shared" ref="C133:C196" si="2">IF(B133="","",IF(B133&lt;=2.23,13.015*(B133-0.345)^3.274,114.59*(B133-0.345)^2-419*(B133-0.345)+487.77))</f>
        <v>192.83289475000004</v>
      </c>
      <c r="D133" s="9">
        <v>0</v>
      </c>
      <c r="E133" s="11">
        <v>3</v>
      </c>
      <c r="F133" s="11">
        <v>4</v>
      </c>
      <c r="G133" s="11">
        <v>6</v>
      </c>
    </row>
    <row r="134" spans="1:7" x14ac:dyDescent="0.3">
      <c r="A134" s="1">
        <v>45990.458340798614</v>
      </c>
      <c r="B134" s="5">
        <v>3</v>
      </c>
      <c r="C134" s="7">
        <f t="shared" si="2"/>
        <v>183.07277475000001</v>
      </c>
      <c r="D134" s="9">
        <v>0</v>
      </c>
      <c r="E134" s="11">
        <v>3</v>
      </c>
      <c r="F134" s="11">
        <v>4</v>
      </c>
      <c r="G134" s="11">
        <v>6</v>
      </c>
    </row>
    <row r="135" spans="1:7" x14ac:dyDescent="0.3">
      <c r="A135" s="1">
        <v>45990.500007523151</v>
      </c>
      <c r="B135" s="5">
        <v>2.9</v>
      </c>
      <c r="C135" s="7">
        <f t="shared" si="2"/>
        <v>165.27138475000004</v>
      </c>
      <c r="D135" s="9">
        <v>0</v>
      </c>
      <c r="E135" s="11">
        <v>3</v>
      </c>
      <c r="F135" s="11">
        <v>4</v>
      </c>
      <c r="G135" s="11">
        <v>6</v>
      </c>
    </row>
    <row r="136" spans="1:7" x14ac:dyDescent="0.3">
      <c r="A136" s="1">
        <v>45990.541674247688</v>
      </c>
      <c r="B136" s="5">
        <v>3.05</v>
      </c>
      <c r="C136" s="7">
        <f t="shared" si="2"/>
        <v>192.83289475000004</v>
      </c>
      <c r="D136" s="9">
        <v>1</v>
      </c>
      <c r="E136" s="11">
        <v>3</v>
      </c>
      <c r="F136" s="11">
        <v>4</v>
      </c>
      <c r="G136" s="11">
        <v>6</v>
      </c>
    </row>
    <row r="137" spans="1:7" x14ac:dyDescent="0.3">
      <c r="A137" s="1">
        <v>45990.583340972225</v>
      </c>
      <c r="B137" s="5">
        <v>3</v>
      </c>
      <c r="C137" s="7">
        <f t="shared" si="2"/>
        <v>183.07277475000001</v>
      </c>
      <c r="D137" s="9">
        <v>0</v>
      </c>
      <c r="E137" s="11">
        <v>3</v>
      </c>
      <c r="F137" s="11">
        <v>4</v>
      </c>
      <c r="G137" s="11">
        <v>6</v>
      </c>
    </row>
    <row r="138" spans="1:7" x14ac:dyDescent="0.3">
      <c r="A138" s="1">
        <v>45990.625007696763</v>
      </c>
      <c r="B138" s="5">
        <v>2.85</v>
      </c>
      <c r="C138" s="7">
        <f t="shared" si="2"/>
        <v>157.23011474999987</v>
      </c>
      <c r="D138" s="9">
        <v>0</v>
      </c>
      <c r="E138" s="11">
        <v>3</v>
      </c>
      <c r="F138" s="11">
        <v>4</v>
      </c>
      <c r="G138" s="11">
        <v>6</v>
      </c>
    </row>
    <row r="139" spans="1:7" x14ac:dyDescent="0.3">
      <c r="A139" s="1">
        <v>45990.6666744213</v>
      </c>
      <c r="B139" s="5">
        <v>2.95</v>
      </c>
      <c r="C139" s="7">
        <f t="shared" si="2"/>
        <v>173.88560475000008</v>
      </c>
      <c r="D139" s="9">
        <v>0</v>
      </c>
      <c r="E139" s="11">
        <v>3</v>
      </c>
      <c r="F139" s="11">
        <v>4</v>
      </c>
      <c r="G139" s="11">
        <v>6</v>
      </c>
    </row>
    <row r="140" spans="1:7" x14ac:dyDescent="0.3">
      <c r="A140" s="1">
        <v>45990.70834114583</v>
      </c>
      <c r="B140" s="5">
        <v>3.3</v>
      </c>
      <c r="C140" s="7">
        <f t="shared" si="2"/>
        <v>250.22774475000006</v>
      </c>
      <c r="D140" s="9">
        <v>0</v>
      </c>
      <c r="E140" s="11">
        <v>3</v>
      </c>
      <c r="F140" s="11">
        <v>4</v>
      </c>
      <c r="G140" s="11">
        <v>6</v>
      </c>
    </row>
    <row r="141" spans="1:7" x14ac:dyDescent="0.3">
      <c r="A141" s="1">
        <v>45990.750007870367</v>
      </c>
      <c r="B141" s="5">
        <v>3.35</v>
      </c>
      <c r="C141" s="7">
        <f t="shared" si="2"/>
        <v>263.42556474999992</v>
      </c>
      <c r="D141" s="9">
        <v>0</v>
      </c>
      <c r="E141" s="11">
        <v>3</v>
      </c>
      <c r="F141" s="11">
        <v>4</v>
      </c>
      <c r="G141" s="11">
        <v>6</v>
      </c>
    </row>
    <row r="142" spans="1:7" x14ac:dyDescent="0.3">
      <c r="A142" s="1">
        <v>45990.791674594904</v>
      </c>
      <c r="B142" s="5">
        <v>3.25</v>
      </c>
      <c r="C142" s="7">
        <f t="shared" si="2"/>
        <v>237.60287474999996</v>
      </c>
      <c r="D142" s="9">
        <v>0</v>
      </c>
      <c r="E142" s="11">
        <v>3</v>
      </c>
      <c r="F142" s="11">
        <v>4</v>
      </c>
      <c r="G142" s="11">
        <v>6</v>
      </c>
    </row>
    <row r="143" spans="1:7" x14ac:dyDescent="0.3">
      <c r="A143" s="1">
        <v>45990.833341319441</v>
      </c>
      <c r="B143" s="5">
        <v>2.8</v>
      </c>
      <c r="C143" s="7">
        <f t="shared" si="2"/>
        <v>149.76179475000004</v>
      </c>
      <c r="D143" s="9">
        <v>0</v>
      </c>
      <c r="E143" s="11">
        <v>3</v>
      </c>
      <c r="F143" s="11">
        <v>4</v>
      </c>
      <c r="G143" s="11">
        <v>6</v>
      </c>
    </row>
    <row r="144" spans="1:7" x14ac:dyDescent="0.3">
      <c r="A144" s="1">
        <v>45990.875008043979</v>
      </c>
      <c r="B144" s="5">
        <v>2.7</v>
      </c>
      <c r="C144" s="7">
        <f t="shared" si="2"/>
        <v>136.54400475</v>
      </c>
      <c r="D144" s="9">
        <v>0</v>
      </c>
      <c r="E144" s="11">
        <v>3</v>
      </c>
      <c r="F144" s="11">
        <v>4</v>
      </c>
      <c r="G144" s="11">
        <v>6</v>
      </c>
    </row>
    <row r="145" spans="1:7" x14ac:dyDescent="0.3">
      <c r="A145" s="1">
        <v>45990.916674768516</v>
      </c>
      <c r="B145" s="5">
        <v>2.75</v>
      </c>
      <c r="C145" s="7">
        <f t="shared" si="2"/>
        <v>142.86642475000008</v>
      </c>
      <c r="D145" s="9">
        <v>0</v>
      </c>
      <c r="E145" s="11">
        <v>3</v>
      </c>
      <c r="F145" s="11">
        <v>4</v>
      </c>
      <c r="G145" s="11">
        <v>6</v>
      </c>
    </row>
    <row r="146" spans="1:7" x14ac:dyDescent="0.3">
      <c r="A146" s="1">
        <v>45990.958341493053</v>
      </c>
      <c r="B146" s="5">
        <v>2.8</v>
      </c>
      <c r="C146" s="7">
        <f t="shared" si="2"/>
        <v>149.76179475000004</v>
      </c>
      <c r="D146" s="9">
        <v>0</v>
      </c>
      <c r="E146" s="11">
        <v>3</v>
      </c>
      <c r="F146" s="11">
        <v>4</v>
      </c>
      <c r="G146" s="11">
        <v>6</v>
      </c>
    </row>
    <row r="147" spans="1:7" x14ac:dyDescent="0.3">
      <c r="A147" s="1">
        <v>45991.00000821759</v>
      </c>
      <c r="B147" s="5">
        <v>2.75</v>
      </c>
      <c r="C147" s="7">
        <f t="shared" si="2"/>
        <v>142.86642475000008</v>
      </c>
      <c r="D147" s="9">
        <v>0</v>
      </c>
      <c r="E147" s="11">
        <v>3</v>
      </c>
      <c r="F147" s="11">
        <v>4</v>
      </c>
      <c r="G147" s="11">
        <v>6</v>
      </c>
    </row>
    <row r="148" spans="1:7" x14ac:dyDescent="0.3">
      <c r="A148" s="1">
        <v>45991.041674942127</v>
      </c>
      <c r="B148" s="5">
        <v>2.65</v>
      </c>
      <c r="C148" s="7">
        <f t="shared" si="2"/>
        <v>130.79453475000003</v>
      </c>
      <c r="D148" s="9">
        <v>0</v>
      </c>
      <c r="E148" s="11">
        <v>3</v>
      </c>
      <c r="F148" s="11">
        <v>4</v>
      </c>
      <c r="G148" s="11">
        <v>6</v>
      </c>
    </row>
    <row r="149" spans="1:7" x14ac:dyDescent="0.3">
      <c r="A149" s="1">
        <v>45991.083341666665</v>
      </c>
      <c r="B149" s="5">
        <v>2.56</v>
      </c>
      <c r="C149" s="7">
        <f t="shared" si="2"/>
        <v>121.88932275000002</v>
      </c>
      <c r="D149" s="9">
        <v>0</v>
      </c>
      <c r="E149" s="11">
        <v>3</v>
      </c>
      <c r="F149" s="11">
        <v>4</v>
      </c>
      <c r="G149" s="11">
        <v>6</v>
      </c>
    </row>
    <row r="150" spans="1:7" x14ac:dyDescent="0.3">
      <c r="A150" s="1">
        <v>45991.125008391202</v>
      </c>
      <c r="B150" s="5">
        <v>2.56</v>
      </c>
      <c r="C150" s="7">
        <f t="shared" si="2"/>
        <v>121.88932275000002</v>
      </c>
      <c r="D150" s="9">
        <v>0</v>
      </c>
      <c r="E150" s="11">
        <v>3</v>
      </c>
      <c r="F150" s="11">
        <v>4</v>
      </c>
      <c r="G150" s="11">
        <v>6</v>
      </c>
    </row>
    <row r="151" spans="1:7" x14ac:dyDescent="0.3">
      <c r="A151" s="1">
        <v>45991.166675115739</v>
      </c>
      <c r="B151" s="5">
        <v>2.5</v>
      </c>
      <c r="C151" s="7">
        <f t="shared" si="2"/>
        <v>116.98382475000005</v>
      </c>
      <c r="D151" s="9">
        <v>0</v>
      </c>
      <c r="E151" s="11">
        <v>3</v>
      </c>
      <c r="F151" s="11">
        <v>4</v>
      </c>
      <c r="G151" s="11">
        <v>6</v>
      </c>
    </row>
    <row r="152" spans="1:7" x14ac:dyDescent="0.3">
      <c r="A152" s="1">
        <v>45991.208341840276</v>
      </c>
      <c r="B152" s="5">
        <v>2.5</v>
      </c>
      <c r="C152" s="7">
        <f t="shared" si="2"/>
        <v>116.98382475000005</v>
      </c>
      <c r="D152" s="9">
        <v>0</v>
      </c>
      <c r="E152" s="11">
        <v>3</v>
      </c>
      <c r="F152" s="11">
        <v>4</v>
      </c>
      <c r="G152" s="11">
        <v>6</v>
      </c>
    </row>
    <row r="153" spans="1:7" x14ac:dyDescent="0.3">
      <c r="A153" s="1">
        <v>45991.250008564813</v>
      </c>
      <c r="B153" s="5">
        <v>2.8</v>
      </c>
      <c r="C153" s="7">
        <f t="shared" si="2"/>
        <v>149.76179475000004</v>
      </c>
      <c r="D153" s="9">
        <v>0</v>
      </c>
      <c r="E153" s="11">
        <v>3</v>
      </c>
      <c r="F153" s="11">
        <v>4</v>
      </c>
      <c r="G153" s="11">
        <v>6</v>
      </c>
    </row>
    <row r="154" spans="1:7" x14ac:dyDescent="0.3">
      <c r="A154" s="1">
        <v>45991.291675289351</v>
      </c>
      <c r="B154" s="5">
        <v>2.79</v>
      </c>
      <c r="C154" s="7">
        <f t="shared" si="2"/>
        <v>148.33688474999997</v>
      </c>
      <c r="D154" s="9">
        <v>0</v>
      </c>
      <c r="E154" s="11">
        <v>3</v>
      </c>
      <c r="F154" s="11">
        <v>4</v>
      </c>
      <c r="G154" s="11">
        <v>6</v>
      </c>
    </row>
    <row r="155" spans="1:7" x14ac:dyDescent="0.3">
      <c r="A155" s="1">
        <v>45991.333342013888</v>
      </c>
      <c r="B155" s="5">
        <v>2.78</v>
      </c>
      <c r="C155" s="7">
        <f t="shared" si="2"/>
        <v>146.9348927499999</v>
      </c>
      <c r="D155" s="9">
        <v>0</v>
      </c>
      <c r="E155" s="11">
        <v>3</v>
      </c>
      <c r="F155" s="11">
        <v>4</v>
      </c>
      <c r="G155" s="11">
        <v>6</v>
      </c>
    </row>
    <row r="156" spans="1:7" x14ac:dyDescent="0.3">
      <c r="A156" s="1">
        <v>45991.375008738425</v>
      </c>
      <c r="B156" s="5">
        <v>2.62</v>
      </c>
      <c r="C156" s="7">
        <f t="shared" si="2"/>
        <v>127.61986875000014</v>
      </c>
      <c r="D156" s="9">
        <v>0</v>
      </c>
      <c r="E156" s="11">
        <v>3</v>
      </c>
      <c r="F156" s="11">
        <v>4</v>
      </c>
      <c r="G156" s="11">
        <v>6</v>
      </c>
    </row>
    <row r="157" spans="1:7" x14ac:dyDescent="0.3">
      <c r="A157" s="1">
        <v>45991.416675462962</v>
      </c>
      <c r="B157" s="5">
        <v>2.5499999999999998</v>
      </c>
      <c r="C157" s="7">
        <f t="shared" si="2"/>
        <v>121.01444475000005</v>
      </c>
      <c r="D157" s="9">
        <v>0</v>
      </c>
      <c r="E157" s="11">
        <v>3</v>
      </c>
      <c r="F157" s="11">
        <v>4</v>
      </c>
      <c r="G157" s="11">
        <v>6</v>
      </c>
    </row>
    <row r="158" spans="1:7" x14ac:dyDescent="0.3">
      <c r="A158" s="1">
        <v>45991.4583421875</v>
      </c>
      <c r="B158" s="5">
        <v>2.52</v>
      </c>
      <c r="C158" s="7">
        <f t="shared" si="2"/>
        <v>118.52731874999995</v>
      </c>
      <c r="D158" s="9">
        <v>0</v>
      </c>
      <c r="E158" s="11">
        <v>3</v>
      </c>
      <c r="F158" s="11">
        <v>4</v>
      </c>
      <c r="G158" s="11">
        <v>6</v>
      </c>
    </row>
    <row r="159" spans="1:7" x14ac:dyDescent="0.3">
      <c r="A159" s="1">
        <v>45991.500008912037</v>
      </c>
      <c r="B159" s="5">
        <v>2.48</v>
      </c>
      <c r="C159" s="7">
        <f t="shared" si="2"/>
        <v>115.53200274999995</v>
      </c>
      <c r="D159" s="9">
        <v>0</v>
      </c>
      <c r="E159" s="11">
        <v>3</v>
      </c>
      <c r="F159" s="11">
        <v>4</v>
      </c>
      <c r="G159" s="11">
        <v>6</v>
      </c>
    </row>
    <row r="160" spans="1:7" x14ac:dyDescent="0.3">
      <c r="A160" s="1">
        <v>45991.541675636574</v>
      </c>
      <c r="B160" s="5">
        <v>2.25</v>
      </c>
      <c r="C160" s="7">
        <f t="shared" si="2"/>
        <v>105.42497474999993</v>
      </c>
      <c r="D160" s="9">
        <v>0</v>
      </c>
      <c r="E160" s="11">
        <v>3</v>
      </c>
      <c r="F160" s="11">
        <v>4</v>
      </c>
      <c r="G160" s="11">
        <v>6</v>
      </c>
    </row>
    <row r="161" spans="1:7" x14ac:dyDescent="0.3">
      <c r="A161" s="1">
        <v>45991.583342361111</v>
      </c>
      <c r="B161" s="5">
        <v>2.29</v>
      </c>
      <c r="C161" s="7">
        <f t="shared" si="2"/>
        <v>106.31183475</v>
      </c>
      <c r="D161" s="9">
        <v>0</v>
      </c>
      <c r="E161" s="11">
        <v>3</v>
      </c>
      <c r="F161" s="11">
        <v>4</v>
      </c>
      <c r="G161" s="11">
        <v>6</v>
      </c>
    </row>
    <row r="162" spans="1:7" x14ac:dyDescent="0.3">
      <c r="A162" s="1">
        <v>45991.625009085648</v>
      </c>
      <c r="B162" s="5">
        <v>2.63</v>
      </c>
      <c r="C162" s="7">
        <f t="shared" si="2"/>
        <v>128.65517275000002</v>
      </c>
      <c r="D162" s="9">
        <v>0</v>
      </c>
      <c r="E162" s="11">
        <v>3</v>
      </c>
      <c r="F162" s="11">
        <v>4</v>
      </c>
      <c r="G162" s="11">
        <v>6</v>
      </c>
    </row>
    <row r="163" spans="1:7" x14ac:dyDescent="0.3">
      <c r="A163" s="1">
        <v>45991.666675810186</v>
      </c>
      <c r="B163" s="5">
        <v>2.66</v>
      </c>
      <c r="C163" s="7">
        <f t="shared" si="2"/>
        <v>131.89859275000015</v>
      </c>
      <c r="D163" s="9">
        <v>0</v>
      </c>
      <c r="E163" s="11">
        <v>3</v>
      </c>
      <c r="F163" s="11">
        <v>4</v>
      </c>
      <c r="G163" s="11">
        <v>6</v>
      </c>
    </row>
    <row r="164" spans="1:7" x14ac:dyDescent="0.3">
      <c r="A164" s="1">
        <v>45991.708342534723</v>
      </c>
      <c r="B164" s="5">
        <v>2.59</v>
      </c>
      <c r="C164" s="7">
        <f t="shared" si="2"/>
        <v>124.65146475000006</v>
      </c>
      <c r="D164" s="9">
        <v>0</v>
      </c>
      <c r="E164" s="11">
        <v>3</v>
      </c>
      <c r="F164" s="11">
        <v>4</v>
      </c>
      <c r="G164" s="11">
        <v>6</v>
      </c>
    </row>
    <row r="165" spans="1:7" x14ac:dyDescent="0.3">
      <c r="A165" s="1">
        <v>45991.75000925926</v>
      </c>
      <c r="B165" s="5">
        <v>2.5499999999999998</v>
      </c>
      <c r="C165" s="7">
        <f t="shared" si="2"/>
        <v>121.01444475000005</v>
      </c>
      <c r="D165" s="9">
        <v>0</v>
      </c>
      <c r="E165" s="11">
        <v>3</v>
      </c>
      <c r="F165" s="11">
        <v>4</v>
      </c>
      <c r="G165" s="11">
        <v>6</v>
      </c>
    </row>
    <row r="166" spans="1:7" x14ac:dyDescent="0.3">
      <c r="A166" s="1">
        <v>45991.791675983797</v>
      </c>
      <c r="B166" s="5">
        <v>2.72</v>
      </c>
      <c r="C166" s="7">
        <f t="shared" si="2"/>
        <v>139.00421874999995</v>
      </c>
      <c r="D166" s="9">
        <v>0</v>
      </c>
      <c r="E166" s="11">
        <v>3</v>
      </c>
      <c r="F166" s="11">
        <v>4</v>
      </c>
      <c r="G166" s="11">
        <v>6</v>
      </c>
    </row>
    <row r="167" spans="1:7" x14ac:dyDescent="0.3">
      <c r="A167" s="1">
        <v>45991.833342708334</v>
      </c>
      <c r="B167" s="5">
        <v>2.69</v>
      </c>
      <c r="C167" s="7">
        <f t="shared" si="2"/>
        <v>135.34827474999986</v>
      </c>
      <c r="D167" s="9">
        <v>0</v>
      </c>
      <c r="E167" s="11">
        <v>3</v>
      </c>
      <c r="F167" s="11">
        <v>4</v>
      </c>
      <c r="G167" s="11">
        <v>6</v>
      </c>
    </row>
    <row r="168" spans="1:7" x14ac:dyDescent="0.3">
      <c r="A168" s="1">
        <v>45991.875009432872</v>
      </c>
      <c r="B168" s="5">
        <v>2.65</v>
      </c>
      <c r="C168" s="7">
        <f t="shared" si="2"/>
        <v>130.79453475000003</v>
      </c>
      <c r="D168" s="9">
        <v>0</v>
      </c>
      <c r="E168" s="11">
        <v>3</v>
      </c>
      <c r="F168" s="11">
        <v>4</v>
      </c>
      <c r="G168" s="11">
        <v>6</v>
      </c>
    </row>
    <row r="169" spans="1:7" x14ac:dyDescent="0.3">
      <c r="A169" s="1">
        <v>45991.916676157409</v>
      </c>
      <c r="B169" s="5">
        <v>2.39</v>
      </c>
      <c r="C169" s="7">
        <f t="shared" si="2"/>
        <v>110.1332447499999</v>
      </c>
      <c r="D169" s="9">
        <v>0</v>
      </c>
      <c r="E169" s="11">
        <v>3</v>
      </c>
      <c r="F169" s="11">
        <v>4</v>
      </c>
      <c r="G169" s="11">
        <v>6</v>
      </c>
    </row>
    <row r="170" spans="1:7" x14ac:dyDescent="0.3">
      <c r="A170" s="1">
        <v>45991.958342881946</v>
      </c>
      <c r="B170" s="5">
        <v>2.4900000000000002</v>
      </c>
      <c r="C170" s="7">
        <f t="shared" si="2"/>
        <v>116.24645475</v>
      </c>
      <c r="D170" s="9">
        <v>0</v>
      </c>
      <c r="E170" s="11">
        <v>3</v>
      </c>
      <c r="F170" s="11">
        <v>4</v>
      </c>
      <c r="G170" s="11">
        <v>6</v>
      </c>
    </row>
    <row r="171" spans="1:7" x14ac:dyDescent="0.3">
      <c r="A171" s="1">
        <v>45992.000009606483</v>
      </c>
      <c r="B171" s="5">
        <v>2.35</v>
      </c>
      <c r="C171" s="7">
        <f t="shared" si="2"/>
        <v>108.32966475000001</v>
      </c>
      <c r="D171" s="9">
        <v>0</v>
      </c>
      <c r="E171" s="11">
        <v>3</v>
      </c>
      <c r="F171" s="11">
        <v>4</v>
      </c>
      <c r="G171" s="11">
        <v>6</v>
      </c>
    </row>
    <row r="172" spans="1:7" x14ac:dyDescent="0.3">
      <c r="A172" s="1">
        <v>45992.04167633102</v>
      </c>
      <c r="B172" s="5">
        <v>2.35</v>
      </c>
      <c r="C172" s="7">
        <f t="shared" si="2"/>
        <v>108.32966475000001</v>
      </c>
      <c r="D172" s="9">
        <v>0</v>
      </c>
      <c r="E172" s="11">
        <v>3</v>
      </c>
      <c r="F172" s="11">
        <v>4</v>
      </c>
      <c r="G172" s="11">
        <v>6</v>
      </c>
    </row>
    <row r="173" spans="1:7" x14ac:dyDescent="0.3">
      <c r="A173" s="1">
        <v>45992.083343055558</v>
      </c>
      <c r="B173" s="5">
        <v>2.39</v>
      </c>
      <c r="C173" s="7">
        <f t="shared" si="2"/>
        <v>110.1332447499999</v>
      </c>
      <c r="D173" s="9">
        <v>0</v>
      </c>
      <c r="E173" s="11">
        <v>3</v>
      </c>
      <c r="F173" s="11">
        <v>4</v>
      </c>
      <c r="G173" s="11">
        <v>6</v>
      </c>
    </row>
    <row r="174" spans="1:7" x14ac:dyDescent="0.3">
      <c r="A174" s="1">
        <v>45992.125009780095</v>
      </c>
      <c r="B174" s="5">
        <v>2.35</v>
      </c>
      <c r="C174" s="7">
        <f t="shared" si="2"/>
        <v>108.32966475000001</v>
      </c>
      <c r="D174" s="9">
        <v>0</v>
      </c>
      <c r="E174" s="11">
        <v>3</v>
      </c>
      <c r="F174" s="11">
        <v>4</v>
      </c>
      <c r="G174" s="11">
        <v>6</v>
      </c>
    </row>
    <row r="175" spans="1:7" x14ac:dyDescent="0.3">
      <c r="A175" s="1">
        <v>45992.166676504632</v>
      </c>
      <c r="B175" s="5">
        <v>2.29</v>
      </c>
      <c r="C175" s="7">
        <f t="shared" si="2"/>
        <v>106.31183475</v>
      </c>
      <c r="D175" s="9">
        <v>0</v>
      </c>
      <c r="E175" s="11">
        <v>3</v>
      </c>
      <c r="F175" s="11">
        <v>4</v>
      </c>
      <c r="G175" s="11">
        <v>6</v>
      </c>
    </row>
    <row r="176" spans="1:7" x14ac:dyDescent="0.3">
      <c r="A176" s="1">
        <v>45992.208343229169</v>
      </c>
      <c r="B176" s="5">
        <v>2.2799999999999998</v>
      </c>
      <c r="C176" s="7">
        <f t="shared" si="2"/>
        <v>106.05574275000004</v>
      </c>
      <c r="D176" s="9">
        <v>0</v>
      </c>
      <c r="E176" s="11">
        <v>3</v>
      </c>
      <c r="F176" s="11">
        <v>4</v>
      </c>
      <c r="G176" s="11">
        <v>6</v>
      </c>
    </row>
    <row r="177" spans="1:7" x14ac:dyDescent="0.3">
      <c r="A177" s="1">
        <v>45992.250009953706</v>
      </c>
      <c r="B177" s="5">
        <v>2.25</v>
      </c>
      <c r="C177" s="7">
        <f t="shared" si="2"/>
        <v>105.42497474999993</v>
      </c>
      <c r="D177" s="9">
        <v>0</v>
      </c>
      <c r="E177" s="11">
        <v>3</v>
      </c>
      <c r="F177" s="11">
        <v>4</v>
      </c>
      <c r="G177" s="11">
        <v>6</v>
      </c>
    </row>
    <row r="178" spans="1:7" x14ac:dyDescent="0.3">
      <c r="A178" s="1">
        <v>45992.291676678244</v>
      </c>
      <c r="B178" s="5">
        <v>2.58</v>
      </c>
      <c r="C178" s="7">
        <f t="shared" si="2"/>
        <v>123.70783274999997</v>
      </c>
      <c r="D178" s="9">
        <v>0</v>
      </c>
      <c r="E178" s="11">
        <v>3</v>
      </c>
      <c r="F178" s="11">
        <v>4</v>
      </c>
      <c r="G178" s="11">
        <v>6</v>
      </c>
    </row>
    <row r="179" spans="1:7" x14ac:dyDescent="0.3">
      <c r="A179" s="1">
        <v>45992.333343402781</v>
      </c>
      <c r="B179" s="5">
        <v>2.58</v>
      </c>
      <c r="C179" s="7">
        <f t="shared" si="2"/>
        <v>123.70783274999997</v>
      </c>
      <c r="D179" s="9">
        <v>0</v>
      </c>
      <c r="E179" s="11">
        <v>3</v>
      </c>
      <c r="F179" s="11">
        <v>4</v>
      </c>
      <c r="G179" s="11">
        <v>6</v>
      </c>
    </row>
    <row r="180" spans="1:7" x14ac:dyDescent="0.3">
      <c r="A180" s="1">
        <v>45992.375010127318</v>
      </c>
      <c r="B180" s="5">
        <v>2.58</v>
      </c>
      <c r="C180" s="7">
        <f t="shared" si="2"/>
        <v>123.70783274999997</v>
      </c>
      <c r="D180" s="9">
        <v>0</v>
      </c>
      <c r="E180" s="11">
        <v>3</v>
      </c>
      <c r="F180" s="11">
        <v>4</v>
      </c>
      <c r="G180" s="11">
        <v>6</v>
      </c>
    </row>
    <row r="181" spans="1:7" x14ac:dyDescent="0.3">
      <c r="A181" s="1">
        <v>45992.416676851855</v>
      </c>
      <c r="B181" s="5">
        <v>2.35</v>
      </c>
      <c r="C181" s="7">
        <f t="shared" si="2"/>
        <v>108.32966475000001</v>
      </c>
      <c r="D181" s="9">
        <v>0</v>
      </c>
      <c r="E181" s="11">
        <v>3</v>
      </c>
      <c r="F181" s="11">
        <v>4</v>
      </c>
      <c r="G181" s="11">
        <v>6</v>
      </c>
    </row>
    <row r="182" spans="1:7" x14ac:dyDescent="0.3">
      <c r="A182" s="1">
        <v>45992.458343576393</v>
      </c>
      <c r="B182" s="5">
        <v>2.25</v>
      </c>
      <c r="C182" s="7">
        <f t="shared" si="2"/>
        <v>105.42497474999993</v>
      </c>
      <c r="D182" s="9">
        <v>0</v>
      </c>
      <c r="E182" s="11">
        <v>3</v>
      </c>
      <c r="F182" s="11">
        <v>4</v>
      </c>
      <c r="G182" s="11">
        <v>6</v>
      </c>
    </row>
    <row r="183" spans="1:7" x14ac:dyDescent="0.3">
      <c r="A183" s="1">
        <v>45992.500010300922</v>
      </c>
      <c r="B183" s="5">
        <v>2.2000000000000002</v>
      </c>
      <c r="C183" s="7">
        <f t="shared" si="2"/>
        <v>98.401596974779181</v>
      </c>
      <c r="D183" s="9">
        <v>0</v>
      </c>
      <c r="E183" s="11">
        <v>3</v>
      </c>
      <c r="F183" s="11">
        <v>4</v>
      </c>
      <c r="G183" s="11">
        <v>6</v>
      </c>
    </row>
    <row r="184" spans="1:7" x14ac:dyDescent="0.3">
      <c r="A184" s="1">
        <v>45992.54167702546</v>
      </c>
      <c r="B184" s="5">
        <v>2.0499999999999998</v>
      </c>
      <c r="C184" s="7">
        <f t="shared" si="2"/>
        <v>74.663750826566528</v>
      </c>
      <c r="D184" s="9">
        <v>0</v>
      </c>
      <c r="E184" s="11">
        <v>3</v>
      </c>
      <c r="F184" s="11">
        <v>4</v>
      </c>
      <c r="G184" s="11">
        <v>6</v>
      </c>
    </row>
    <row r="185" spans="1:7" x14ac:dyDescent="0.3">
      <c r="A185" s="1">
        <v>45992.583343749997</v>
      </c>
      <c r="B185" s="5">
        <v>2.25</v>
      </c>
      <c r="C185" s="7">
        <f t="shared" si="2"/>
        <v>105.42497474999993</v>
      </c>
      <c r="D185" s="9">
        <v>0</v>
      </c>
      <c r="E185" s="11">
        <v>3</v>
      </c>
      <c r="F185" s="11">
        <v>4</v>
      </c>
      <c r="G185" s="11">
        <v>6</v>
      </c>
    </row>
    <row r="186" spans="1:7" x14ac:dyDescent="0.3">
      <c r="A186" s="1">
        <v>45992.625010474534</v>
      </c>
      <c r="B186" s="5">
        <v>2.25</v>
      </c>
      <c r="C186" s="7">
        <f t="shared" si="2"/>
        <v>105.42497474999993</v>
      </c>
      <c r="D186" s="9">
        <v>0</v>
      </c>
      <c r="E186" s="11">
        <v>3</v>
      </c>
      <c r="F186" s="11">
        <v>4</v>
      </c>
      <c r="G186" s="11">
        <v>6</v>
      </c>
    </row>
    <row r="187" spans="1:7" x14ac:dyDescent="0.3">
      <c r="A187" s="1">
        <v>45992.666677199071</v>
      </c>
      <c r="B187" s="5">
        <v>2.2000000000000002</v>
      </c>
      <c r="C187" s="7">
        <f t="shared" si="2"/>
        <v>98.401596974779181</v>
      </c>
      <c r="D187" s="9">
        <v>0</v>
      </c>
      <c r="E187" s="11">
        <v>3</v>
      </c>
      <c r="F187" s="11">
        <v>4</v>
      </c>
      <c r="G187" s="11">
        <v>6</v>
      </c>
    </row>
    <row r="188" spans="1:7" x14ac:dyDescent="0.3">
      <c r="A188" s="1">
        <v>45992.708343923608</v>
      </c>
      <c r="B188" s="5">
        <v>2</v>
      </c>
      <c r="C188" s="7">
        <f t="shared" si="2"/>
        <v>67.731207509734261</v>
      </c>
      <c r="D188" s="9">
        <v>0</v>
      </c>
      <c r="E188" s="11">
        <v>3</v>
      </c>
      <c r="F188" s="11">
        <v>4</v>
      </c>
      <c r="G188" s="11">
        <v>6</v>
      </c>
    </row>
    <row r="189" spans="1:7" x14ac:dyDescent="0.3">
      <c r="A189" s="1">
        <v>45992.750010648146</v>
      </c>
      <c r="B189" s="5">
        <v>2.2000000000000002</v>
      </c>
      <c r="C189" s="7">
        <f t="shared" si="2"/>
        <v>98.401596974779181</v>
      </c>
      <c r="D189" s="9">
        <v>0</v>
      </c>
      <c r="E189" s="11">
        <v>3</v>
      </c>
      <c r="F189" s="11">
        <v>4</v>
      </c>
      <c r="G189" s="11">
        <v>6</v>
      </c>
    </row>
    <row r="190" spans="1:7" x14ac:dyDescent="0.3">
      <c r="A190" s="1">
        <v>45992.791677372683</v>
      </c>
      <c r="B190" s="5">
        <v>2.2999999999999998</v>
      </c>
      <c r="C190" s="7">
        <f t="shared" si="2"/>
        <v>106.59084474999997</v>
      </c>
      <c r="D190" s="9">
        <v>0</v>
      </c>
      <c r="E190" s="11">
        <v>3</v>
      </c>
      <c r="F190" s="11">
        <v>4</v>
      </c>
      <c r="G190" s="11">
        <v>6</v>
      </c>
    </row>
    <row r="191" spans="1:7" x14ac:dyDescent="0.3">
      <c r="A191" s="1">
        <v>45992.83334409722</v>
      </c>
      <c r="B191" s="5">
        <v>2.1800000000000002</v>
      </c>
      <c r="C191" s="7">
        <f t="shared" si="2"/>
        <v>94.970486118870411</v>
      </c>
      <c r="D191" s="9">
        <v>0</v>
      </c>
      <c r="E191" s="11">
        <v>3</v>
      </c>
      <c r="F191" s="11">
        <v>4</v>
      </c>
      <c r="G191" s="11">
        <v>6</v>
      </c>
    </row>
    <row r="192" spans="1:7" x14ac:dyDescent="0.3">
      <c r="A192" s="1">
        <v>45992.875010821757</v>
      </c>
      <c r="B192" s="5">
        <v>2.15</v>
      </c>
      <c r="C192" s="7">
        <f t="shared" si="2"/>
        <v>89.980944123439784</v>
      </c>
      <c r="D192" s="9">
        <v>0</v>
      </c>
      <c r="E192" s="11">
        <v>3</v>
      </c>
      <c r="F192" s="11">
        <v>4</v>
      </c>
      <c r="G192" s="11">
        <v>6</v>
      </c>
    </row>
    <row r="193" spans="1:7" x14ac:dyDescent="0.3">
      <c r="A193" s="1">
        <v>45992.916677546295</v>
      </c>
      <c r="B193" s="5">
        <v>2.0499999999999998</v>
      </c>
      <c r="C193" s="7">
        <f t="shared" si="2"/>
        <v>74.663750826566528</v>
      </c>
      <c r="D193" s="9">
        <v>0</v>
      </c>
      <c r="E193" s="11">
        <v>3</v>
      </c>
      <c r="F193" s="11">
        <v>4</v>
      </c>
      <c r="G193" s="11">
        <v>6</v>
      </c>
    </row>
    <row r="194" spans="1:7" x14ac:dyDescent="0.3">
      <c r="A194" s="1">
        <v>45992.958344270832</v>
      </c>
      <c r="B194" s="5">
        <v>2.0499999999999998</v>
      </c>
      <c r="C194" s="7">
        <f t="shared" si="2"/>
        <v>74.663750826566528</v>
      </c>
      <c r="D194" s="9">
        <v>0</v>
      </c>
      <c r="E194" s="11">
        <v>3</v>
      </c>
      <c r="F194" s="11">
        <v>4</v>
      </c>
      <c r="G194" s="11">
        <v>6</v>
      </c>
    </row>
    <row r="195" spans="1:7" x14ac:dyDescent="0.3">
      <c r="A195" s="1">
        <v>45993.000010995369</v>
      </c>
      <c r="B195" s="5">
        <v>2.0499999999999998</v>
      </c>
      <c r="C195" s="7">
        <f t="shared" si="2"/>
        <v>74.663750826566528</v>
      </c>
      <c r="D195" s="9">
        <v>0</v>
      </c>
      <c r="E195" s="11">
        <v>3</v>
      </c>
      <c r="F195" s="11">
        <v>4</v>
      </c>
      <c r="G195" s="11">
        <v>6</v>
      </c>
    </row>
    <row r="196" spans="1:7" x14ac:dyDescent="0.3">
      <c r="A196" s="1">
        <v>45993.041677719906</v>
      </c>
      <c r="B196" s="5">
        <v>2.15</v>
      </c>
      <c r="C196" s="7">
        <f t="shared" si="2"/>
        <v>89.980944123439784</v>
      </c>
      <c r="D196" s="9">
        <v>0</v>
      </c>
      <c r="E196" s="11">
        <v>3</v>
      </c>
      <c r="F196" s="11">
        <v>4</v>
      </c>
      <c r="G196" s="11">
        <v>6</v>
      </c>
    </row>
    <row r="197" spans="1:7" x14ac:dyDescent="0.3">
      <c r="A197" s="1">
        <v>45993.083344444443</v>
      </c>
      <c r="B197" s="5">
        <v>2.15</v>
      </c>
      <c r="C197" s="7">
        <f t="shared" ref="C197:C260" si="3">IF(B197="","",IF(B197&lt;=2.23,13.015*(B197-0.345)^3.274,114.59*(B197-0.345)^2-419*(B197-0.345)+487.77))</f>
        <v>89.980944123439784</v>
      </c>
      <c r="D197" s="9">
        <v>0</v>
      </c>
      <c r="E197" s="11">
        <v>3</v>
      </c>
      <c r="F197" s="11">
        <v>4</v>
      </c>
      <c r="G197" s="11">
        <v>6</v>
      </c>
    </row>
    <row r="198" spans="1:7" x14ac:dyDescent="0.3">
      <c r="A198" s="1">
        <v>45993.125011168981</v>
      </c>
      <c r="B198" s="5">
        <v>2.15</v>
      </c>
      <c r="C198" s="7">
        <f t="shared" si="3"/>
        <v>89.980944123439784</v>
      </c>
      <c r="D198" s="9">
        <v>0</v>
      </c>
      <c r="E198" s="11">
        <v>3</v>
      </c>
      <c r="F198" s="11">
        <v>4</v>
      </c>
      <c r="G198" s="11">
        <v>6</v>
      </c>
    </row>
    <row r="199" spans="1:7" x14ac:dyDescent="0.3">
      <c r="A199" s="1">
        <v>45993.166677893518</v>
      </c>
      <c r="B199" s="5">
        <v>2</v>
      </c>
      <c r="C199" s="7">
        <f t="shared" si="3"/>
        <v>67.731207509734261</v>
      </c>
      <c r="D199" s="9">
        <v>0</v>
      </c>
      <c r="E199" s="11">
        <v>3</v>
      </c>
      <c r="F199" s="11">
        <v>4</v>
      </c>
      <c r="G199" s="11">
        <v>6</v>
      </c>
    </row>
    <row r="200" spans="1:7" x14ac:dyDescent="0.3">
      <c r="A200" s="1">
        <v>45993.208344618055</v>
      </c>
      <c r="B200" s="5">
        <v>2</v>
      </c>
      <c r="C200" s="7">
        <f t="shared" si="3"/>
        <v>67.731207509734261</v>
      </c>
      <c r="D200" s="9">
        <v>0</v>
      </c>
      <c r="E200" s="11">
        <v>3</v>
      </c>
      <c r="F200" s="11">
        <v>4</v>
      </c>
      <c r="G200" s="11">
        <v>6</v>
      </c>
    </row>
    <row r="201" spans="1:7" x14ac:dyDescent="0.3">
      <c r="A201" s="1">
        <v>45993.250011342592</v>
      </c>
      <c r="B201" s="5">
        <v>2.15</v>
      </c>
      <c r="C201" s="7">
        <f t="shared" si="3"/>
        <v>89.980944123439784</v>
      </c>
      <c r="D201" s="9">
        <v>0</v>
      </c>
      <c r="E201" s="11">
        <v>3</v>
      </c>
      <c r="F201" s="11">
        <v>4</v>
      </c>
      <c r="G201" s="11">
        <v>6</v>
      </c>
    </row>
    <row r="202" spans="1:7" x14ac:dyDescent="0.3">
      <c r="A202" s="1">
        <v>45993.291678067129</v>
      </c>
      <c r="B202" s="5">
        <v>2.1</v>
      </c>
      <c r="C202" s="7">
        <f t="shared" si="3"/>
        <v>82.074352644841866</v>
      </c>
      <c r="D202" s="9">
        <v>0</v>
      </c>
      <c r="E202" s="11">
        <v>3</v>
      </c>
      <c r="F202" s="11">
        <v>4</v>
      </c>
      <c r="G202" s="11">
        <v>6</v>
      </c>
    </row>
    <row r="203" spans="1:7" x14ac:dyDescent="0.3">
      <c r="A203" s="1">
        <v>45993.333344733794</v>
      </c>
      <c r="B203" s="5">
        <v>2.1800000000000002</v>
      </c>
      <c r="C203" s="7">
        <f t="shared" si="3"/>
        <v>94.970486118870411</v>
      </c>
      <c r="D203" s="9">
        <v>0</v>
      </c>
      <c r="E203" s="11">
        <v>3</v>
      </c>
      <c r="F203" s="11">
        <v>4</v>
      </c>
      <c r="G203" s="11">
        <v>6</v>
      </c>
    </row>
    <row r="204" spans="1:7" x14ac:dyDescent="0.3">
      <c r="A204" s="1">
        <v>45993.375011458331</v>
      </c>
      <c r="B204" s="5">
        <v>2.12</v>
      </c>
      <c r="C204" s="7">
        <f t="shared" si="3"/>
        <v>85.176461578381364</v>
      </c>
      <c r="D204" s="9">
        <v>0</v>
      </c>
      <c r="E204" s="11">
        <v>3</v>
      </c>
      <c r="F204" s="11">
        <v>4</v>
      </c>
      <c r="G204" s="11">
        <v>6</v>
      </c>
    </row>
    <row r="205" spans="1:7" x14ac:dyDescent="0.3">
      <c r="A205" s="1">
        <v>45993.416678182868</v>
      </c>
      <c r="B205" s="5">
        <v>1.9</v>
      </c>
      <c r="C205" s="7">
        <f t="shared" si="3"/>
        <v>55.229292559593233</v>
      </c>
      <c r="D205" s="9">
        <v>0</v>
      </c>
      <c r="E205" s="11">
        <v>3</v>
      </c>
      <c r="F205" s="11">
        <v>4</v>
      </c>
      <c r="G205" s="11">
        <v>6</v>
      </c>
    </row>
    <row r="206" spans="1:7" x14ac:dyDescent="0.3">
      <c r="A206" s="1">
        <v>45993.458344907405</v>
      </c>
      <c r="B206" s="5">
        <v>2.1800000000000002</v>
      </c>
      <c r="C206" s="7">
        <f t="shared" si="3"/>
        <v>94.970486118870411</v>
      </c>
      <c r="D206" s="9">
        <v>0</v>
      </c>
      <c r="E206" s="11">
        <v>3</v>
      </c>
      <c r="F206" s="11">
        <v>4</v>
      </c>
      <c r="G206" s="11">
        <v>6</v>
      </c>
    </row>
    <row r="207" spans="1:7" x14ac:dyDescent="0.3">
      <c r="A207" s="1">
        <v>45993.500011631942</v>
      </c>
      <c r="B207" s="5">
        <v>1.98</v>
      </c>
      <c r="C207" s="7">
        <f t="shared" si="3"/>
        <v>65.088057242302639</v>
      </c>
      <c r="D207" s="9">
        <v>0</v>
      </c>
      <c r="E207" s="11">
        <v>3</v>
      </c>
      <c r="F207" s="11">
        <v>4</v>
      </c>
      <c r="G207" s="11">
        <v>6</v>
      </c>
    </row>
    <row r="208" spans="1:7" x14ac:dyDescent="0.3">
      <c r="A208" s="1">
        <v>45993.54167835648</v>
      </c>
      <c r="B208" s="5">
        <v>1.98</v>
      </c>
      <c r="C208" s="7">
        <f t="shared" si="3"/>
        <v>65.088057242302639</v>
      </c>
      <c r="D208" s="9">
        <v>0</v>
      </c>
      <c r="E208" s="11">
        <v>3</v>
      </c>
      <c r="F208" s="11">
        <v>4</v>
      </c>
      <c r="G208" s="11">
        <v>6</v>
      </c>
    </row>
    <row r="209" spans="1:7" x14ac:dyDescent="0.3">
      <c r="A209" s="1">
        <v>45993.583345081017</v>
      </c>
      <c r="B209" s="5">
        <v>1.98</v>
      </c>
      <c r="C209" s="7">
        <f t="shared" si="3"/>
        <v>65.088057242302639</v>
      </c>
      <c r="D209" s="9">
        <v>0</v>
      </c>
      <c r="E209" s="11">
        <v>3</v>
      </c>
      <c r="F209" s="11">
        <v>4</v>
      </c>
      <c r="G209" s="11">
        <v>6</v>
      </c>
    </row>
    <row r="210" spans="1:7" x14ac:dyDescent="0.3">
      <c r="A210" s="1">
        <v>45993.625011805554</v>
      </c>
      <c r="B210" s="5">
        <v>1.98</v>
      </c>
      <c r="C210" s="7">
        <f t="shared" si="3"/>
        <v>65.088057242302639</v>
      </c>
      <c r="D210" s="9">
        <v>0</v>
      </c>
      <c r="E210" s="11">
        <v>3</v>
      </c>
      <c r="F210" s="11">
        <v>4</v>
      </c>
      <c r="G210" s="11">
        <v>6</v>
      </c>
    </row>
    <row r="211" spans="1:7" x14ac:dyDescent="0.3">
      <c r="A211" s="1">
        <v>45993.666678530091</v>
      </c>
      <c r="B211" s="5">
        <v>2.04</v>
      </c>
      <c r="C211" s="7">
        <f t="shared" si="3"/>
        <v>73.239568773344132</v>
      </c>
      <c r="D211" s="9">
        <v>0</v>
      </c>
      <c r="E211" s="11">
        <v>3</v>
      </c>
      <c r="F211" s="11">
        <v>4</v>
      </c>
      <c r="G211" s="11">
        <v>6</v>
      </c>
    </row>
    <row r="212" spans="1:7" x14ac:dyDescent="0.3">
      <c r="A212" s="1">
        <v>45993.708345254629</v>
      </c>
      <c r="B212" s="5">
        <v>2.1</v>
      </c>
      <c r="C212" s="7">
        <f t="shared" si="3"/>
        <v>82.074352644841866</v>
      </c>
      <c r="D212" s="9">
        <v>0</v>
      </c>
      <c r="E212" s="11">
        <v>3</v>
      </c>
      <c r="F212" s="11">
        <v>4</v>
      </c>
      <c r="G212" s="11">
        <v>6</v>
      </c>
    </row>
    <row r="213" spans="1:7" x14ac:dyDescent="0.3">
      <c r="A213" s="1">
        <v>45993.750011979166</v>
      </c>
      <c r="B213" s="4">
        <v>2.1800000000000002</v>
      </c>
      <c r="C213" s="7">
        <f t="shared" si="3"/>
        <v>94.970486118870411</v>
      </c>
      <c r="D213" s="9">
        <v>0</v>
      </c>
      <c r="E213" s="11">
        <v>3</v>
      </c>
      <c r="F213" s="11">
        <v>4</v>
      </c>
      <c r="G213" s="11">
        <v>6</v>
      </c>
    </row>
    <row r="214" spans="1:7" x14ac:dyDescent="0.3">
      <c r="A214" s="1">
        <v>45993.791678703703</v>
      </c>
      <c r="B214" s="4">
        <v>2.2000000000000002</v>
      </c>
      <c r="C214" s="7">
        <f t="shared" si="3"/>
        <v>98.401596974779181</v>
      </c>
      <c r="D214" s="9">
        <v>0</v>
      </c>
      <c r="E214" s="11">
        <v>3</v>
      </c>
      <c r="F214" s="11">
        <v>4</v>
      </c>
      <c r="G214" s="11">
        <v>6</v>
      </c>
    </row>
    <row r="215" spans="1:7" x14ac:dyDescent="0.3">
      <c r="A215" s="1">
        <v>45993.83334542824</v>
      </c>
      <c r="B215" s="4">
        <v>2.1800000000000002</v>
      </c>
      <c r="C215" s="7">
        <f t="shared" si="3"/>
        <v>94.970486118870411</v>
      </c>
      <c r="D215" s="9">
        <v>0</v>
      </c>
      <c r="E215" s="11">
        <v>3</v>
      </c>
      <c r="F215" s="11">
        <v>4</v>
      </c>
      <c r="G215" s="11">
        <v>6</v>
      </c>
    </row>
    <row r="216" spans="1:7" x14ac:dyDescent="0.3">
      <c r="A216" s="1">
        <v>45993.875012152777</v>
      </c>
      <c r="B216" s="4">
        <v>2.1800000000000002</v>
      </c>
      <c r="C216" s="7">
        <f t="shared" si="3"/>
        <v>94.970486118870411</v>
      </c>
      <c r="D216" s="9">
        <v>0</v>
      </c>
      <c r="E216" s="11">
        <v>3</v>
      </c>
      <c r="F216" s="11">
        <v>4</v>
      </c>
      <c r="G216" s="11">
        <v>6</v>
      </c>
    </row>
    <row r="217" spans="1:7" x14ac:dyDescent="0.3">
      <c r="A217" s="1">
        <v>45993.916678877315</v>
      </c>
      <c r="B217" s="4">
        <v>2.15</v>
      </c>
      <c r="C217" s="7">
        <f t="shared" si="3"/>
        <v>89.980944123439784</v>
      </c>
      <c r="D217" s="9">
        <v>0</v>
      </c>
      <c r="E217" s="11">
        <v>3</v>
      </c>
      <c r="F217" s="11">
        <v>4</v>
      </c>
      <c r="G217" s="11">
        <v>6</v>
      </c>
    </row>
    <row r="218" spans="1:7" x14ac:dyDescent="0.3">
      <c r="A218" s="1">
        <v>45993.958345601852</v>
      </c>
      <c r="B218" s="4">
        <v>2.12</v>
      </c>
      <c r="C218" s="7">
        <f t="shared" si="3"/>
        <v>85.176461578381364</v>
      </c>
      <c r="D218" s="9">
        <v>0</v>
      </c>
      <c r="E218" s="11">
        <v>3</v>
      </c>
      <c r="F218" s="11">
        <v>4</v>
      </c>
      <c r="G218" s="11">
        <v>6</v>
      </c>
    </row>
    <row r="219" spans="1:7" x14ac:dyDescent="0.3">
      <c r="A219" s="1">
        <v>45994.000012326389</v>
      </c>
      <c r="B219" s="4">
        <v>2.0499999999999998</v>
      </c>
      <c r="C219" s="7">
        <f t="shared" si="3"/>
        <v>74.663750826566528</v>
      </c>
      <c r="D219" s="9">
        <v>0</v>
      </c>
      <c r="E219" s="11">
        <v>3</v>
      </c>
      <c r="F219" s="11">
        <v>4</v>
      </c>
      <c r="G219" s="11">
        <v>6</v>
      </c>
    </row>
    <row r="220" spans="1:7" x14ac:dyDescent="0.3">
      <c r="A220" s="1">
        <v>45994.041679108799</v>
      </c>
      <c r="B220" s="4">
        <v>2.2999999999999998</v>
      </c>
      <c r="C220" s="7">
        <f t="shared" si="3"/>
        <v>106.59084474999997</v>
      </c>
      <c r="D220" s="9">
        <v>0</v>
      </c>
      <c r="E220" s="11">
        <v>3</v>
      </c>
      <c r="F220" s="11">
        <v>4</v>
      </c>
      <c r="G220" s="11">
        <v>6</v>
      </c>
    </row>
    <row r="221" spans="1:7" x14ac:dyDescent="0.3">
      <c r="A221" s="1">
        <v>45994.083345891202</v>
      </c>
      <c r="B221" s="4">
        <v>2.17</v>
      </c>
      <c r="C221" s="7">
        <f t="shared" si="3"/>
        <v>93.286501226443377</v>
      </c>
      <c r="D221" s="9">
        <v>0</v>
      </c>
      <c r="E221" s="11">
        <v>3</v>
      </c>
      <c r="F221" s="11">
        <v>4</v>
      </c>
      <c r="G221" s="11">
        <v>6</v>
      </c>
    </row>
    <row r="222" spans="1:7" x14ac:dyDescent="0.3">
      <c r="A222" s="1">
        <v>45994.125012673612</v>
      </c>
      <c r="B222" s="4">
        <v>2.0499999999999998</v>
      </c>
      <c r="C222" s="7">
        <f t="shared" si="3"/>
        <v>74.663750826566528</v>
      </c>
      <c r="D222" s="9">
        <v>0</v>
      </c>
      <c r="E222" s="11">
        <v>3</v>
      </c>
      <c r="F222" s="11">
        <v>4</v>
      </c>
      <c r="G222" s="11">
        <v>6</v>
      </c>
    </row>
    <row r="223" spans="1:7" x14ac:dyDescent="0.3">
      <c r="A223" s="1">
        <v>45994.166679456015</v>
      </c>
      <c r="B223" s="4">
        <v>2</v>
      </c>
      <c r="C223" s="7">
        <f t="shared" si="3"/>
        <v>67.731207509734261</v>
      </c>
      <c r="D223" s="9">
        <v>0</v>
      </c>
      <c r="E223" s="11">
        <v>3</v>
      </c>
      <c r="F223" s="11">
        <v>4</v>
      </c>
      <c r="G223" s="11">
        <v>6</v>
      </c>
    </row>
    <row r="224" spans="1:7" x14ac:dyDescent="0.3">
      <c r="A224" s="1">
        <v>45994.208346238425</v>
      </c>
      <c r="B224" s="4">
        <v>2.15</v>
      </c>
      <c r="C224" s="7">
        <f t="shared" si="3"/>
        <v>89.980944123439784</v>
      </c>
      <c r="D224" s="9">
        <v>0</v>
      </c>
      <c r="E224" s="11">
        <v>3</v>
      </c>
      <c r="F224" s="11">
        <v>4</v>
      </c>
      <c r="G224" s="11">
        <v>6</v>
      </c>
    </row>
    <row r="225" spans="1:7" x14ac:dyDescent="0.3">
      <c r="A225" s="1">
        <v>45994.250013020835</v>
      </c>
      <c r="B225" s="4">
        <v>2.15</v>
      </c>
      <c r="C225" s="7">
        <f t="shared" si="3"/>
        <v>89.980944123439784</v>
      </c>
      <c r="D225" s="9">
        <v>0</v>
      </c>
      <c r="E225" s="11">
        <v>3</v>
      </c>
      <c r="F225" s="11">
        <v>4</v>
      </c>
      <c r="G225" s="11">
        <v>6</v>
      </c>
    </row>
    <row r="226" spans="1:7" x14ac:dyDescent="0.3">
      <c r="A226" s="1">
        <v>45994.291679803238</v>
      </c>
      <c r="B226" s="4">
        <v>2.16</v>
      </c>
      <c r="C226" s="7">
        <f t="shared" si="3"/>
        <v>91.623369047786454</v>
      </c>
      <c r="D226" s="9">
        <v>0</v>
      </c>
      <c r="E226" s="11">
        <v>3</v>
      </c>
      <c r="F226" s="11">
        <v>4</v>
      </c>
      <c r="G226" s="11">
        <v>6</v>
      </c>
    </row>
    <row r="227" spans="1:7" x14ac:dyDescent="0.3">
      <c r="A227" s="1">
        <v>45994.333346585649</v>
      </c>
      <c r="B227" s="4">
        <v>2.11</v>
      </c>
      <c r="C227" s="7">
        <f t="shared" si="3"/>
        <v>83.615415478514194</v>
      </c>
      <c r="D227" s="9">
        <v>0</v>
      </c>
      <c r="E227" s="11">
        <v>3</v>
      </c>
      <c r="F227" s="11">
        <v>4</v>
      </c>
      <c r="G227" s="11">
        <v>6</v>
      </c>
    </row>
    <row r="228" spans="1:7" x14ac:dyDescent="0.3">
      <c r="A228" s="1">
        <v>45994.375013368059</v>
      </c>
      <c r="B228" s="4">
        <v>2.11</v>
      </c>
      <c r="C228" s="7">
        <f t="shared" si="3"/>
        <v>83.615415478514194</v>
      </c>
      <c r="D228" s="9">
        <v>0</v>
      </c>
      <c r="E228" s="11">
        <v>3</v>
      </c>
      <c r="F228" s="11">
        <v>4</v>
      </c>
      <c r="G228" s="11">
        <v>6</v>
      </c>
    </row>
    <row r="229" spans="1:7" x14ac:dyDescent="0.3">
      <c r="A229" s="1">
        <v>45994.416680150462</v>
      </c>
      <c r="B229" s="4">
        <v>2.0499999999999998</v>
      </c>
      <c r="C229" s="7">
        <f t="shared" si="3"/>
        <v>74.663750826566528</v>
      </c>
      <c r="D229" s="9">
        <v>0</v>
      </c>
      <c r="E229" s="11">
        <v>3</v>
      </c>
      <c r="F229" s="11">
        <v>4</v>
      </c>
      <c r="G229" s="11">
        <v>6</v>
      </c>
    </row>
    <row r="230" spans="1:7" x14ac:dyDescent="0.3">
      <c r="A230" s="1">
        <v>45994.458346932872</v>
      </c>
      <c r="B230" s="4">
        <v>2.0699999999999998</v>
      </c>
      <c r="C230" s="7">
        <f t="shared" si="3"/>
        <v>77.569623571245657</v>
      </c>
      <c r="D230" s="9">
        <v>0</v>
      </c>
      <c r="E230" s="11">
        <v>3</v>
      </c>
      <c r="F230" s="11">
        <v>4</v>
      </c>
      <c r="G230" s="11">
        <v>6</v>
      </c>
    </row>
    <row r="231" spans="1:7" x14ac:dyDescent="0.3">
      <c r="A231" s="1">
        <v>45994.500013715275</v>
      </c>
      <c r="B231" s="4">
        <v>2.0499999999999998</v>
      </c>
      <c r="C231" s="7">
        <f t="shared" si="3"/>
        <v>74.663750826566528</v>
      </c>
      <c r="D231" s="9">
        <v>0</v>
      </c>
      <c r="E231" s="11">
        <v>3</v>
      </c>
      <c r="F231" s="11">
        <v>4</v>
      </c>
      <c r="G231" s="11">
        <v>6</v>
      </c>
    </row>
    <row r="232" spans="1:7" x14ac:dyDescent="0.3">
      <c r="A232" s="1">
        <v>45994.541680497685</v>
      </c>
      <c r="B232" s="4">
        <v>1.98</v>
      </c>
      <c r="C232" s="7">
        <f t="shared" si="3"/>
        <v>65.088057242302639</v>
      </c>
      <c r="D232" s="9">
        <v>0</v>
      </c>
      <c r="E232" s="11">
        <v>3</v>
      </c>
      <c r="F232" s="11">
        <v>4</v>
      </c>
      <c r="G232" s="11">
        <v>6</v>
      </c>
    </row>
    <row r="233" spans="1:7" x14ac:dyDescent="0.3">
      <c r="A233" s="1">
        <v>45994.583347280095</v>
      </c>
      <c r="B233" s="4">
        <v>1.97</v>
      </c>
      <c r="C233" s="7">
        <f t="shared" si="3"/>
        <v>63.793743885123483</v>
      </c>
      <c r="D233" s="9">
        <v>0</v>
      </c>
      <c r="E233" s="11">
        <v>3</v>
      </c>
      <c r="F233" s="11">
        <v>4</v>
      </c>
      <c r="G233" s="11">
        <v>6</v>
      </c>
    </row>
    <row r="234" spans="1:7" x14ac:dyDescent="0.3">
      <c r="A234" s="1">
        <v>45994.625014062498</v>
      </c>
      <c r="B234" s="4">
        <v>1.88</v>
      </c>
      <c r="C234" s="7">
        <f t="shared" si="3"/>
        <v>52.937448838920183</v>
      </c>
      <c r="D234" s="9">
        <v>0</v>
      </c>
      <c r="E234" s="11">
        <v>3</v>
      </c>
      <c r="F234" s="11">
        <v>4</v>
      </c>
      <c r="G234" s="11">
        <v>6</v>
      </c>
    </row>
    <row r="235" spans="1:7" x14ac:dyDescent="0.3">
      <c r="A235" s="1">
        <v>45994.666680844908</v>
      </c>
      <c r="B235" s="4">
        <v>1.95</v>
      </c>
      <c r="C235" s="7">
        <f t="shared" si="3"/>
        <v>61.258935071009347</v>
      </c>
      <c r="D235" s="9">
        <v>0</v>
      </c>
      <c r="E235" s="11">
        <v>3</v>
      </c>
      <c r="F235" s="11">
        <v>4</v>
      </c>
      <c r="G235" s="11">
        <v>6</v>
      </c>
    </row>
    <row r="236" spans="1:7" x14ac:dyDescent="0.3">
      <c r="A236" s="1">
        <v>45994.708347627318</v>
      </c>
      <c r="B236" s="4">
        <v>1.85</v>
      </c>
      <c r="C236" s="7">
        <f t="shared" si="3"/>
        <v>49.624789002328875</v>
      </c>
      <c r="D236" s="9">
        <v>0</v>
      </c>
      <c r="E236" s="11">
        <v>3</v>
      </c>
      <c r="F236" s="11">
        <v>4</v>
      </c>
      <c r="G236" s="11">
        <v>6</v>
      </c>
    </row>
    <row r="237" spans="1:7" x14ac:dyDescent="0.3">
      <c r="A237" s="1">
        <v>45994.750014409721</v>
      </c>
      <c r="B237" s="4">
        <v>1.91</v>
      </c>
      <c r="C237" s="7">
        <f t="shared" si="3"/>
        <v>56.400652421642071</v>
      </c>
      <c r="D237" s="9">
        <v>0</v>
      </c>
      <c r="E237" s="11">
        <v>3</v>
      </c>
      <c r="F237" s="11">
        <v>4</v>
      </c>
      <c r="G237" s="11">
        <v>6</v>
      </c>
    </row>
    <row r="238" spans="1:7" x14ac:dyDescent="0.3">
      <c r="A238" s="1">
        <v>45994.791681192131</v>
      </c>
      <c r="B238" s="4">
        <v>1.91</v>
      </c>
      <c r="C238" s="7">
        <f t="shared" si="3"/>
        <v>56.400652421642071</v>
      </c>
      <c r="D238" s="9">
        <v>0</v>
      </c>
      <c r="E238" s="11">
        <v>3</v>
      </c>
      <c r="F238" s="11">
        <v>4</v>
      </c>
      <c r="G238" s="11">
        <v>6</v>
      </c>
    </row>
    <row r="239" spans="1:7" x14ac:dyDescent="0.3">
      <c r="A239" s="1">
        <v>45994.833347974534</v>
      </c>
      <c r="B239" s="4">
        <v>1.95</v>
      </c>
      <c r="C239" s="7">
        <f t="shared" si="3"/>
        <v>61.258935071009347</v>
      </c>
      <c r="D239" s="9">
        <v>0</v>
      </c>
      <c r="E239" s="11">
        <v>3</v>
      </c>
      <c r="F239" s="11">
        <v>4</v>
      </c>
      <c r="G239" s="11">
        <v>6</v>
      </c>
    </row>
    <row r="240" spans="1:7" x14ac:dyDescent="0.3">
      <c r="A240" s="1">
        <v>45994.875014756944</v>
      </c>
      <c r="B240" s="4">
        <v>1.98</v>
      </c>
      <c r="C240" s="7">
        <f t="shared" si="3"/>
        <v>65.088057242302639</v>
      </c>
      <c r="D240" s="9">
        <v>0</v>
      </c>
      <c r="E240" s="11">
        <v>3</v>
      </c>
      <c r="F240" s="11">
        <v>4</v>
      </c>
      <c r="G240" s="11">
        <v>6</v>
      </c>
    </row>
    <row r="241" spans="1:7" x14ac:dyDescent="0.3">
      <c r="A241" s="1">
        <v>45994.916681539355</v>
      </c>
      <c r="B241" s="4">
        <v>1.98</v>
      </c>
      <c r="C241" s="7">
        <f t="shared" si="3"/>
        <v>65.088057242302639</v>
      </c>
      <c r="D241" s="9">
        <v>0</v>
      </c>
      <c r="E241" s="11">
        <v>3</v>
      </c>
      <c r="F241" s="11">
        <v>4</v>
      </c>
      <c r="G241" s="11">
        <v>6</v>
      </c>
    </row>
    <row r="242" spans="1:7" x14ac:dyDescent="0.3">
      <c r="A242" s="1">
        <v>45994.958348321758</v>
      </c>
      <c r="B242" s="4">
        <v>1.98</v>
      </c>
      <c r="C242" s="7">
        <f t="shared" si="3"/>
        <v>65.088057242302639</v>
      </c>
      <c r="D242" s="9">
        <v>0</v>
      </c>
      <c r="E242" s="11">
        <v>3</v>
      </c>
      <c r="F242" s="11">
        <v>4</v>
      </c>
      <c r="G242" s="11">
        <v>6</v>
      </c>
    </row>
    <row r="243" spans="1:7" x14ac:dyDescent="0.3">
      <c r="A243" s="1">
        <v>45995.000015104168</v>
      </c>
      <c r="B243" s="4">
        <v>1.98</v>
      </c>
      <c r="C243" s="7">
        <f t="shared" si="3"/>
        <v>65.088057242302639</v>
      </c>
      <c r="D243" s="9">
        <v>0</v>
      </c>
      <c r="E243" s="11">
        <v>3</v>
      </c>
      <c r="F243" s="11">
        <v>4</v>
      </c>
      <c r="G243" s="11">
        <v>6</v>
      </c>
    </row>
    <row r="244" spans="1:7" x14ac:dyDescent="0.3">
      <c r="A244" s="1">
        <v>45995.041681886571</v>
      </c>
      <c r="B244" s="4">
        <v>1.96</v>
      </c>
      <c r="C244" s="7">
        <f t="shared" si="3"/>
        <v>62.517416792361395</v>
      </c>
      <c r="D244" s="9">
        <v>0</v>
      </c>
      <c r="E244" s="11">
        <v>3</v>
      </c>
      <c r="F244" s="11">
        <v>4</v>
      </c>
      <c r="G244" s="11">
        <v>6</v>
      </c>
    </row>
    <row r="245" spans="1:7" x14ac:dyDescent="0.3">
      <c r="A245" s="1">
        <v>45995.083348668981</v>
      </c>
      <c r="B245" s="4">
        <v>2.2999999999999998</v>
      </c>
      <c r="C245" s="7">
        <f t="shared" si="3"/>
        <v>106.59084474999997</v>
      </c>
      <c r="D245" s="9">
        <v>0</v>
      </c>
      <c r="E245" s="11">
        <v>3</v>
      </c>
      <c r="F245" s="11">
        <v>4</v>
      </c>
      <c r="G245" s="11">
        <v>6</v>
      </c>
    </row>
    <row r="246" spans="1:7" x14ac:dyDescent="0.3">
      <c r="A246" s="1">
        <v>45995.125015451391</v>
      </c>
      <c r="B246" s="4">
        <v>2.25</v>
      </c>
      <c r="C246" s="7">
        <f t="shared" si="3"/>
        <v>105.42497474999993</v>
      </c>
      <c r="D246" s="9">
        <v>0</v>
      </c>
      <c r="E246" s="11">
        <v>3</v>
      </c>
      <c r="F246" s="11">
        <v>4</v>
      </c>
      <c r="G246" s="11">
        <v>6</v>
      </c>
    </row>
    <row r="247" spans="1:7" x14ac:dyDescent="0.3">
      <c r="A247" s="1">
        <v>45995.166682233794</v>
      </c>
      <c r="B247" s="4">
        <v>2.1</v>
      </c>
      <c r="C247" s="7">
        <f t="shared" si="3"/>
        <v>82.074352644841866</v>
      </c>
      <c r="D247" s="9">
        <v>0</v>
      </c>
      <c r="E247" s="11">
        <v>3</v>
      </c>
      <c r="F247" s="11">
        <v>4</v>
      </c>
      <c r="G247" s="11">
        <v>6</v>
      </c>
    </row>
    <row r="248" spans="1:7" x14ac:dyDescent="0.3">
      <c r="A248" s="1">
        <v>45995.208349016204</v>
      </c>
      <c r="B248" s="4">
        <v>2.0499999999999998</v>
      </c>
      <c r="C248" s="7">
        <f t="shared" si="3"/>
        <v>74.663750826566528</v>
      </c>
      <c r="D248" s="9">
        <v>0</v>
      </c>
      <c r="E248" s="11">
        <v>3</v>
      </c>
      <c r="F248" s="11">
        <v>4</v>
      </c>
      <c r="G248" s="11">
        <v>6</v>
      </c>
    </row>
    <row r="249" spans="1:7" x14ac:dyDescent="0.3">
      <c r="A249" s="1">
        <v>45995.250015798614</v>
      </c>
      <c r="B249" s="4">
        <v>1.93</v>
      </c>
      <c r="C249" s="7">
        <f t="shared" si="3"/>
        <v>58.794945365776705</v>
      </c>
      <c r="D249" s="9">
        <v>0</v>
      </c>
      <c r="E249" s="11">
        <v>3</v>
      </c>
      <c r="F249" s="11">
        <v>4</v>
      </c>
      <c r="G249" s="11">
        <v>6</v>
      </c>
    </row>
    <row r="250" spans="1:7" x14ac:dyDescent="0.3">
      <c r="A250" s="1">
        <v>45995.291682581017</v>
      </c>
      <c r="B250" s="4">
        <v>1.88</v>
      </c>
      <c r="C250" s="7">
        <f t="shared" si="3"/>
        <v>52.937448838920183</v>
      </c>
      <c r="D250" s="9">
        <v>0</v>
      </c>
      <c r="E250" s="11">
        <v>3</v>
      </c>
      <c r="F250" s="11">
        <v>4</v>
      </c>
      <c r="G250" s="11">
        <v>6</v>
      </c>
    </row>
    <row r="251" spans="1:7" x14ac:dyDescent="0.3">
      <c r="A251" s="1">
        <v>45995.333349363427</v>
      </c>
      <c r="B251" s="4">
        <v>1.84</v>
      </c>
      <c r="C251" s="7">
        <f t="shared" si="3"/>
        <v>48.55337652288771</v>
      </c>
      <c r="D251" s="9">
        <v>0</v>
      </c>
      <c r="E251" s="11">
        <v>3</v>
      </c>
      <c r="F251" s="11">
        <v>4</v>
      </c>
      <c r="G251" s="11">
        <v>6</v>
      </c>
    </row>
    <row r="252" spans="1:7" x14ac:dyDescent="0.3">
      <c r="A252" s="1">
        <v>45995.37501614583</v>
      </c>
      <c r="B252" s="4">
        <v>1.63</v>
      </c>
      <c r="C252" s="7">
        <f t="shared" si="3"/>
        <v>29.5796487405485</v>
      </c>
      <c r="D252" s="9">
        <v>0</v>
      </c>
      <c r="E252" s="11">
        <v>3</v>
      </c>
      <c r="F252" s="11">
        <v>4</v>
      </c>
      <c r="G252" s="11">
        <v>6</v>
      </c>
    </row>
    <row r="253" spans="1:7" x14ac:dyDescent="0.3">
      <c r="A253" s="1">
        <v>45995.41668292824</v>
      </c>
      <c r="B253" s="4">
        <v>1.58</v>
      </c>
      <c r="C253" s="7">
        <f t="shared" si="3"/>
        <v>25.975372938816697</v>
      </c>
      <c r="D253" s="9">
        <v>0</v>
      </c>
      <c r="E253" s="11">
        <v>3</v>
      </c>
      <c r="F253" s="11">
        <v>4</v>
      </c>
      <c r="G253" s="11">
        <v>6</v>
      </c>
    </row>
    <row r="254" spans="1:7" x14ac:dyDescent="0.3">
      <c r="A254" s="1">
        <v>45995.458349710651</v>
      </c>
      <c r="B254" s="4">
        <v>1.5</v>
      </c>
      <c r="C254" s="7">
        <f t="shared" si="3"/>
        <v>20.861118439799803</v>
      </c>
      <c r="D254" s="9">
        <v>0</v>
      </c>
      <c r="E254" s="11">
        <v>3</v>
      </c>
      <c r="F254" s="11">
        <v>4</v>
      </c>
      <c r="G254" s="11">
        <v>6</v>
      </c>
    </row>
    <row r="255" spans="1:7" x14ac:dyDescent="0.3">
      <c r="A255" s="1">
        <v>45995.500016493053</v>
      </c>
      <c r="B255" s="4">
        <v>1.5</v>
      </c>
      <c r="C255" s="7">
        <f t="shared" si="3"/>
        <v>20.861118439799803</v>
      </c>
      <c r="D255" s="9">
        <v>0</v>
      </c>
      <c r="E255" s="11">
        <v>3</v>
      </c>
      <c r="F255" s="11">
        <v>4</v>
      </c>
      <c r="G255" s="11">
        <v>6</v>
      </c>
    </row>
    <row r="256" spans="1:7" x14ac:dyDescent="0.3">
      <c r="A256" s="1">
        <v>45995.541683275464</v>
      </c>
      <c r="B256" s="4">
        <v>1.49</v>
      </c>
      <c r="C256" s="7">
        <f t="shared" si="3"/>
        <v>20.275582306430017</v>
      </c>
      <c r="D256" s="9">
        <v>0</v>
      </c>
      <c r="E256" s="11">
        <v>3</v>
      </c>
      <c r="F256" s="11">
        <v>4</v>
      </c>
      <c r="G256" s="11">
        <v>6</v>
      </c>
    </row>
    <row r="257" spans="1:7" x14ac:dyDescent="0.3">
      <c r="A257" s="1">
        <v>45995.583350057874</v>
      </c>
      <c r="B257" s="4">
        <v>1.5</v>
      </c>
      <c r="C257" s="7">
        <f t="shared" si="3"/>
        <v>20.861118439799803</v>
      </c>
      <c r="D257" s="9">
        <v>0</v>
      </c>
      <c r="E257" s="11">
        <v>3</v>
      </c>
      <c r="F257" s="11">
        <v>4</v>
      </c>
      <c r="G257" s="11">
        <v>6</v>
      </c>
    </row>
    <row r="258" spans="1:7" x14ac:dyDescent="0.3">
      <c r="A258" s="1">
        <v>45995.625016840277</v>
      </c>
      <c r="B258" s="4">
        <v>1.51</v>
      </c>
      <c r="C258" s="7">
        <f t="shared" si="3"/>
        <v>21.458297004975897</v>
      </c>
      <c r="D258" s="9">
        <v>0</v>
      </c>
      <c r="E258" s="11">
        <v>3</v>
      </c>
      <c r="F258" s="11">
        <v>4</v>
      </c>
      <c r="G258" s="11">
        <v>6</v>
      </c>
    </row>
    <row r="259" spans="1:7" x14ac:dyDescent="0.3">
      <c r="A259" s="1">
        <v>45995.666683622687</v>
      </c>
      <c r="B259" s="4">
        <v>1.95</v>
      </c>
      <c r="C259" s="7">
        <f t="shared" si="3"/>
        <v>61.258935071009347</v>
      </c>
      <c r="D259" s="9">
        <v>0</v>
      </c>
      <c r="E259" s="11">
        <v>3</v>
      </c>
      <c r="F259" s="11">
        <v>4</v>
      </c>
      <c r="G259" s="11">
        <v>6</v>
      </c>
    </row>
    <row r="260" spans="1:7" x14ac:dyDescent="0.3">
      <c r="A260" s="1">
        <v>45995.70835040509</v>
      </c>
      <c r="B260" s="4">
        <v>1.91</v>
      </c>
      <c r="C260" s="7">
        <f t="shared" si="3"/>
        <v>56.400652421642071</v>
      </c>
      <c r="D260" s="9">
        <v>3</v>
      </c>
      <c r="E260" s="11">
        <v>3</v>
      </c>
      <c r="F260" s="11">
        <v>4</v>
      </c>
      <c r="G260" s="11">
        <v>6</v>
      </c>
    </row>
    <row r="261" spans="1:7" x14ac:dyDescent="0.3">
      <c r="A261" s="1">
        <v>45995.7500171875</v>
      </c>
      <c r="B261" s="4">
        <v>2.09</v>
      </c>
      <c r="C261" s="7">
        <f t="shared" ref="C261:C267" si="4">IF(B261="","",IF(B261&lt;=2.23,13.015*(B261-0.345)^3.274,114.59*(B261-0.345)^2-419*(B261-0.345)+487.77))</f>
        <v>80.553128947871485</v>
      </c>
      <c r="D261" s="9">
        <v>0</v>
      </c>
      <c r="E261" s="11">
        <v>3</v>
      </c>
      <c r="F261" s="11">
        <v>4</v>
      </c>
      <c r="G261" s="11">
        <v>6</v>
      </c>
    </row>
    <row r="262" spans="1:7" x14ac:dyDescent="0.3">
      <c r="A262" s="1">
        <v>45995.79168396991</v>
      </c>
      <c r="B262" s="4">
        <v>2.2000000000000002</v>
      </c>
      <c r="C262" s="7">
        <f t="shared" si="4"/>
        <v>98.401596974779181</v>
      </c>
      <c r="D262" s="9">
        <v>0</v>
      </c>
      <c r="E262" s="11">
        <v>3</v>
      </c>
      <c r="F262" s="11">
        <v>4</v>
      </c>
      <c r="G262" s="11">
        <v>6</v>
      </c>
    </row>
    <row r="263" spans="1:7" x14ac:dyDescent="0.3">
      <c r="A263" s="1">
        <v>45995.833350752313</v>
      </c>
      <c r="B263" s="4">
        <v>2.08</v>
      </c>
      <c r="C263" s="7">
        <f t="shared" si="4"/>
        <v>79.051600482959401</v>
      </c>
      <c r="D263" s="9">
        <v>0</v>
      </c>
      <c r="E263" s="11">
        <v>3</v>
      </c>
      <c r="F263" s="11">
        <v>4</v>
      </c>
      <c r="G263" s="11">
        <v>6</v>
      </c>
    </row>
    <row r="264" spans="1:7" x14ac:dyDescent="0.3">
      <c r="A264" s="1">
        <v>45995.875017534723</v>
      </c>
      <c r="B264" s="4">
        <v>2.0699999999999998</v>
      </c>
      <c r="C264" s="7">
        <f t="shared" si="4"/>
        <v>77.569623571245657</v>
      </c>
      <c r="D264" s="9">
        <v>0</v>
      </c>
      <c r="E264" s="11">
        <v>3</v>
      </c>
      <c r="F264" s="11">
        <v>4</v>
      </c>
      <c r="G264" s="11">
        <v>6</v>
      </c>
    </row>
    <row r="265" spans="1:7" x14ac:dyDescent="0.3">
      <c r="A265" s="1">
        <v>45995.916684317126</v>
      </c>
      <c r="B265" s="4">
        <v>2.06</v>
      </c>
      <c r="C265" s="7">
        <f t="shared" si="4"/>
        <v>76.107054760598302</v>
      </c>
      <c r="D265" s="9">
        <v>0</v>
      </c>
      <c r="E265" s="11">
        <v>3</v>
      </c>
      <c r="F265" s="11">
        <v>4</v>
      </c>
      <c r="G265" s="11">
        <v>6</v>
      </c>
    </row>
    <row r="266" spans="1:7" x14ac:dyDescent="0.3">
      <c r="A266" s="1">
        <v>45995.958351099536</v>
      </c>
      <c r="B266" s="4">
        <v>2.0299999999999998</v>
      </c>
      <c r="C266" s="7">
        <f t="shared" si="4"/>
        <v>71.83436583474203</v>
      </c>
      <c r="D266" s="9">
        <v>0</v>
      </c>
      <c r="E266" s="11">
        <v>3</v>
      </c>
      <c r="F266" s="11">
        <v>4</v>
      </c>
      <c r="G266" s="11">
        <v>6</v>
      </c>
    </row>
    <row r="267" spans="1:7" x14ac:dyDescent="0.3">
      <c r="A267" s="1">
        <v>45996.000017881946</v>
      </c>
      <c r="B267" s="4">
        <v>2.04</v>
      </c>
      <c r="C267" s="7">
        <f t="shared" si="4"/>
        <v>73.239568773344132</v>
      </c>
      <c r="D267" s="9">
        <v>0</v>
      </c>
      <c r="E267" s="11">
        <v>3</v>
      </c>
      <c r="F267" s="11">
        <v>4</v>
      </c>
      <c r="G267" s="11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5F5D-B3B7-40A0-9E1E-1F8E4FC17687}">
  <dimension ref="A1:Q267"/>
  <sheetViews>
    <sheetView workbookViewId="0">
      <selection activeCell="T22" sqref="T22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4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2.72</v>
      </c>
      <c r="C4" s="7">
        <f>IF(B4="","",IF((B4)&gt;2,8.9271*((B4)^2)+9.2434*(B4)-1.6791,14.51*(((B4)-0.1)^1.846)))</f>
        <v>89.509204640000007</v>
      </c>
      <c r="D4" s="9">
        <v>0</v>
      </c>
      <c r="E4" s="11">
        <v>3</v>
      </c>
      <c r="F4" s="11">
        <v>3.4</v>
      </c>
      <c r="G4" s="11">
        <v>5</v>
      </c>
      <c r="I4" s="23">
        <v>8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2.5099999999999998</v>
      </c>
      <c r="C5" s="7">
        <f t="shared" ref="C5:C68" si="0">IF(B5="","",IF((B5)&gt;2,8.9271*((B5)^2)+9.2434*(B5)-1.6791,14.51*(((B5)-0.1)^1.846)))</f>
        <v>77.763456709999986</v>
      </c>
      <c r="D5" s="9">
        <v>0</v>
      </c>
      <c r="E5" s="11">
        <v>3</v>
      </c>
      <c r="F5" s="11">
        <v>3.4</v>
      </c>
      <c r="G5" s="11">
        <v>5</v>
      </c>
      <c r="K5" s="1"/>
      <c r="Q5" s="25"/>
    </row>
    <row r="6" spans="1:17" x14ac:dyDescent="0.3">
      <c r="A6" s="1">
        <v>45985.125000057873</v>
      </c>
      <c r="B6" s="5">
        <v>2.12</v>
      </c>
      <c r="C6" s="7">
        <f t="shared" si="0"/>
        <v>58.038866240000011</v>
      </c>
      <c r="D6" s="9">
        <v>0</v>
      </c>
      <c r="E6" s="11">
        <v>3</v>
      </c>
      <c r="F6" s="11">
        <v>3.4</v>
      </c>
      <c r="G6" s="11">
        <v>5</v>
      </c>
      <c r="K6" s="1"/>
      <c r="M6" s="1"/>
    </row>
    <row r="7" spans="1:17" x14ac:dyDescent="0.3">
      <c r="A7" s="1">
        <v>45985.16666678241</v>
      </c>
      <c r="B7" s="5">
        <v>1.91</v>
      </c>
      <c r="C7" s="7">
        <f t="shared" si="0"/>
        <v>43.385245734782423</v>
      </c>
      <c r="D7" s="9">
        <v>0</v>
      </c>
      <c r="E7" s="11">
        <v>3</v>
      </c>
      <c r="F7" s="11">
        <v>3.4</v>
      </c>
      <c r="G7" s="11">
        <v>5</v>
      </c>
    </row>
    <row r="8" spans="1:17" x14ac:dyDescent="0.3">
      <c r="A8" s="1">
        <v>45985.208333506947</v>
      </c>
      <c r="B8" s="5">
        <v>1.86</v>
      </c>
      <c r="C8" s="7">
        <f t="shared" si="0"/>
        <v>41.198727024003801</v>
      </c>
      <c r="D8" s="9">
        <v>0</v>
      </c>
      <c r="E8" s="11">
        <v>3</v>
      </c>
      <c r="F8" s="11">
        <v>3.4</v>
      </c>
      <c r="G8" s="11">
        <v>5</v>
      </c>
    </row>
    <row r="9" spans="1:17" x14ac:dyDescent="0.3">
      <c r="A9" s="1">
        <v>45985.250000231485</v>
      </c>
      <c r="B9" s="5">
        <v>1.78</v>
      </c>
      <c r="C9" s="7">
        <f t="shared" si="0"/>
        <v>37.808404135499359</v>
      </c>
      <c r="D9" s="9">
        <v>0</v>
      </c>
      <c r="E9" s="11">
        <v>3</v>
      </c>
      <c r="F9" s="11">
        <v>3.4</v>
      </c>
      <c r="G9" s="11">
        <v>5</v>
      </c>
    </row>
    <row r="10" spans="1:17" x14ac:dyDescent="0.3">
      <c r="A10" s="1">
        <v>45985.291666956022</v>
      </c>
      <c r="B10" s="5">
        <v>1.74</v>
      </c>
      <c r="C10" s="7">
        <f t="shared" si="0"/>
        <v>36.163391742924667</v>
      </c>
      <c r="D10" s="9">
        <v>0</v>
      </c>
      <c r="E10" s="11">
        <v>3</v>
      </c>
      <c r="F10" s="11">
        <v>3.4</v>
      </c>
      <c r="G10" s="11">
        <v>5</v>
      </c>
    </row>
    <row r="11" spans="1:17" x14ac:dyDescent="0.3">
      <c r="A11" s="1">
        <v>45985.333333680559</v>
      </c>
      <c r="B11" s="5">
        <v>1.67</v>
      </c>
      <c r="C11" s="7">
        <f t="shared" si="0"/>
        <v>33.365540980474748</v>
      </c>
      <c r="D11" s="9">
        <v>0</v>
      </c>
      <c r="E11" s="11">
        <v>3</v>
      </c>
      <c r="F11" s="11">
        <v>3.4</v>
      </c>
      <c r="G11" s="11">
        <v>5</v>
      </c>
    </row>
    <row r="12" spans="1:17" x14ac:dyDescent="0.3">
      <c r="A12" s="1">
        <v>45985.375000405096</v>
      </c>
      <c r="B12" s="5">
        <v>1.59</v>
      </c>
      <c r="C12" s="7">
        <f t="shared" si="0"/>
        <v>30.294881908515947</v>
      </c>
      <c r="D12" s="9">
        <v>0</v>
      </c>
      <c r="E12" s="11">
        <v>3</v>
      </c>
      <c r="F12" s="11">
        <v>3.4</v>
      </c>
      <c r="G12" s="11">
        <v>5</v>
      </c>
    </row>
    <row r="13" spans="1:17" x14ac:dyDescent="0.3">
      <c r="A13" s="1">
        <v>45985.416667129626</v>
      </c>
      <c r="B13" s="5">
        <v>1.5</v>
      </c>
      <c r="C13" s="7">
        <f t="shared" si="0"/>
        <v>27.003481866240183</v>
      </c>
      <c r="D13" s="9">
        <v>0</v>
      </c>
      <c r="E13" s="11">
        <v>3</v>
      </c>
      <c r="F13" s="11">
        <v>3.4</v>
      </c>
      <c r="G13" s="11">
        <v>5</v>
      </c>
    </row>
    <row r="14" spans="1:17" x14ac:dyDescent="0.3">
      <c r="A14" s="1">
        <v>45985.458333854163</v>
      </c>
      <c r="B14" s="5">
        <v>1.44</v>
      </c>
      <c r="C14" s="7">
        <f t="shared" si="0"/>
        <v>24.905936140413083</v>
      </c>
      <c r="D14" s="9">
        <v>0</v>
      </c>
      <c r="E14" s="11">
        <v>3</v>
      </c>
      <c r="F14" s="11">
        <v>3.4</v>
      </c>
      <c r="G14" s="11">
        <v>5</v>
      </c>
    </row>
    <row r="15" spans="1:17" x14ac:dyDescent="0.3">
      <c r="A15" s="1">
        <v>45985.500000578701</v>
      </c>
      <c r="B15" s="5">
        <v>1.37</v>
      </c>
      <c r="C15" s="7">
        <f t="shared" si="0"/>
        <v>22.55740210693612</v>
      </c>
      <c r="D15" s="9">
        <v>0</v>
      </c>
      <c r="E15" s="11">
        <v>3</v>
      </c>
      <c r="F15" s="11">
        <v>3.4</v>
      </c>
      <c r="G15" s="11">
        <v>5</v>
      </c>
    </row>
    <row r="16" spans="1:17" x14ac:dyDescent="0.3">
      <c r="A16" s="1">
        <v>45985.541667303238</v>
      </c>
      <c r="B16" s="5">
        <v>1.31</v>
      </c>
      <c r="C16" s="7">
        <f t="shared" si="0"/>
        <v>20.629523940402766</v>
      </c>
      <c r="D16" s="9">
        <v>0</v>
      </c>
      <c r="E16" s="11">
        <v>3</v>
      </c>
      <c r="F16" s="11">
        <v>3.4</v>
      </c>
      <c r="G16" s="11">
        <v>5</v>
      </c>
    </row>
    <row r="17" spans="1:7" x14ac:dyDescent="0.3">
      <c r="A17" s="1">
        <v>45985.583334027775</v>
      </c>
      <c r="B17" s="5">
        <v>1.28</v>
      </c>
      <c r="C17" s="7">
        <f t="shared" si="0"/>
        <v>19.695254537910998</v>
      </c>
      <c r="D17" s="9">
        <v>0</v>
      </c>
      <c r="E17" s="11">
        <v>3</v>
      </c>
      <c r="F17" s="11">
        <v>3.4</v>
      </c>
      <c r="G17" s="11">
        <v>5</v>
      </c>
    </row>
    <row r="18" spans="1:7" x14ac:dyDescent="0.3">
      <c r="A18" s="1">
        <v>45985.625000752312</v>
      </c>
      <c r="B18" s="5">
        <v>1.24</v>
      </c>
      <c r="C18" s="7">
        <f t="shared" si="0"/>
        <v>18.480502165429399</v>
      </c>
      <c r="D18" s="9">
        <v>0</v>
      </c>
      <c r="E18" s="11">
        <v>3</v>
      </c>
      <c r="F18" s="11">
        <v>3.4</v>
      </c>
      <c r="G18" s="11">
        <v>5</v>
      </c>
    </row>
    <row r="19" spans="1:7" x14ac:dyDescent="0.3">
      <c r="A19" s="1">
        <v>45985.666667476849</v>
      </c>
      <c r="B19" s="5">
        <v>1.19</v>
      </c>
      <c r="C19" s="7">
        <f t="shared" si="0"/>
        <v>17.012053022500577</v>
      </c>
      <c r="D19" s="9">
        <v>1.1000000000000001</v>
      </c>
      <c r="E19" s="11">
        <v>3</v>
      </c>
      <c r="F19" s="11">
        <v>3.4</v>
      </c>
      <c r="G19" s="11">
        <v>5</v>
      </c>
    </row>
    <row r="20" spans="1:7" x14ac:dyDescent="0.3">
      <c r="A20" s="1">
        <v>45985.708334201387</v>
      </c>
      <c r="B20" s="5">
        <v>1.1599999999999999</v>
      </c>
      <c r="C20" s="7">
        <f t="shared" si="0"/>
        <v>16.157792988834309</v>
      </c>
      <c r="D20" s="9">
        <v>0</v>
      </c>
      <c r="E20" s="11">
        <v>3</v>
      </c>
      <c r="F20" s="11">
        <v>3.4</v>
      </c>
      <c r="G20" s="11">
        <v>5</v>
      </c>
    </row>
    <row r="21" spans="1:7" x14ac:dyDescent="0.3">
      <c r="A21" s="1">
        <v>45985.750000925924</v>
      </c>
      <c r="B21" s="5">
        <v>1.1599999999999999</v>
      </c>
      <c r="C21" s="7">
        <f t="shared" si="0"/>
        <v>16.157792988834309</v>
      </c>
      <c r="D21" s="9">
        <v>0.8</v>
      </c>
      <c r="E21" s="11">
        <v>3</v>
      </c>
      <c r="F21" s="11">
        <v>3.4</v>
      </c>
      <c r="G21" s="11">
        <v>5</v>
      </c>
    </row>
    <row r="22" spans="1:7" x14ac:dyDescent="0.3">
      <c r="A22" s="1">
        <v>45985.791667650461</v>
      </c>
      <c r="B22" s="5">
        <v>1.18</v>
      </c>
      <c r="C22" s="7">
        <f t="shared" si="0"/>
        <v>16.72505925375436</v>
      </c>
      <c r="D22" s="9">
        <v>4.5</v>
      </c>
      <c r="E22" s="11">
        <v>3</v>
      </c>
      <c r="F22" s="11">
        <v>3.4</v>
      </c>
      <c r="G22" s="11">
        <v>5</v>
      </c>
    </row>
    <row r="23" spans="1:7" x14ac:dyDescent="0.3">
      <c r="A23" s="1">
        <v>45985.833334374998</v>
      </c>
      <c r="B23" s="5">
        <v>1.18</v>
      </c>
      <c r="C23" s="7">
        <f t="shared" si="0"/>
        <v>16.72505925375436</v>
      </c>
      <c r="D23" s="9">
        <v>0.8</v>
      </c>
      <c r="E23" s="11">
        <v>3</v>
      </c>
      <c r="F23" s="11">
        <v>3.4</v>
      </c>
      <c r="G23" s="11">
        <v>5</v>
      </c>
    </row>
    <row r="24" spans="1:7" x14ac:dyDescent="0.3">
      <c r="A24" s="1">
        <v>45985.875001099535</v>
      </c>
      <c r="B24" s="5">
        <v>1.21</v>
      </c>
      <c r="C24" s="7">
        <f t="shared" si="0"/>
        <v>17.592745950605821</v>
      </c>
      <c r="D24" s="9">
        <v>0</v>
      </c>
      <c r="E24" s="11">
        <v>3</v>
      </c>
      <c r="F24" s="11">
        <v>3.4</v>
      </c>
      <c r="G24" s="11">
        <v>5</v>
      </c>
    </row>
    <row r="25" spans="1:7" x14ac:dyDescent="0.3">
      <c r="A25" s="1">
        <v>45985.916667824073</v>
      </c>
      <c r="B25" s="5">
        <v>1.25</v>
      </c>
      <c r="C25" s="7">
        <f t="shared" si="0"/>
        <v>18.780866505536594</v>
      </c>
      <c r="D25" s="9">
        <v>0</v>
      </c>
      <c r="E25" s="11">
        <v>3</v>
      </c>
      <c r="F25" s="11">
        <v>3.4</v>
      </c>
      <c r="G25" s="11">
        <v>5</v>
      </c>
    </row>
    <row r="26" spans="1:7" x14ac:dyDescent="0.3">
      <c r="A26" s="1">
        <v>45985.95833454861</v>
      </c>
      <c r="B26" s="5">
        <v>1.29</v>
      </c>
      <c r="C26" s="7">
        <f t="shared" si="0"/>
        <v>20.004472465838667</v>
      </c>
      <c r="D26" s="9">
        <v>1.1000000000000001</v>
      </c>
      <c r="E26" s="11">
        <v>3</v>
      </c>
      <c r="F26" s="11">
        <v>3.4</v>
      </c>
      <c r="G26" s="11">
        <v>5</v>
      </c>
    </row>
    <row r="27" spans="1:7" x14ac:dyDescent="0.3">
      <c r="A27" s="1">
        <v>45986.000001273147</v>
      </c>
      <c r="B27" s="5">
        <v>1.34</v>
      </c>
      <c r="C27" s="7">
        <f t="shared" si="0"/>
        <v>21.583597984553961</v>
      </c>
      <c r="D27" s="9">
        <v>0</v>
      </c>
      <c r="E27" s="11">
        <v>3</v>
      </c>
      <c r="F27" s="11">
        <v>3.4</v>
      </c>
      <c r="G27" s="11">
        <v>5</v>
      </c>
    </row>
    <row r="28" spans="1:7" x14ac:dyDescent="0.3">
      <c r="A28" s="1">
        <v>45986.041667997684</v>
      </c>
      <c r="B28" s="5">
        <v>1.39</v>
      </c>
      <c r="C28" s="7">
        <f t="shared" si="0"/>
        <v>23.217530121143326</v>
      </c>
      <c r="D28" s="9">
        <v>0</v>
      </c>
      <c r="E28" s="11">
        <v>3</v>
      </c>
      <c r="F28" s="11">
        <v>3.4</v>
      </c>
      <c r="G28" s="11">
        <v>5</v>
      </c>
    </row>
    <row r="29" spans="1:7" x14ac:dyDescent="0.3">
      <c r="A29" s="1">
        <v>45986.083334722221</v>
      </c>
      <c r="B29" s="5">
        <v>1.36</v>
      </c>
      <c r="C29" s="7">
        <f t="shared" si="0"/>
        <v>22.230613018895308</v>
      </c>
      <c r="D29" s="9">
        <v>0</v>
      </c>
      <c r="E29" s="11">
        <v>3</v>
      </c>
      <c r="F29" s="11">
        <v>3.4</v>
      </c>
      <c r="G29" s="11">
        <v>5</v>
      </c>
    </row>
    <row r="30" spans="1:7" x14ac:dyDescent="0.3">
      <c r="A30" s="1">
        <v>45986.125001446759</v>
      </c>
      <c r="B30" s="5">
        <v>1.32</v>
      </c>
      <c r="C30" s="7">
        <f t="shared" si="0"/>
        <v>20.945351831633381</v>
      </c>
      <c r="D30" s="9">
        <v>0</v>
      </c>
      <c r="E30" s="11">
        <v>3</v>
      </c>
      <c r="F30" s="11">
        <v>3.4</v>
      </c>
      <c r="G30" s="11">
        <v>5</v>
      </c>
    </row>
    <row r="31" spans="1:7" x14ac:dyDescent="0.3">
      <c r="A31" s="1">
        <v>45986.166668171296</v>
      </c>
      <c r="B31" s="5">
        <v>1.28</v>
      </c>
      <c r="C31" s="7">
        <f t="shared" si="0"/>
        <v>19.695254537910998</v>
      </c>
      <c r="D31" s="9">
        <v>0</v>
      </c>
      <c r="E31" s="11">
        <v>3</v>
      </c>
      <c r="F31" s="11">
        <v>3.4</v>
      </c>
      <c r="G31" s="11">
        <v>5</v>
      </c>
    </row>
    <row r="32" spans="1:7" x14ac:dyDescent="0.3">
      <c r="A32" s="1">
        <v>45986.208334895833</v>
      </c>
      <c r="B32" s="5">
        <v>1.25</v>
      </c>
      <c r="C32" s="7">
        <f t="shared" si="0"/>
        <v>18.780866505536594</v>
      </c>
      <c r="D32" s="9">
        <v>0</v>
      </c>
      <c r="E32" s="11">
        <v>3</v>
      </c>
      <c r="F32" s="11">
        <v>3.4</v>
      </c>
      <c r="G32" s="11">
        <v>5</v>
      </c>
    </row>
    <row r="33" spans="1:7" x14ac:dyDescent="0.3">
      <c r="A33" s="1">
        <v>45986.25000162037</v>
      </c>
      <c r="B33" s="5">
        <v>1.2</v>
      </c>
      <c r="C33" s="7">
        <f t="shared" si="0"/>
        <v>17.30128296905302</v>
      </c>
      <c r="D33" s="9">
        <v>0</v>
      </c>
      <c r="E33" s="11">
        <v>3</v>
      </c>
      <c r="F33" s="11">
        <v>3.4</v>
      </c>
      <c r="G33" s="11">
        <v>5</v>
      </c>
    </row>
    <row r="34" spans="1:7" x14ac:dyDescent="0.3">
      <c r="A34" s="1">
        <v>45986.291668344908</v>
      </c>
      <c r="B34" s="5">
        <v>1.1000000000000001</v>
      </c>
      <c r="C34" s="7">
        <f t="shared" si="0"/>
        <v>14.51</v>
      </c>
      <c r="D34" s="9">
        <v>0</v>
      </c>
      <c r="E34" s="11">
        <v>3</v>
      </c>
      <c r="F34" s="11">
        <v>3.4</v>
      </c>
      <c r="G34" s="11">
        <v>5</v>
      </c>
    </row>
    <row r="35" spans="1:7" x14ac:dyDescent="0.3">
      <c r="A35" s="1">
        <v>45986.333335069445</v>
      </c>
      <c r="B35" s="5">
        <v>1.06</v>
      </c>
      <c r="C35" s="7">
        <f t="shared" si="0"/>
        <v>13.456747660097134</v>
      </c>
      <c r="D35" s="9">
        <v>0</v>
      </c>
      <c r="E35" s="11">
        <v>3</v>
      </c>
      <c r="F35" s="11">
        <v>3.4</v>
      </c>
      <c r="G35" s="11">
        <v>5</v>
      </c>
    </row>
    <row r="36" spans="1:7" x14ac:dyDescent="0.3">
      <c r="A36" s="1">
        <v>45986.375001793982</v>
      </c>
      <c r="B36" s="5">
        <v>1.04</v>
      </c>
      <c r="C36" s="7">
        <f t="shared" si="0"/>
        <v>12.943789160996259</v>
      </c>
      <c r="D36" s="9">
        <v>0</v>
      </c>
      <c r="E36" s="11">
        <v>3</v>
      </c>
      <c r="F36" s="11">
        <v>3.4</v>
      </c>
      <c r="G36" s="11">
        <v>5</v>
      </c>
    </row>
    <row r="37" spans="1:7" x14ac:dyDescent="0.3">
      <c r="A37" s="1">
        <v>45986.416668518519</v>
      </c>
      <c r="B37" s="5">
        <v>1.04</v>
      </c>
      <c r="C37" s="7">
        <f t="shared" si="0"/>
        <v>12.943789160996259</v>
      </c>
      <c r="D37" s="9">
        <v>0</v>
      </c>
      <c r="E37" s="11">
        <v>3</v>
      </c>
      <c r="F37" s="11">
        <v>3.4</v>
      </c>
      <c r="G37" s="11">
        <v>5</v>
      </c>
    </row>
    <row r="38" spans="1:7" x14ac:dyDescent="0.3">
      <c r="A38" s="1">
        <v>45986.458335243056</v>
      </c>
      <c r="B38" s="5">
        <v>1.04</v>
      </c>
      <c r="C38" s="7">
        <f t="shared" si="0"/>
        <v>12.943789160996259</v>
      </c>
      <c r="D38" s="9">
        <v>0</v>
      </c>
      <c r="E38" s="11">
        <v>3</v>
      </c>
      <c r="F38" s="11">
        <v>3.4</v>
      </c>
      <c r="G38" s="11">
        <v>5</v>
      </c>
    </row>
    <row r="39" spans="1:7" x14ac:dyDescent="0.3">
      <c r="A39" s="1">
        <v>45986.500001967594</v>
      </c>
      <c r="B39" s="5">
        <v>1.01</v>
      </c>
      <c r="C39" s="7">
        <f t="shared" si="0"/>
        <v>12.191519079560472</v>
      </c>
      <c r="D39" s="9">
        <v>0.3</v>
      </c>
      <c r="E39" s="11">
        <v>3</v>
      </c>
      <c r="F39" s="11">
        <v>3.4</v>
      </c>
      <c r="G39" s="11">
        <v>5</v>
      </c>
    </row>
    <row r="40" spans="1:7" x14ac:dyDescent="0.3">
      <c r="A40" s="1">
        <v>45986.541668692131</v>
      </c>
      <c r="B40" s="5">
        <v>1</v>
      </c>
      <c r="C40" s="7">
        <f t="shared" si="0"/>
        <v>11.945355658280643</v>
      </c>
      <c r="D40" s="9">
        <v>0.6</v>
      </c>
      <c r="E40" s="11">
        <v>3</v>
      </c>
      <c r="F40" s="11">
        <v>3.4</v>
      </c>
      <c r="G40" s="11">
        <v>5</v>
      </c>
    </row>
    <row r="41" spans="1:7" x14ac:dyDescent="0.3">
      <c r="A41" s="1">
        <v>45986.583335416668</v>
      </c>
      <c r="B41" s="5">
        <v>1</v>
      </c>
      <c r="C41" s="7">
        <f t="shared" si="0"/>
        <v>11.945355658280643</v>
      </c>
      <c r="D41" s="9">
        <v>0</v>
      </c>
      <c r="E41" s="11">
        <v>3</v>
      </c>
      <c r="F41" s="11">
        <v>3.4</v>
      </c>
      <c r="G41" s="11">
        <v>5</v>
      </c>
    </row>
    <row r="42" spans="1:7" x14ac:dyDescent="0.3">
      <c r="A42" s="1">
        <v>45986.625002141205</v>
      </c>
      <c r="B42" s="5">
        <v>0.99</v>
      </c>
      <c r="C42" s="7">
        <f t="shared" si="0"/>
        <v>11.701495358873233</v>
      </c>
      <c r="D42" s="9">
        <v>0</v>
      </c>
      <c r="E42" s="11">
        <v>3</v>
      </c>
      <c r="F42" s="11">
        <v>3.4</v>
      </c>
      <c r="G42" s="11">
        <v>5</v>
      </c>
    </row>
    <row r="43" spans="1:7" x14ac:dyDescent="0.3">
      <c r="A43" s="1">
        <v>45986.666668865742</v>
      </c>
      <c r="B43" s="5">
        <v>0.99</v>
      </c>
      <c r="C43" s="7">
        <f t="shared" si="0"/>
        <v>11.701495358873233</v>
      </c>
      <c r="D43" s="9">
        <v>0</v>
      </c>
      <c r="E43" s="11">
        <v>3</v>
      </c>
      <c r="F43" s="11">
        <v>3.4</v>
      </c>
      <c r="G43" s="11">
        <v>5</v>
      </c>
    </row>
    <row r="44" spans="1:7" x14ac:dyDescent="0.3">
      <c r="A44" s="1">
        <v>45986.70833559028</v>
      </c>
      <c r="B44" s="5">
        <v>0.99</v>
      </c>
      <c r="C44" s="7">
        <f t="shared" si="0"/>
        <v>11.701495358873233</v>
      </c>
      <c r="D44" s="9">
        <v>0</v>
      </c>
      <c r="E44" s="11">
        <v>3</v>
      </c>
      <c r="F44" s="11">
        <v>3.4</v>
      </c>
      <c r="G44" s="11">
        <v>5</v>
      </c>
    </row>
    <row r="45" spans="1:7" x14ac:dyDescent="0.3">
      <c r="A45" s="1">
        <v>45986.750002314817</v>
      </c>
      <c r="B45" s="5">
        <v>0.99</v>
      </c>
      <c r="C45" s="7">
        <f t="shared" si="0"/>
        <v>11.701495358873233</v>
      </c>
      <c r="D45" s="9">
        <v>0</v>
      </c>
      <c r="E45" s="11">
        <v>3</v>
      </c>
      <c r="F45" s="11">
        <v>3.4</v>
      </c>
      <c r="G45" s="11">
        <v>5</v>
      </c>
    </row>
    <row r="46" spans="1:7" x14ac:dyDescent="0.3">
      <c r="A46" s="1">
        <v>45986.791669039354</v>
      </c>
      <c r="B46" s="5">
        <v>0.99</v>
      </c>
      <c r="C46" s="7">
        <f t="shared" si="0"/>
        <v>11.701495358873233</v>
      </c>
      <c r="D46" s="9">
        <v>0</v>
      </c>
      <c r="E46" s="11">
        <v>3</v>
      </c>
      <c r="F46" s="11">
        <v>3.4</v>
      </c>
      <c r="G46" s="11">
        <v>5</v>
      </c>
    </row>
    <row r="47" spans="1:7" x14ac:dyDescent="0.3">
      <c r="A47" s="1">
        <v>45986.833335763891</v>
      </c>
      <c r="B47" s="5">
        <v>0.98</v>
      </c>
      <c r="C47" s="7">
        <f t="shared" si="0"/>
        <v>11.459942147799874</v>
      </c>
      <c r="D47" s="9">
        <v>0</v>
      </c>
      <c r="E47" s="11">
        <v>3</v>
      </c>
      <c r="F47" s="11">
        <v>3.4</v>
      </c>
      <c r="G47" s="11">
        <v>5</v>
      </c>
    </row>
    <row r="48" spans="1:7" x14ac:dyDescent="0.3">
      <c r="A48" s="1">
        <v>45986.875002488428</v>
      </c>
      <c r="B48" s="5">
        <v>0.98</v>
      </c>
      <c r="C48" s="7">
        <f t="shared" si="0"/>
        <v>11.459942147799874</v>
      </c>
      <c r="D48" s="9">
        <v>0</v>
      </c>
      <c r="E48" s="11">
        <v>3</v>
      </c>
      <c r="F48" s="11">
        <v>3.4</v>
      </c>
      <c r="G48" s="11">
        <v>5</v>
      </c>
    </row>
    <row r="49" spans="1:7" x14ac:dyDescent="0.3">
      <c r="A49" s="1">
        <v>45986.916669212966</v>
      </c>
      <c r="B49" s="5">
        <v>0.97</v>
      </c>
      <c r="C49" s="7">
        <f t="shared" si="0"/>
        <v>11.220700043291457</v>
      </c>
      <c r="D49" s="9">
        <v>0.8</v>
      </c>
      <c r="E49" s="11">
        <v>3</v>
      </c>
      <c r="F49" s="11">
        <v>3.4</v>
      </c>
      <c r="G49" s="11">
        <v>5</v>
      </c>
    </row>
    <row r="50" spans="1:7" x14ac:dyDescent="0.3">
      <c r="A50" s="1">
        <v>45986.958335937503</v>
      </c>
      <c r="B50" s="5">
        <v>0.97</v>
      </c>
      <c r="C50" s="7">
        <f t="shared" si="0"/>
        <v>11.220700043291457</v>
      </c>
      <c r="D50" s="9">
        <v>0.8</v>
      </c>
      <c r="E50" s="11">
        <v>3</v>
      </c>
      <c r="F50" s="11">
        <v>3.4</v>
      </c>
      <c r="G50" s="11">
        <v>5</v>
      </c>
    </row>
    <row r="51" spans="1:7" x14ac:dyDescent="0.3">
      <c r="A51" s="1">
        <v>45987.00000266204</v>
      </c>
      <c r="B51" s="5">
        <v>0.97</v>
      </c>
      <c r="C51" s="7">
        <f t="shared" si="0"/>
        <v>11.220700043291457</v>
      </c>
      <c r="D51" s="9">
        <v>0.6</v>
      </c>
      <c r="E51" s="11">
        <v>3</v>
      </c>
      <c r="F51" s="11">
        <v>3.4</v>
      </c>
      <c r="G51" s="11">
        <v>5</v>
      </c>
    </row>
    <row r="52" spans="1:7" x14ac:dyDescent="0.3">
      <c r="A52" s="1">
        <v>45987.041669386577</v>
      </c>
      <c r="B52" s="5">
        <v>0.96</v>
      </c>
      <c r="C52" s="7">
        <f t="shared" si="0"/>
        <v>10.98377311662381</v>
      </c>
      <c r="D52" s="9">
        <v>7.6</v>
      </c>
      <c r="E52" s="11">
        <v>3</v>
      </c>
      <c r="F52" s="11">
        <v>3.4</v>
      </c>
      <c r="G52" s="11">
        <v>5</v>
      </c>
    </row>
    <row r="53" spans="1:7" x14ac:dyDescent="0.3">
      <c r="A53" s="1">
        <v>45987.083336111114</v>
      </c>
      <c r="B53" s="5">
        <v>0.96</v>
      </c>
      <c r="C53" s="7">
        <f t="shared" si="0"/>
        <v>10.98377311662381</v>
      </c>
      <c r="D53" s="9">
        <v>1.1000000000000001</v>
      </c>
      <c r="E53" s="11">
        <v>3</v>
      </c>
      <c r="F53" s="11">
        <v>3.4</v>
      </c>
      <c r="G53" s="11">
        <v>5</v>
      </c>
    </row>
    <row r="54" spans="1:7" x14ac:dyDescent="0.3">
      <c r="A54" s="1">
        <v>45987.125002835652</v>
      </c>
      <c r="B54" s="5">
        <v>0.96</v>
      </c>
      <c r="C54" s="7">
        <f t="shared" si="0"/>
        <v>10.98377311662381</v>
      </c>
      <c r="D54" s="9">
        <v>0.3</v>
      </c>
      <c r="E54" s="11">
        <v>3</v>
      </c>
      <c r="F54" s="11">
        <v>3.4</v>
      </c>
      <c r="G54" s="11">
        <v>5</v>
      </c>
    </row>
    <row r="55" spans="1:7" x14ac:dyDescent="0.3">
      <c r="A55" s="1">
        <v>45987.166669560182</v>
      </c>
      <c r="B55" s="5">
        <v>1.02</v>
      </c>
      <c r="C55" s="7">
        <f t="shared" si="0"/>
        <v>12.439981706789121</v>
      </c>
      <c r="D55" s="9">
        <v>0</v>
      </c>
      <c r="E55" s="11">
        <v>3</v>
      </c>
      <c r="F55" s="11">
        <v>3.4</v>
      </c>
      <c r="G55" s="11">
        <v>5</v>
      </c>
    </row>
    <row r="56" spans="1:7" x14ac:dyDescent="0.3">
      <c r="A56" s="1">
        <v>45987.208336284719</v>
      </c>
      <c r="B56" s="5">
        <v>1.1000000000000001</v>
      </c>
      <c r="C56" s="7">
        <f t="shared" si="0"/>
        <v>14.51</v>
      </c>
      <c r="D56" s="9">
        <v>0</v>
      </c>
      <c r="E56" s="11">
        <v>3</v>
      </c>
      <c r="F56" s="11">
        <v>3.4</v>
      </c>
      <c r="G56" s="11">
        <v>5</v>
      </c>
    </row>
    <row r="57" spans="1:7" x14ac:dyDescent="0.3">
      <c r="A57" s="1">
        <v>45987.250003009256</v>
      </c>
      <c r="B57" s="5">
        <v>1.35</v>
      </c>
      <c r="C57" s="7">
        <f t="shared" si="0"/>
        <v>21.906010749727507</v>
      </c>
      <c r="D57" s="9">
        <v>4.8</v>
      </c>
      <c r="E57" s="11">
        <v>3</v>
      </c>
      <c r="F57" s="11">
        <v>3.4</v>
      </c>
      <c r="G57" s="11">
        <v>5</v>
      </c>
    </row>
    <row r="58" spans="1:7" x14ac:dyDescent="0.3">
      <c r="A58" s="1">
        <v>45987.291669733793</v>
      </c>
      <c r="B58" s="5">
        <v>1.36</v>
      </c>
      <c r="C58" s="7">
        <f t="shared" si="0"/>
        <v>22.230613018895308</v>
      </c>
      <c r="D58" s="9">
        <v>2.8</v>
      </c>
      <c r="E58" s="11">
        <v>3</v>
      </c>
      <c r="F58" s="11">
        <v>3.4</v>
      </c>
      <c r="G58" s="11">
        <v>5</v>
      </c>
    </row>
    <row r="59" spans="1:7" x14ac:dyDescent="0.3">
      <c r="A59" s="1">
        <v>45987.33333645833</v>
      </c>
      <c r="B59" s="5">
        <v>1.39</v>
      </c>
      <c r="C59" s="7">
        <f t="shared" si="0"/>
        <v>23.217530121143326</v>
      </c>
      <c r="D59" s="9">
        <v>0.3</v>
      </c>
      <c r="E59" s="11">
        <v>3</v>
      </c>
      <c r="F59" s="11">
        <v>3.4</v>
      </c>
      <c r="G59" s="11">
        <v>5</v>
      </c>
    </row>
    <row r="60" spans="1:7" x14ac:dyDescent="0.3">
      <c r="A60" s="1">
        <v>45987.375003182868</v>
      </c>
      <c r="B60" s="5">
        <v>1.34</v>
      </c>
      <c r="C60" s="7">
        <f t="shared" si="0"/>
        <v>21.583597984553961</v>
      </c>
      <c r="D60" s="9">
        <v>0.9</v>
      </c>
      <c r="E60" s="11">
        <v>3</v>
      </c>
      <c r="F60" s="11">
        <v>3.4</v>
      </c>
      <c r="G60" s="11">
        <v>5</v>
      </c>
    </row>
    <row r="61" spans="1:7" x14ac:dyDescent="0.3">
      <c r="A61" s="1">
        <v>45987.416669907405</v>
      </c>
      <c r="B61" s="5">
        <v>1.31</v>
      </c>
      <c r="C61" s="7">
        <f t="shared" si="0"/>
        <v>20.629523940402766</v>
      </c>
      <c r="D61" s="9">
        <v>5.6</v>
      </c>
      <c r="E61" s="11">
        <v>3</v>
      </c>
      <c r="F61" s="11">
        <v>3.4</v>
      </c>
      <c r="G61" s="11">
        <v>5</v>
      </c>
    </row>
    <row r="62" spans="1:7" x14ac:dyDescent="0.3">
      <c r="A62" s="1">
        <v>45987.458336631942</v>
      </c>
      <c r="B62" s="5">
        <v>1.31</v>
      </c>
      <c r="C62" s="7">
        <f t="shared" si="0"/>
        <v>20.629523940402766</v>
      </c>
      <c r="D62" s="9">
        <v>4.5</v>
      </c>
      <c r="E62" s="11">
        <v>3</v>
      </c>
      <c r="F62" s="11">
        <v>3.4</v>
      </c>
      <c r="G62" s="11">
        <v>5</v>
      </c>
    </row>
    <row r="63" spans="1:7" x14ac:dyDescent="0.3">
      <c r="A63" s="1">
        <v>45987.500003356479</v>
      </c>
      <c r="B63" s="5">
        <v>1.39</v>
      </c>
      <c r="C63" s="7">
        <f t="shared" si="0"/>
        <v>23.217530121143326</v>
      </c>
      <c r="D63" s="9">
        <v>5.3</v>
      </c>
      <c r="E63" s="11">
        <v>3</v>
      </c>
      <c r="F63" s="11">
        <v>3.4</v>
      </c>
      <c r="G63" s="11">
        <v>5</v>
      </c>
    </row>
    <row r="64" spans="1:7" x14ac:dyDescent="0.3">
      <c r="A64" s="1">
        <v>45987.541670081016</v>
      </c>
      <c r="B64" s="5">
        <v>1.59</v>
      </c>
      <c r="C64" s="7">
        <f t="shared" si="0"/>
        <v>30.294881908515947</v>
      </c>
      <c r="D64" s="9">
        <v>0.8</v>
      </c>
      <c r="E64" s="11">
        <v>3</v>
      </c>
      <c r="F64" s="11">
        <v>3.4</v>
      </c>
      <c r="G64" s="11">
        <v>5</v>
      </c>
    </row>
    <row r="65" spans="1:7" x14ac:dyDescent="0.3">
      <c r="A65" s="1">
        <v>45987.583336805554</v>
      </c>
      <c r="B65" s="5">
        <v>1.83</v>
      </c>
      <c r="C65" s="7">
        <f t="shared" si="0"/>
        <v>39.911726861017094</v>
      </c>
      <c r="D65" s="9">
        <v>0.3</v>
      </c>
      <c r="E65" s="11">
        <v>3</v>
      </c>
      <c r="F65" s="11">
        <v>3.4</v>
      </c>
      <c r="G65" s="11">
        <v>5</v>
      </c>
    </row>
    <row r="66" spans="1:7" x14ac:dyDescent="0.3">
      <c r="A66" s="1">
        <v>45987.625003530091</v>
      </c>
      <c r="B66" s="5">
        <v>2.0099999999999998</v>
      </c>
      <c r="C66" s="7">
        <f t="shared" si="0"/>
        <v>52.966510709999987</v>
      </c>
      <c r="D66" s="9">
        <v>0.6</v>
      </c>
      <c r="E66" s="11">
        <v>3</v>
      </c>
      <c r="F66" s="11">
        <v>3.4</v>
      </c>
      <c r="G66" s="11">
        <v>5</v>
      </c>
    </row>
    <row r="67" spans="1:7" x14ac:dyDescent="0.3">
      <c r="A67" s="1">
        <v>45987.666670254628</v>
      </c>
      <c r="B67" s="5">
        <v>2.1</v>
      </c>
      <c r="C67" s="7">
        <f t="shared" si="0"/>
        <v>57.100551000000003</v>
      </c>
      <c r="D67" s="9">
        <v>0.6</v>
      </c>
      <c r="E67" s="11">
        <v>3</v>
      </c>
      <c r="F67" s="11">
        <v>3.4</v>
      </c>
      <c r="G67" s="11">
        <v>5</v>
      </c>
    </row>
    <row r="68" spans="1:7" x14ac:dyDescent="0.3">
      <c r="A68" s="1">
        <v>45987.708336979165</v>
      </c>
      <c r="B68" s="5">
        <v>2.0099999999999998</v>
      </c>
      <c r="C68" s="7">
        <f t="shared" si="0"/>
        <v>52.966510709999987</v>
      </c>
      <c r="D68" s="9">
        <v>0.8</v>
      </c>
      <c r="E68" s="11">
        <v>3</v>
      </c>
      <c r="F68" s="11">
        <v>3.4</v>
      </c>
      <c r="G68" s="11">
        <v>5</v>
      </c>
    </row>
    <row r="69" spans="1:7" x14ac:dyDescent="0.3">
      <c r="A69" s="1">
        <v>45987.750003703703</v>
      </c>
      <c r="B69" s="5">
        <v>1.91</v>
      </c>
      <c r="C69" s="7">
        <f t="shared" ref="C69:C132" si="1">IF(B69="","",IF((B69)&gt;2,8.9271*((B69)^2)+9.2434*(B69)-1.6791,14.51*(((B69)-0.1)^1.846)))</f>
        <v>43.385245734782423</v>
      </c>
      <c r="D69" s="9">
        <v>19.600000000000001</v>
      </c>
      <c r="E69" s="11">
        <v>3</v>
      </c>
      <c r="F69" s="11">
        <v>3.4</v>
      </c>
      <c r="G69" s="11">
        <v>5</v>
      </c>
    </row>
    <row r="70" spans="1:7" x14ac:dyDescent="0.3">
      <c r="A70" s="1">
        <v>45987.79167042824</v>
      </c>
      <c r="B70" s="5">
        <v>1.8</v>
      </c>
      <c r="C70" s="7">
        <f t="shared" si="1"/>
        <v>38.643470376077957</v>
      </c>
      <c r="D70" s="9">
        <v>3.1</v>
      </c>
      <c r="E70" s="11">
        <v>3</v>
      </c>
      <c r="F70" s="11">
        <v>3.4</v>
      </c>
      <c r="G70" s="11">
        <v>5</v>
      </c>
    </row>
    <row r="71" spans="1:7" x14ac:dyDescent="0.3">
      <c r="A71" s="1">
        <v>45987.833337152777</v>
      </c>
      <c r="B71" s="5">
        <v>1.76</v>
      </c>
      <c r="C71" s="7">
        <f t="shared" si="1"/>
        <v>36.981706108300436</v>
      </c>
      <c r="D71" s="9">
        <v>4.2</v>
      </c>
      <c r="E71" s="11">
        <v>3</v>
      </c>
      <c r="F71" s="11">
        <v>3.4</v>
      </c>
      <c r="G71" s="11">
        <v>5</v>
      </c>
    </row>
    <row r="72" spans="1:7" x14ac:dyDescent="0.3">
      <c r="A72" s="1">
        <v>45987.875003877314</v>
      </c>
      <c r="B72" s="5">
        <v>1.82</v>
      </c>
      <c r="C72" s="7">
        <f t="shared" si="1"/>
        <v>39.486889592392245</v>
      </c>
      <c r="D72" s="9">
        <v>4.5</v>
      </c>
      <c r="E72" s="11">
        <v>3</v>
      </c>
      <c r="F72" s="11">
        <v>3.4</v>
      </c>
      <c r="G72" s="11">
        <v>5</v>
      </c>
    </row>
    <row r="73" spans="1:7" x14ac:dyDescent="0.3">
      <c r="A73" s="1">
        <v>45987.916670601851</v>
      </c>
      <c r="B73" s="5">
        <v>1.9</v>
      </c>
      <c r="C73" s="7">
        <f t="shared" si="1"/>
        <v>42.943798548287198</v>
      </c>
      <c r="D73" s="9">
        <v>9.8000000000000007</v>
      </c>
      <c r="E73" s="11">
        <v>3</v>
      </c>
      <c r="F73" s="11">
        <v>3.4</v>
      </c>
      <c r="G73" s="11">
        <v>5</v>
      </c>
    </row>
    <row r="74" spans="1:7" x14ac:dyDescent="0.3">
      <c r="A74" s="1">
        <v>45987.958337326389</v>
      </c>
      <c r="B74" s="5">
        <v>2.11</v>
      </c>
      <c r="C74" s="7">
        <f t="shared" si="1"/>
        <v>57.568815909999991</v>
      </c>
      <c r="D74" s="9">
        <v>16.600000000000001</v>
      </c>
      <c r="E74" s="11">
        <v>3</v>
      </c>
      <c r="F74" s="11">
        <v>3.4</v>
      </c>
      <c r="G74" s="11">
        <v>5</v>
      </c>
    </row>
    <row r="75" spans="1:7" x14ac:dyDescent="0.3">
      <c r="A75" s="1">
        <v>45988.000004050926</v>
      </c>
      <c r="B75" s="5">
        <v>2.71</v>
      </c>
      <c r="C75" s="7">
        <f t="shared" si="1"/>
        <v>88.932029110000002</v>
      </c>
      <c r="D75" s="9">
        <v>11.2</v>
      </c>
      <c r="E75" s="11">
        <v>3</v>
      </c>
      <c r="F75" s="11">
        <v>3.4</v>
      </c>
      <c r="G75" s="11">
        <v>5</v>
      </c>
    </row>
    <row r="76" spans="1:7" x14ac:dyDescent="0.3">
      <c r="A76" s="1">
        <v>45988.041670775463</v>
      </c>
      <c r="B76" s="5">
        <v>3.52</v>
      </c>
      <c r="C76" s="7">
        <f t="shared" si="1"/>
        <v>141.46800783999998</v>
      </c>
      <c r="D76" s="9">
        <v>12.9</v>
      </c>
      <c r="E76" s="11">
        <v>3</v>
      </c>
      <c r="F76" s="11">
        <v>3.4</v>
      </c>
      <c r="G76" s="11">
        <v>5</v>
      </c>
    </row>
    <row r="77" spans="1:7" x14ac:dyDescent="0.3">
      <c r="A77" s="1">
        <v>45988.0833375</v>
      </c>
      <c r="B77" s="5">
        <v>4.0999999999999996</v>
      </c>
      <c r="C77" s="7">
        <f t="shared" si="1"/>
        <v>186.28339099999994</v>
      </c>
      <c r="D77" s="9">
        <v>9</v>
      </c>
      <c r="E77" s="11">
        <v>3</v>
      </c>
      <c r="F77" s="11">
        <v>3.4</v>
      </c>
      <c r="G77" s="11">
        <v>5</v>
      </c>
    </row>
    <row r="78" spans="1:7" x14ac:dyDescent="0.3">
      <c r="A78" s="1">
        <v>45988.125004224537</v>
      </c>
      <c r="B78" s="5">
        <v>4.53</v>
      </c>
      <c r="C78" s="7">
        <f t="shared" si="1"/>
        <v>223.38562838999999</v>
      </c>
      <c r="D78" s="9">
        <v>6.2</v>
      </c>
      <c r="E78" s="11">
        <v>3</v>
      </c>
      <c r="F78" s="11">
        <v>3.4</v>
      </c>
      <c r="G78" s="11">
        <v>5</v>
      </c>
    </row>
    <row r="79" spans="1:7" x14ac:dyDescent="0.3">
      <c r="A79" s="1">
        <v>45988.166670949075</v>
      </c>
      <c r="B79" s="5">
        <v>4.76</v>
      </c>
      <c r="C79" s="7">
        <f t="shared" si="1"/>
        <v>244.58614495999996</v>
      </c>
      <c r="D79" s="9">
        <v>4.8</v>
      </c>
      <c r="E79" s="11">
        <v>3</v>
      </c>
      <c r="F79" s="11">
        <v>3.4</v>
      </c>
      <c r="G79" s="11">
        <v>5</v>
      </c>
    </row>
    <row r="80" spans="1:7" x14ac:dyDescent="0.3">
      <c r="A80" s="1">
        <v>45988.208337673612</v>
      </c>
      <c r="B80" s="5">
        <v>4.8499999999999996</v>
      </c>
      <c r="C80" s="7">
        <f t="shared" si="1"/>
        <v>253.13909974999996</v>
      </c>
      <c r="D80" s="9">
        <v>0.6</v>
      </c>
      <c r="E80" s="11">
        <v>3</v>
      </c>
      <c r="F80" s="11">
        <v>3.4</v>
      </c>
      <c r="G80" s="11">
        <v>5</v>
      </c>
    </row>
    <row r="81" spans="1:7" x14ac:dyDescent="0.3">
      <c r="A81" s="1">
        <v>45988.250004398149</v>
      </c>
      <c r="B81" s="5">
        <v>4.74</v>
      </c>
      <c r="C81" s="7">
        <f t="shared" si="1"/>
        <v>242.70512796</v>
      </c>
      <c r="D81" s="9">
        <v>5.9</v>
      </c>
      <c r="E81" s="11">
        <v>3</v>
      </c>
      <c r="F81" s="11">
        <v>3.4</v>
      </c>
      <c r="G81" s="11">
        <v>5</v>
      </c>
    </row>
    <row r="82" spans="1:7" x14ac:dyDescent="0.3">
      <c r="A82" s="1">
        <v>45988.291671122686</v>
      </c>
      <c r="B82" s="5">
        <v>4.67</v>
      </c>
      <c r="C82" s="7">
        <f t="shared" si="1"/>
        <v>236.17780918999995</v>
      </c>
      <c r="D82" s="9">
        <v>5.9</v>
      </c>
      <c r="E82" s="11">
        <v>3</v>
      </c>
      <c r="F82" s="11">
        <v>3.4</v>
      </c>
      <c r="G82" s="11">
        <v>5</v>
      </c>
    </row>
    <row r="83" spans="1:7" x14ac:dyDescent="0.3">
      <c r="A83" s="1">
        <v>45988.333337847223</v>
      </c>
      <c r="B83" s="5">
        <v>4.37</v>
      </c>
      <c r="C83" s="7">
        <f t="shared" si="1"/>
        <v>209.19449398999998</v>
      </c>
      <c r="D83" s="9">
        <v>7.6</v>
      </c>
      <c r="E83" s="11">
        <v>3</v>
      </c>
      <c r="F83" s="11">
        <v>3.4</v>
      </c>
      <c r="G83" s="11">
        <v>5</v>
      </c>
    </row>
    <row r="84" spans="1:7" x14ac:dyDescent="0.3">
      <c r="A84" s="1">
        <v>45988.375004571761</v>
      </c>
      <c r="B84" s="5">
        <v>4.26</v>
      </c>
      <c r="C84" s="7">
        <f t="shared" si="1"/>
        <v>199.70322395999995</v>
      </c>
      <c r="D84" s="9">
        <v>2.5</v>
      </c>
      <c r="E84" s="11">
        <v>3</v>
      </c>
      <c r="F84" s="11">
        <v>3.4</v>
      </c>
      <c r="G84" s="11">
        <v>5</v>
      </c>
    </row>
    <row r="85" spans="1:7" x14ac:dyDescent="0.3">
      <c r="A85" s="1">
        <v>45988.416671296298</v>
      </c>
      <c r="B85" s="5">
        <v>4.29</v>
      </c>
      <c r="C85" s="7">
        <f t="shared" si="1"/>
        <v>202.27032710999998</v>
      </c>
      <c r="D85" s="9">
        <v>0.8</v>
      </c>
      <c r="E85" s="11">
        <v>3</v>
      </c>
      <c r="F85" s="11">
        <v>3.4</v>
      </c>
      <c r="G85" s="11">
        <v>5</v>
      </c>
    </row>
    <row r="86" spans="1:7" x14ac:dyDescent="0.3">
      <c r="A86" s="1">
        <v>45988.458338020835</v>
      </c>
      <c r="B86" s="5">
        <v>4.34</v>
      </c>
      <c r="C86" s="7">
        <f t="shared" si="1"/>
        <v>206.58454075999998</v>
      </c>
      <c r="D86" s="9">
        <v>3.1</v>
      </c>
      <c r="E86" s="11">
        <v>3</v>
      </c>
      <c r="F86" s="11">
        <v>3.4</v>
      </c>
      <c r="G86" s="11">
        <v>5</v>
      </c>
    </row>
    <row r="87" spans="1:7" x14ac:dyDescent="0.3">
      <c r="A87" s="1">
        <v>45988.500004745372</v>
      </c>
      <c r="B87" s="5">
        <v>4.34</v>
      </c>
      <c r="C87" s="7">
        <f t="shared" si="1"/>
        <v>206.58454075999998</v>
      </c>
      <c r="D87" s="9">
        <v>3.6</v>
      </c>
      <c r="E87" s="11">
        <v>3</v>
      </c>
      <c r="F87" s="11">
        <v>3.4</v>
      </c>
      <c r="G87" s="11">
        <v>5</v>
      </c>
    </row>
    <row r="88" spans="1:7" x14ac:dyDescent="0.3">
      <c r="A88" s="1">
        <v>45988.541671469909</v>
      </c>
      <c r="B88" s="5">
        <v>4.34</v>
      </c>
      <c r="C88" s="7">
        <f t="shared" si="1"/>
        <v>206.58454075999998</v>
      </c>
      <c r="D88" s="9">
        <v>0.8</v>
      </c>
      <c r="E88" s="11">
        <v>3</v>
      </c>
      <c r="F88" s="11">
        <v>3.4</v>
      </c>
      <c r="G88" s="11">
        <v>5</v>
      </c>
    </row>
    <row r="89" spans="1:7" x14ac:dyDescent="0.3">
      <c r="A89" s="1">
        <v>45988.583338194447</v>
      </c>
      <c r="B89" s="5">
        <v>4.34</v>
      </c>
      <c r="C89" s="7">
        <f t="shared" si="1"/>
        <v>206.58454075999998</v>
      </c>
      <c r="D89" s="9">
        <v>0.6</v>
      </c>
      <c r="E89" s="11">
        <v>3</v>
      </c>
      <c r="F89" s="11">
        <v>3.4</v>
      </c>
      <c r="G89" s="11">
        <v>5</v>
      </c>
    </row>
    <row r="90" spans="1:7" x14ac:dyDescent="0.3">
      <c r="A90" s="1">
        <v>45988.625004918984</v>
      </c>
      <c r="B90" s="5">
        <v>4.32</v>
      </c>
      <c r="C90" s="7">
        <f t="shared" si="1"/>
        <v>204.85349904</v>
      </c>
      <c r="D90" s="9">
        <v>5.9</v>
      </c>
      <c r="E90" s="11">
        <v>3</v>
      </c>
      <c r="F90" s="11">
        <v>3.4</v>
      </c>
      <c r="G90" s="11">
        <v>5</v>
      </c>
    </row>
    <row r="91" spans="1:7" x14ac:dyDescent="0.3">
      <c r="A91" s="1">
        <v>45988.666671643521</v>
      </c>
      <c r="B91" s="5">
        <v>4.25</v>
      </c>
      <c r="C91" s="7">
        <f t="shared" si="1"/>
        <v>198.85109374999999</v>
      </c>
      <c r="D91" s="9">
        <v>5</v>
      </c>
      <c r="E91" s="11">
        <v>3</v>
      </c>
      <c r="F91" s="11">
        <v>3.4</v>
      </c>
      <c r="G91" s="11">
        <v>5</v>
      </c>
    </row>
    <row r="92" spans="1:7" x14ac:dyDescent="0.3">
      <c r="A92" s="1">
        <v>45988.708338368058</v>
      </c>
      <c r="B92" s="5">
        <v>4.1900000000000004</v>
      </c>
      <c r="C92" s="7">
        <f t="shared" si="1"/>
        <v>193.77580631000004</v>
      </c>
      <c r="D92" s="9">
        <v>5.9</v>
      </c>
      <c r="E92" s="11">
        <v>3</v>
      </c>
      <c r="F92" s="11">
        <v>3.4</v>
      </c>
      <c r="G92" s="11">
        <v>5</v>
      </c>
    </row>
    <row r="93" spans="1:7" x14ac:dyDescent="0.3">
      <c r="A93" s="1">
        <v>45988.750005092596</v>
      </c>
      <c r="B93" s="5">
        <v>4.3</v>
      </c>
      <c r="C93" s="7">
        <f t="shared" si="1"/>
        <v>203.12959899999998</v>
      </c>
      <c r="D93" s="9">
        <v>8.4</v>
      </c>
      <c r="E93" s="11">
        <v>3</v>
      </c>
      <c r="F93" s="11">
        <v>3.4</v>
      </c>
      <c r="G93" s="11">
        <v>5</v>
      </c>
    </row>
    <row r="94" spans="1:7" x14ac:dyDescent="0.3">
      <c r="A94" s="1">
        <v>45988.791671817133</v>
      </c>
      <c r="B94" s="5">
        <v>4.54</v>
      </c>
      <c r="C94" s="7">
        <f t="shared" si="1"/>
        <v>224.28775035999996</v>
      </c>
      <c r="D94" s="9">
        <v>6.4</v>
      </c>
      <c r="E94" s="11">
        <v>3</v>
      </c>
      <c r="F94" s="11">
        <v>3.4</v>
      </c>
      <c r="G94" s="11">
        <v>5</v>
      </c>
    </row>
    <row r="95" spans="1:7" x14ac:dyDescent="0.3">
      <c r="A95" s="1">
        <v>45988.83333854167</v>
      </c>
      <c r="B95" s="5">
        <v>4.8600000000000003</v>
      </c>
      <c r="C95" s="7">
        <f t="shared" si="1"/>
        <v>254.09835515999998</v>
      </c>
      <c r="D95" s="9">
        <v>14.3</v>
      </c>
      <c r="E95" s="11">
        <v>3</v>
      </c>
      <c r="F95" s="11">
        <v>3.4</v>
      </c>
      <c r="G95" s="11">
        <v>5</v>
      </c>
    </row>
    <row r="96" spans="1:7" x14ac:dyDescent="0.3">
      <c r="A96" s="1">
        <v>45988.875005266207</v>
      </c>
      <c r="B96" s="5">
        <v>5.2</v>
      </c>
      <c r="C96" s="7">
        <f t="shared" si="1"/>
        <v>287.77536400000002</v>
      </c>
      <c r="D96" s="9">
        <v>9.8000000000000007</v>
      </c>
      <c r="E96" s="11">
        <v>3</v>
      </c>
      <c r="F96" s="11">
        <v>3.4</v>
      </c>
      <c r="G96" s="11">
        <v>5</v>
      </c>
    </row>
    <row r="97" spans="1:7" x14ac:dyDescent="0.3">
      <c r="A97" s="1">
        <v>45988.916671990744</v>
      </c>
      <c r="B97" s="5">
        <v>5.6</v>
      </c>
      <c r="C97" s="7">
        <f t="shared" si="1"/>
        <v>330.0377959999999</v>
      </c>
      <c r="D97" s="9">
        <v>10.9</v>
      </c>
      <c r="E97" s="11">
        <v>3</v>
      </c>
      <c r="F97" s="11">
        <v>3.4</v>
      </c>
      <c r="G97" s="11">
        <v>5</v>
      </c>
    </row>
    <row r="98" spans="1:7" x14ac:dyDescent="0.3">
      <c r="A98" s="1">
        <v>45988.958338715274</v>
      </c>
      <c r="B98" s="5">
        <v>6</v>
      </c>
      <c r="C98" s="7">
        <f t="shared" si="1"/>
        <v>375.15689999999995</v>
      </c>
      <c r="D98" s="9">
        <v>19</v>
      </c>
      <c r="E98" s="11">
        <v>3</v>
      </c>
      <c r="F98" s="11">
        <v>3.4</v>
      </c>
      <c r="G98" s="11">
        <v>5</v>
      </c>
    </row>
    <row r="99" spans="1:7" x14ac:dyDescent="0.3">
      <c r="A99" s="1">
        <v>45989.000005439812</v>
      </c>
      <c r="B99" s="5">
        <v>6.4</v>
      </c>
      <c r="C99" s="7">
        <f t="shared" si="1"/>
        <v>423.13267600000006</v>
      </c>
      <c r="D99" s="9">
        <v>13.2</v>
      </c>
      <c r="E99" s="11">
        <v>3</v>
      </c>
      <c r="F99" s="11">
        <v>3.4</v>
      </c>
      <c r="G99" s="11">
        <v>5</v>
      </c>
    </row>
    <row r="100" spans="1:7" x14ac:dyDescent="0.3">
      <c r="A100" s="1">
        <v>45989.041672164349</v>
      </c>
      <c r="B100" s="5">
        <v>6.69</v>
      </c>
      <c r="C100" s="7">
        <f t="shared" si="1"/>
        <v>459.70142630999999</v>
      </c>
      <c r="D100" s="9">
        <v>4.8</v>
      </c>
      <c r="E100" s="11">
        <v>3</v>
      </c>
      <c r="F100" s="11">
        <v>3.4</v>
      </c>
      <c r="G100" s="11">
        <v>5</v>
      </c>
    </row>
    <row r="101" spans="1:7" x14ac:dyDescent="0.3">
      <c r="A101" s="1">
        <v>45989.083338888886</v>
      </c>
      <c r="B101" s="5">
        <v>6.91</v>
      </c>
      <c r="C101" s="7">
        <f t="shared" si="1"/>
        <v>488.44485750999996</v>
      </c>
      <c r="D101" s="9">
        <v>10.1</v>
      </c>
      <c r="E101" s="11">
        <v>3</v>
      </c>
      <c r="F101" s="11">
        <v>3.4</v>
      </c>
      <c r="G101" s="11">
        <v>5</v>
      </c>
    </row>
    <row r="102" spans="1:7" x14ac:dyDescent="0.3">
      <c r="A102" s="1">
        <v>45989.125005613423</v>
      </c>
      <c r="B102" s="5">
        <v>7.14</v>
      </c>
      <c r="C102" s="7">
        <f t="shared" si="1"/>
        <v>519.41876316000003</v>
      </c>
      <c r="D102" s="9">
        <v>5.6</v>
      </c>
      <c r="E102" s="11">
        <v>3</v>
      </c>
      <c r="F102" s="11">
        <v>3.4</v>
      </c>
      <c r="G102" s="11">
        <v>5</v>
      </c>
    </row>
    <row r="103" spans="1:7" x14ac:dyDescent="0.3">
      <c r="A103" s="1">
        <v>45989.16667233796</v>
      </c>
      <c r="B103" s="5">
        <v>7.27</v>
      </c>
      <c r="C103" s="7">
        <f t="shared" si="1"/>
        <v>537.34354158999997</v>
      </c>
      <c r="D103" s="9">
        <v>4.5</v>
      </c>
      <c r="E103" s="11">
        <v>3</v>
      </c>
      <c r="F103" s="11">
        <v>3.4</v>
      </c>
      <c r="G103" s="11">
        <v>5</v>
      </c>
    </row>
    <row r="104" spans="1:7" x14ac:dyDescent="0.3">
      <c r="A104" s="1">
        <v>45989.208339062498</v>
      </c>
      <c r="B104" s="5">
        <v>7.27</v>
      </c>
      <c r="C104" s="7">
        <f t="shared" si="1"/>
        <v>537.34354158999997</v>
      </c>
      <c r="D104" s="9">
        <v>0.6</v>
      </c>
      <c r="E104" s="11">
        <v>3</v>
      </c>
      <c r="F104" s="11">
        <v>3.4</v>
      </c>
      <c r="G104" s="11">
        <v>5</v>
      </c>
    </row>
    <row r="105" spans="1:7" x14ac:dyDescent="0.3">
      <c r="A105" s="1">
        <v>45989.250005787035</v>
      </c>
      <c r="B105" s="5">
        <v>7.27</v>
      </c>
      <c r="C105" s="7">
        <f t="shared" si="1"/>
        <v>537.34354158999997</v>
      </c>
      <c r="D105" s="9">
        <v>2.2000000000000002</v>
      </c>
      <c r="E105" s="11">
        <v>3</v>
      </c>
      <c r="F105" s="11">
        <v>3.4</v>
      </c>
      <c r="G105" s="11">
        <v>5</v>
      </c>
    </row>
    <row r="106" spans="1:7" x14ac:dyDescent="0.3">
      <c r="A106" s="1">
        <v>45989.291672511572</v>
      </c>
      <c r="B106" s="5">
        <v>6.99</v>
      </c>
      <c r="C106" s="7">
        <f t="shared" si="1"/>
        <v>499.11126470999994</v>
      </c>
      <c r="D106" s="9">
        <v>4.8</v>
      </c>
      <c r="E106" s="11">
        <v>3</v>
      </c>
      <c r="F106" s="11">
        <v>3.4</v>
      </c>
      <c r="G106" s="11">
        <v>5</v>
      </c>
    </row>
    <row r="107" spans="1:7" x14ac:dyDescent="0.3">
      <c r="A107" s="1">
        <v>45989.333339236109</v>
      </c>
      <c r="B107" s="5">
        <v>6.57</v>
      </c>
      <c r="C107" s="7">
        <f t="shared" si="1"/>
        <v>444.38741678999997</v>
      </c>
      <c r="D107" s="9">
        <v>10.6</v>
      </c>
      <c r="E107" s="11">
        <v>3</v>
      </c>
      <c r="F107" s="11">
        <v>3.4</v>
      </c>
      <c r="G107" s="11">
        <v>5</v>
      </c>
    </row>
    <row r="108" spans="1:7" x14ac:dyDescent="0.3">
      <c r="A108" s="1">
        <v>45989.375005960646</v>
      </c>
      <c r="B108" s="5">
        <v>6.23</v>
      </c>
      <c r="C108" s="7">
        <f t="shared" si="1"/>
        <v>402.39392159000005</v>
      </c>
      <c r="D108" s="9">
        <v>14.6</v>
      </c>
      <c r="E108" s="11">
        <v>3</v>
      </c>
      <c r="F108" s="11">
        <v>3.4</v>
      </c>
      <c r="G108" s="11">
        <v>5</v>
      </c>
    </row>
    <row r="109" spans="1:7" x14ac:dyDescent="0.3">
      <c r="A109" s="1">
        <v>45989.416672685184</v>
      </c>
      <c r="B109" s="5">
        <v>5.9</v>
      </c>
      <c r="C109" s="7">
        <f t="shared" si="1"/>
        <v>363.60931099999999</v>
      </c>
      <c r="D109" s="9">
        <v>14</v>
      </c>
      <c r="E109" s="11">
        <v>3</v>
      </c>
      <c r="F109" s="11">
        <v>3.4</v>
      </c>
      <c r="G109" s="11">
        <v>5</v>
      </c>
    </row>
    <row r="110" spans="1:7" x14ac:dyDescent="0.3">
      <c r="A110" s="1">
        <v>45989.458339409721</v>
      </c>
      <c r="B110" s="5">
        <v>5.89</v>
      </c>
      <c r="C110" s="7">
        <f t="shared" si="1"/>
        <v>362.46437190999995</v>
      </c>
      <c r="D110" s="9">
        <v>5.9</v>
      </c>
      <c r="E110" s="11">
        <v>3</v>
      </c>
      <c r="F110" s="11">
        <v>3.4</v>
      </c>
      <c r="G110" s="11">
        <v>5</v>
      </c>
    </row>
    <row r="111" spans="1:7" x14ac:dyDescent="0.3">
      <c r="A111" s="1">
        <v>45989.500006134258</v>
      </c>
      <c r="B111" s="5">
        <v>5.78</v>
      </c>
      <c r="C111" s="7">
        <f t="shared" si="1"/>
        <v>349.98787963999996</v>
      </c>
      <c r="D111" s="9">
        <v>5.9</v>
      </c>
      <c r="E111" s="11">
        <v>3</v>
      </c>
      <c r="F111" s="11">
        <v>3.4</v>
      </c>
      <c r="G111" s="11">
        <v>5</v>
      </c>
    </row>
    <row r="112" spans="1:7" x14ac:dyDescent="0.3">
      <c r="A112" s="1">
        <v>45989.541672858795</v>
      </c>
      <c r="B112" s="5">
        <v>5.85</v>
      </c>
      <c r="C112" s="7">
        <f t="shared" si="1"/>
        <v>357.90246974999997</v>
      </c>
      <c r="D112" s="9">
        <v>5</v>
      </c>
      <c r="E112" s="11">
        <v>3</v>
      </c>
      <c r="F112" s="11">
        <v>3.4</v>
      </c>
      <c r="G112" s="11">
        <v>5</v>
      </c>
    </row>
    <row r="113" spans="1:7" x14ac:dyDescent="0.3">
      <c r="A113" s="1">
        <v>45989.583339583332</v>
      </c>
      <c r="B113" s="5">
        <v>6.04</v>
      </c>
      <c r="C113" s="7">
        <f t="shared" si="1"/>
        <v>379.82592735999998</v>
      </c>
      <c r="D113" s="9">
        <v>11.8</v>
      </c>
      <c r="E113" s="11">
        <v>3</v>
      </c>
      <c r="F113" s="11">
        <v>3.4</v>
      </c>
      <c r="G113" s="11">
        <v>5</v>
      </c>
    </row>
    <row r="114" spans="1:7" x14ac:dyDescent="0.3">
      <c r="A114" s="1">
        <v>45989.62500630787</v>
      </c>
      <c r="B114" s="5">
        <v>6.2</v>
      </c>
      <c r="C114" s="7">
        <f t="shared" si="1"/>
        <v>398.78770400000002</v>
      </c>
      <c r="D114" s="9">
        <v>12</v>
      </c>
      <c r="E114" s="11">
        <v>3</v>
      </c>
      <c r="F114" s="11">
        <v>3.4</v>
      </c>
      <c r="G114" s="11">
        <v>5</v>
      </c>
    </row>
    <row r="115" spans="1:7" x14ac:dyDescent="0.3">
      <c r="A115" s="1">
        <v>45989.666673032407</v>
      </c>
      <c r="B115" s="5">
        <v>6.31</v>
      </c>
      <c r="C115" s="7">
        <f t="shared" si="1"/>
        <v>412.08906030999987</v>
      </c>
      <c r="D115" s="9">
        <v>14</v>
      </c>
      <c r="E115" s="11">
        <v>3</v>
      </c>
      <c r="F115" s="11">
        <v>3.4</v>
      </c>
      <c r="G115" s="11">
        <v>5</v>
      </c>
    </row>
    <row r="116" spans="1:7" x14ac:dyDescent="0.3">
      <c r="A116" s="1">
        <v>45989.708339756944</v>
      </c>
      <c r="B116" s="5">
        <v>6.48</v>
      </c>
      <c r="C116" s="7">
        <f t="shared" si="1"/>
        <v>433.07063184000009</v>
      </c>
      <c r="D116" s="9">
        <v>14</v>
      </c>
      <c r="E116" s="11">
        <v>3</v>
      </c>
      <c r="F116" s="11">
        <v>3.4</v>
      </c>
      <c r="G116" s="11">
        <v>5</v>
      </c>
    </row>
    <row r="117" spans="1:7" x14ac:dyDescent="0.3">
      <c r="A117" s="1">
        <v>45989.750006481481</v>
      </c>
      <c r="B117" s="5">
        <v>6.61</v>
      </c>
      <c r="C117" s="7">
        <f t="shared" si="1"/>
        <v>449.46351991</v>
      </c>
      <c r="D117" s="9">
        <v>10.9</v>
      </c>
      <c r="E117" s="11">
        <v>3</v>
      </c>
      <c r="F117" s="11">
        <v>3.4</v>
      </c>
      <c r="G117" s="11">
        <v>5</v>
      </c>
    </row>
    <row r="118" spans="1:7" x14ac:dyDescent="0.3">
      <c r="A118" s="1">
        <v>45989.791673206018</v>
      </c>
      <c r="B118" s="5">
        <v>6.82</v>
      </c>
      <c r="C118" s="7">
        <f t="shared" si="1"/>
        <v>476.58173404000001</v>
      </c>
      <c r="D118" s="9">
        <v>6.4</v>
      </c>
      <c r="E118" s="11">
        <v>3</v>
      </c>
      <c r="F118" s="11">
        <v>3.4</v>
      </c>
      <c r="G118" s="11">
        <v>5</v>
      </c>
    </row>
    <row r="119" spans="1:7" x14ac:dyDescent="0.3">
      <c r="A119" s="1">
        <v>45989.833339930556</v>
      </c>
      <c r="B119" s="5">
        <v>6.92</v>
      </c>
      <c r="C119" s="7">
        <f t="shared" si="1"/>
        <v>489.77190944</v>
      </c>
      <c r="D119" s="9">
        <v>17.100000000000001</v>
      </c>
      <c r="E119" s="11">
        <v>3</v>
      </c>
      <c r="F119" s="11">
        <v>3.4</v>
      </c>
      <c r="G119" s="11">
        <v>5</v>
      </c>
    </row>
    <row r="120" spans="1:7" x14ac:dyDescent="0.3">
      <c r="A120" s="1">
        <v>45989.875006655093</v>
      </c>
      <c r="B120" s="5">
        <v>7.07</v>
      </c>
      <c r="C120" s="7">
        <f t="shared" si="1"/>
        <v>509.89193878999998</v>
      </c>
      <c r="D120" s="9">
        <v>10.6</v>
      </c>
      <c r="E120" s="11">
        <v>3</v>
      </c>
      <c r="F120" s="11">
        <v>3.4</v>
      </c>
      <c r="G120" s="11">
        <v>5</v>
      </c>
    </row>
    <row r="121" spans="1:7" x14ac:dyDescent="0.3">
      <c r="A121" s="1">
        <v>45989.91667337963</v>
      </c>
      <c r="B121" s="5">
        <v>7.06</v>
      </c>
      <c r="C121" s="7">
        <f t="shared" si="1"/>
        <v>508.53810555999991</v>
      </c>
      <c r="D121" s="9">
        <v>5</v>
      </c>
      <c r="E121" s="11">
        <v>3</v>
      </c>
      <c r="F121" s="11">
        <v>3.4</v>
      </c>
      <c r="G121" s="11">
        <v>5</v>
      </c>
    </row>
    <row r="122" spans="1:7" x14ac:dyDescent="0.3">
      <c r="A122" s="1">
        <v>45989.958340104167</v>
      </c>
      <c r="B122" s="5">
        <v>6.98</v>
      </c>
      <c r="C122" s="7">
        <f t="shared" si="1"/>
        <v>497.77171484000002</v>
      </c>
      <c r="D122" s="9">
        <v>3.9</v>
      </c>
      <c r="E122" s="11">
        <v>3</v>
      </c>
      <c r="F122" s="11">
        <v>3.4</v>
      </c>
      <c r="G122" s="11">
        <v>5</v>
      </c>
    </row>
    <row r="123" spans="1:7" x14ac:dyDescent="0.3">
      <c r="A123" s="1">
        <v>45990.000006828704</v>
      </c>
      <c r="B123" s="5">
        <v>6.86</v>
      </c>
      <c r="C123" s="7">
        <f t="shared" si="1"/>
        <v>481.83637915999998</v>
      </c>
      <c r="D123" s="9">
        <v>3.9</v>
      </c>
      <c r="E123" s="11">
        <v>3</v>
      </c>
      <c r="F123" s="11">
        <v>3.4</v>
      </c>
      <c r="G123" s="11">
        <v>5</v>
      </c>
    </row>
    <row r="124" spans="1:7" x14ac:dyDescent="0.3">
      <c r="A124" s="1">
        <v>45990.041673553242</v>
      </c>
      <c r="B124" s="5">
        <v>6.71</v>
      </c>
      <c r="C124" s="7">
        <f t="shared" si="1"/>
        <v>462.27875710999996</v>
      </c>
      <c r="D124" s="9">
        <v>2.8</v>
      </c>
      <c r="E124" s="11">
        <v>3</v>
      </c>
      <c r="F124" s="11">
        <v>3.4</v>
      </c>
      <c r="G124" s="11">
        <v>5</v>
      </c>
    </row>
    <row r="125" spans="1:7" x14ac:dyDescent="0.3">
      <c r="A125" s="1">
        <v>45990.083340277779</v>
      </c>
      <c r="B125" s="5">
        <v>6.41</v>
      </c>
      <c r="C125" s="7">
        <f t="shared" si="1"/>
        <v>424.36867151000001</v>
      </c>
      <c r="D125" s="9">
        <v>0</v>
      </c>
      <c r="E125" s="11">
        <v>3</v>
      </c>
      <c r="F125" s="11">
        <v>3.4</v>
      </c>
      <c r="G125" s="11">
        <v>5</v>
      </c>
    </row>
    <row r="126" spans="1:7" x14ac:dyDescent="0.3">
      <c r="A126" s="1">
        <v>45990.125007002316</v>
      </c>
      <c r="B126" s="5">
        <v>5.98</v>
      </c>
      <c r="C126" s="7">
        <f t="shared" si="1"/>
        <v>372.83309883999999</v>
      </c>
      <c r="D126" s="9">
        <v>0</v>
      </c>
      <c r="E126" s="11">
        <v>3</v>
      </c>
      <c r="F126" s="11">
        <v>3.4</v>
      </c>
      <c r="G126" s="11">
        <v>5</v>
      </c>
    </row>
    <row r="127" spans="1:7" x14ac:dyDescent="0.3">
      <c r="A127" s="1">
        <v>45990.166673726853</v>
      </c>
      <c r="B127" s="5">
        <v>5.51</v>
      </c>
      <c r="C127" s="7">
        <f t="shared" si="1"/>
        <v>320.27968270999997</v>
      </c>
      <c r="D127" s="9">
        <v>0</v>
      </c>
      <c r="E127" s="11">
        <v>3</v>
      </c>
      <c r="F127" s="11">
        <v>3.4</v>
      </c>
      <c r="G127" s="11">
        <v>5</v>
      </c>
    </row>
    <row r="128" spans="1:7" x14ac:dyDescent="0.3">
      <c r="A128" s="1">
        <v>45990.208340451391</v>
      </c>
      <c r="B128" s="5">
        <v>4.9800000000000004</v>
      </c>
      <c r="C128" s="7">
        <f t="shared" si="1"/>
        <v>265.74868284000001</v>
      </c>
      <c r="D128" s="9">
        <v>0</v>
      </c>
      <c r="E128" s="11">
        <v>3</v>
      </c>
      <c r="F128" s="11">
        <v>3.4</v>
      </c>
      <c r="G128" s="11">
        <v>5</v>
      </c>
    </row>
    <row r="129" spans="1:7" x14ac:dyDescent="0.3">
      <c r="A129" s="1">
        <v>45990.250007175928</v>
      </c>
      <c r="B129" s="5">
        <v>4.57</v>
      </c>
      <c r="C129" s="7">
        <f t="shared" si="1"/>
        <v>227.00482878999998</v>
      </c>
      <c r="D129" s="9">
        <v>0.6</v>
      </c>
      <c r="E129" s="11">
        <v>3</v>
      </c>
      <c r="F129" s="11">
        <v>3.4</v>
      </c>
      <c r="G129" s="11">
        <v>5</v>
      </c>
    </row>
    <row r="130" spans="1:7" x14ac:dyDescent="0.3">
      <c r="A130" s="1">
        <v>45990.291673900465</v>
      </c>
      <c r="B130" s="5">
        <v>4.0999999999999996</v>
      </c>
      <c r="C130" s="7">
        <f t="shared" si="1"/>
        <v>186.28339099999994</v>
      </c>
      <c r="D130" s="9">
        <v>0.6</v>
      </c>
      <c r="E130" s="11">
        <v>3</v>
      </c>
      <c r="F130" s="11">
        <v>3.4</v>
      </c>
      <c r="G130" s="11">
        <v>5</v>
      </c>
    </row>
    <row r="131" spans="1:7" x14ac:dyDescent="0.3">
      <c r="A131" s="1">
        <v>45990.333340625002</v>
      </c>
      <c r="B131" s="5">
        <v>3.8</v>
      </c>
      <c r="C131" s="7">
        <f t="shared" si="1"/>
        <v>162.35314399999999</v>
      </c>
      <c r="D131" s="9">
        <v>0.6</v>
      </c>
      <c r="E131" s="11">
        <v>3</v>
      </c>
      <c r="F131" s="11">
        <v>3.4</v>
      </c>
      <c r="G131" s="11">
        <v>5</v>
      </c>
    </row>
    <row r="132" spans="1:7" x14ac:dyDescent="0.3">
      <c r="A132" s="1">
        <v>45990.375007349539</v>
      </c>
      <c r="B132" s="5">
        <v>3.69</v>
      </c>
      <c r="C132" s="7">
        <f t="shared" si="1"/>
        <v>153.98133230999997</v>
      </c>
      <c r="D132" s="9">
        <v>0.3</v>
      </c>
      <c r="E132" s="11">
        <v>3</v>
      </c>
      <c r="F132" s="11">
        <v>3.4</v>
      </c>
      <c r="G132" s="11">
        <v>5</v>
      </c>
    </row>
    <row r="133" spans="1:7" x14ac:dyDescent="0.3">
      <c r="A133" s="1">
        <v>45990.416674074077</v>
      </c>
      <c r="B133" s="5">
        <v>3.45</v>
      </c>
      <c r="C133" s="7">
        <f t="shared" ref="C133:C196" si="2">IF(B133="","",IF((B133)&gt;2,8.9271*((B133)^2)+9.2434*(B133)-1.6791,14.51*(((B133)-0.1)^1.846)))</f>
        <v>136.46543775000001</v>
      </c>
      <c r="D133" s="9">
        <v>0</v>
      </c>
      <c r="E133" s="11">
        <v>3</v>
      </c>
      <c r="F133" s="11">
        <v>3.4</v>
      </c>
      <c r="G133" s="11">
        <v>5</v>
      </c>
    </row>
    <row r="134" spans="1:7" x14ac:dyDescent="0.3">
      <c r="A134" s="1">
        <v>45990.458340798614</v>
      </c>
      <c r="B134" s="5">
        <v>3.31</v>
      </c>
      <c r="C134" s="7">
        <f t="shared" si="2"/>
        <v>126.72275431</v>
      </c>
      <c r="D134" s="9">
        <v>0</v>
      </c>
      <c r="E134" s="11">
        <v>3</v>
      </c>
      <c r="F134" s="11">
        <v>3.4</v>
      </c>
      <c r="G134" s="11">
        <v>5</v>
      </c>
    </row>
    <row r="135" spans="1:7" x14ac:dyDescent="0.3">
      <c r="A135" s="1">
        <v>45990.500007523151</v>
      </c>
      <c r="B135" s="5">
        <v>3.21</v>
      </c>
      <c r="C135" s="7">
        <f t="shared" si="2"/>
        <v>119.97794510999998</v>
      </c>
      <c r="D135" s="9">
        <v>0</v>
      </c>
      <c r="E135" s="11">
        <v>3</v>
      </c>
      <c r="F135" s="11">
        <v>3.4</v>
      </c>
      <c r="G135" s="11">
        <v>5</v>
      </c>
    </row>
    <row r="136" spans="1:7" x14ac:dyDescent="0.3">
      <c r="A136" s="1">
        <v>45990.541674247688</v>
      </c>
      <c r="B136" s="5">
        <v>3.06</v>
      </c>
      <c r="C136" s="7">
        <f t="shared" si="2"/>
        <v>110.19549755999998</v>
      </c>
      <c r="D136" s="9">
        <v>0</v>
      </c>
      <c r="E136" s="11">
        <v>3</v>
      </c>
      <c r="F136" s="11">
        <v>3.4</v>
      </c>
      <c r="G136" s="11">
        <v>5</v>
      </c>
    </row>
    <row r="137" spans="1:7" x14ac:dyDescent="0.3">
      <c r="A137" s="1">
        <v>45990.583340972225</v>
      </c>
      <c r="B137" s="5">
        <v>2.9</v>
      </c>
      <c r="C137" s="7">
        <f t="shared" si="2"/>
        <v>100.20367099999999</v>
      </c>
      <c r="D137" s="9">
        <v>0</v>
      </c>
      <c r="E137" s="11">
        <v>3</v>
      </c>
      <c r="F137" s="11">
        <v>3.4</v>
      </c>
      <c r="G137" s="11">
        <v>5</v>
      </c>
    </row>
    <row r="138" spans="1:7" x14ac:dyDescent="0.3">
      <c r="A138" s="1">
        <v>45990.625007696763</v>
      </c>
      <c r="B138" s="5">
        <v>2.81</v>
      </c>
      <c r="C138" s="7">
        <f t="shared" si="2"/>
        <v>94.78412831</v>
      </c>
      <c r="D138" s="9">
        <v>0</v>
      </c>
      <c r="E138" s="11">
        <v>3</v>
      </c>
      <c r="F138" s="11">
        <v>3.4</v>
      </c>
      <c r="G138" s="11">
        <v>5</v>
      </c>
    </row>
    <row r="139" spans="1:7" x14ac:dyDescent="0.3">
      <c r="A139" s="1">
        <v>45990.6666744213</v>
      </c>
      <c r="B139" s="5">
        <v>2.7</v>
      </c>
      <c r="C139" s="7">
        <f t="shared" si="2"/>
        <v>88.356639000000001</v>
      </c>
      <c r="D139" s="9">
        <v>0</v>
      </c>
      <c r="E139" s="11">
        <v>3</v>
      </c>
      <c r="F139" s="11">
        <v>3.4</v>
      </c>
      <c r="G139" s="11">
        <v>5</v>
      </c>
    </row>
    <row r="140" spans="1:7" x14ac:dyDescent="0.3">
      <c r="A140" s="1">
        <v>45990.70834114583</v>
      </c>
      <c r="B140" s="5">
        <v>2.64</v>
      </c>
      <c r="C140" s="7">
        <f t="shared" si="2"/>
        <v>84.941792159999991</v>
      </c>
      <c r="D140" s="9">
        <v>0</v>
      </c>
      <c r="E140" s="11">
        <v>3</v>
      </c>
      <c r="F140" s="11">
        <v>3.4</v>
      </c>
      <c r="G140" s="11">
        <v>5</v>
      </c>
    </row>
    <row r="141" spans="1:7" x14ac:dyDescent="0.3">
      <c r="A141" s="1">
        <v>45990.750007870367</v>
      </c>
      <c r="B141" s="5">
        <v>2.57</v>
      </c>
      <c r="C141" s="7">
        <f t="shared" si="2"/>
        <v>81.039040789999973</v>
      </c>
      <c r="D141" s="9">
        <v>0</v>
      </c>
      <c r="E141" s="11">
        <v>3</v>
      </c>
      <c r="F141" s="11">
        <v>3.4</v>
      </c>
      <c r="G141" s="11">
        <v>5</v>
      </c>
    </row>
    <row r="142" spans="1:7" x14ac:dyDescent="0.3">
      <c r="A142" s="1">
        <v>45990.791674594904</v>
      </c>
      <c r="B142" s="5">
        <v>2.5</v>
      </c>
      <c r="C142" s="7">
        <f t="shared" si="2"/>
        <v>77.223774999999989</v>
      </c>
      <c r="D142" s="9">
        <v>0</v>
      </c>
      <c r="E142" s="11">
        <v>3</v>
      </c>
      <c r="F142" s="11">
        <v>3.4</v>
      </c>
      <c r="G142" s="11">
        <v>5</v>
      </c>
    </row>
    <row r="143" spans="1:7" x14ac:dyDescent="0.3">
      <c r="A143" s="1">
        <v>45990.833341319441</v>
      </c>
      <c r="B143" s="5">
        <v>2.38</v>
      </c>
      <c r="C143" s="7">
        <f t="shared" si="2"/>
        <v>70.886857239999983</v>
      </c>
      <c r="D143" s="9">
        <v>0</v>
      </c>
      <c r="E143" s="11">
        <v>3</v>
      </c>
      <c r="F143" s="11">
        <v>3.4</v>
      </c>
      <c r="G143" s="11">
        <v>5</v>
      </c>
    </row>
    <row r="144" spans="1:7" x14ac:dyDescent="0.3">
      <c r="A144" s="1">
        <v>45990.875008043979</v>
      </c>
      <c r="B144" s="5">
        <v>2.2999999999999998</v>
      </c>
      <c r="C144" s="7">
        <f t="shared" si="2"/>
        <v>66.805078999999978</v>
      </c>
      <c r="D144" s="9">
        <v>0</v>
      </c>
      <c r="E144" s="11">
        <v>3</v>
      </c>
      <c r="F144" s="11">
        <v>3.4</v>
      </c>
      <c r="G144" s="11">
        <v>5</v>
      </c>
    </row>
    <row r="145" spans="1:7" x14ac:dyDescent="0.3">
      <c r="A145" s="1">
        <v>45990.916674768516</v>
      </c>
      <c r="B145" s="5">
        <v>2.27</v>
      </c>
      <c r="C145" s="7">
        <f t="shared" si="2"/>
        <v>65.303871589999986</v>
      </c>
      <c r="D145" s="9">
        <v>0</v>
      </c>
      <c r="E145" s="11">
        <v>3</v>
      </c>
      <c r="F145" s="11">
        <v>3.4</v>
      </c>
      <c r="G145" s="11">
        <v>5</v>
      </c>
    </row>
    <row r="146" spans="1:7" x14ac:dyDescent="0.3">
      <c r="A146" s="1">
        <v>45990.958341493053</v>
      </c>
      <c r="B146" s="5">
        <v>2.25</v>
      </c>
      <c r="C146" s="7">
        <f t="shared" si="2"/>
        <v>64.311993749999999</v>
      </c>
      <c r="D146" s="9">
        <v>0</v>
      </c>
      <c r="E146" s="11">
        <v>3</v>
      </c>
      <c r="F146" s="11">
        <v>3.4</v>
      </c>
      <c r="G146" s="11">
        <v>5</v>
      </c>
    </row>
    <row r="147" spans="1:7" x14ac:dyDescent="0.3">
      <c r="A147" s="1">
        <v>45991.00000821759</v>
      </c>
      <c r="B147" s="5">
        <v>2.2400000000000002</v>
      </c>
      <c r="C147" s="7">
        <f t="shared" si="2"/>
        <v>63.818732960000013</v>
      </c>
      <c r="D147" s="9">
        <v>0</v>
      </c>
      <c r="E147" s="11">
        <v>3</v>
      </c>
      <c r="F147" s="11">
        <v>3.4</v>
      </c>
      <c r="G147" s="11">
        <v>5</v>
      </c>
    </row>
    <row r="148" spans="1:7" x14ac:dyDescent="0.3">
      <c r="A148" s="1">
        <v>45991.041674942127</v>
      </c>
      <c r="B148" s="5">
        <v>2.2000000000000002</v>
      </c>
      <c r="C148" s="7">
        <f t="shared" si="2"/>
        <v>61.863544000000012</v>
      </c>
      <c r="D148" s="9">
        <v>0</v>
      </c>
      <c r="E148" s="11">
        <v>3</v>
      </c>
      <c r="F148" s="11">
        <v>3.4</v>
      </c>
      <c r="G148" s="11">
        <v>5</v>
      </c>
    </row>
    <row r="149" spans="1:7" x14ac:dyDescent="0.3">
      <c r="A149" s="1">
        <v>45991.083341666665</v>
      </c>
      <c r="B149" s="5">
        <v>2.16</v>
      </c>
      <c r="C149" s="7">
        <f t="shared" si="2"/>
        <v>59.936921760000004</v>
      </c>
      <c r="D149" s="9">
        <v>0</v>
      </c>
      <c r="E149" s="11">
        <v>3</v>
      </c>
      <c r="F149" s="11">
        <v>3.4</v>
      </c>
      <c r="G149" s="11">
        <v>5</v>
      </c>
    </row>
    <row r="150" spans="1:7" x14ac:dyDescent="0.3">
      <c r="A150" s="1">
        <v>45991.125008391202</v>
      </c>
      <c r="B150" s="5">
        <v>2.12</v>
      </c>
      <c r="C150" s="7">
        <f t="shared" si="2"/>
        <v>58.038866240000011</v>
      </c>
      <c r="D150" s="9">
        <v>0</v>
      </c>
      <c r="E150" s="11">
        <v>3</v>
      </c>
      <c r="F150" s="11">
        <v>3.4</v>
      </c>
      <c r="G150" s="11">
        <v>5</v>
      </c>
    </row>
    <row r="151" spans="1:7" x14ac:dyDescent="0.3">
      <c r="A151" s="1">
        <v>45991.166675115739</v>
      </c>
      <c r="B151" s="5">
        <v>2.08</v>
      </c>
      <c r="C151" s="7">
        <f t="shared" si="2"/>
        <v>56.169377439999998</v>
      </c>
      <c r="D151" s="9">
        <v>0</v>
      </c>
      <c r="E151" s="11">
        <v>3</v>
      </c>
      <c r="F151" s="11">
        <v>3.4</v>
      </c>
      <c r="G151" s="11">
        <v>5</v>
      </c>
    </row>
    <row r="152" spans="1:7" x14ac:dyDescent="0.3">
      <c r="A152" s="1">
        <v>45991.208341840276</v>
      </c>
      <c r="B152" s="5">
        <v>2.06</v>
      </c>
      <c r="C152" s="7">
        <f t="shared" si="2"/>
        <v>55.245345559999997</v>
      </c>
      <c r="D152" s="9">
        <v>0</v>
      </c>
      <c r="E152" s="11">
        <v>3</v>
      </c>
      <c r="F152" s="11">
        <v>3.4</v>
      </c>
      <c r="G152" s="11">
        <v>5</v>
      </c>
    </row>
    <row r="153" spans="1:7" x14ac:dyDescent="0.3">
      <c r="A153" s="1">
        <v>45991.250008564813</v>
      </c>
      <c r="B153" s="5">
        <v>2</v>
      </c>
      <c r="C153" s="7">
        <f t="shared" si="2"/>
        <v>47.451130069104941</v>
      </c>
      <c r="D153" s="9">
        <v>0</v>
      </c>
      <c r="E153" s="11">
        <v>3</v>
      </c>
      <c r="F153" s="11">
        <v>3.4</v>
      </c>
      <c r="G153" s="11">
        <v>5</v>
      </c>
    </row>
    <row r="154" spans="1:7" x14ac:dyDescent="0.3">
      <c r="A154" s="1">
        <v>45991.291675289351</v>
      </c>
      <c r="B154" s="5">
        <v>2</v>
      </c>
      <c r="C154" s="7">
        <f t="shared" si="2"/>
        <v>47.451130069104941</v>
      </c>
      <c r="D154" s="9">
        <v>0</v>
      </c>
      <c r="E154" s="11">
        <v>3</v>
      </c>
      <c r="F154" s="11">
        <v>3.4</v>
      </c>
      <c r="G154" s="11">
        <v>5</v>
      </c>
    </row>
    <row r="155" spans="1:7" x14ac:dyDescent="0.3">
      <c r="A155" s="1">
        <v>45991.333342013888</v>
      </c>
      <c r="B155" s="5">
        <v>2</v>
      </c>
      <c r="C155" s="7">
        <f t="shared" si="2"/>
        <v>47.451130069104941</v>
      </c>
      <c r="D155" s="9">
        <v>0</v>
      </c>
      <c r="E155" s="11">
        <v>3</v>
      </c>
      <c r="F155" s="11">
        <v>3.4</v>
      </c>
      <c r="G155" s="11">
        <v>5</v>
      </c>
    </row>
    <row r="156" spans="1:7" x14ac:dyDescent="0.3">
      <c r="A156" s="1">
        <v>45991.375008738425</v>
      </c>
      <c r="B156" s="5">
        <v>1.99</v>
      </c>
      <c r="C156" s="7">
        <f t="shared" si="2"/>
        <v>46.991131544451804</v>
      </c>
      <c r="D156" s="9">
        <v>0</v>
      </c>
      <c r="E156" s="11">
        <v>3</v>
      </c>
      <c r="F156" s="11">
        <v>3.4</v>
      </c>
      <c r="G156" s="11">
        <v>5</v>
      </c>
    </row>
    <row r="157" spans="1:7" x14ac:dyDescent="0.3">
      <c r="A157" s="1">
        <v>45991.416675462962</v>
      </c>
      <c r="B157" s="5">
        <v>1.99</v>
      </c>
      <c r="C157" s="7">
        <f t="shared" si="2"/>
        <v>46.991131544451804</v>
      </c>
      <c r="D157" s="9">
        <v>0</v>
      </c>
      <c r="E157" s="11">
        <v>3</v>
      </c>
      <c r="F157" s="11">
        <v>3.4</v>
      </c>
      <c r="G157" s="11">
        <v>5</v>
      </c>
    </row>
    <row r="158" spans="1:7" x14ac:dyDescent="0.3">
      <c r="A158" s="1">
        <v>45991.4583421875</v>
      </c>
      <c r="B158" s="5">
        <v>1.98</v>
      </c>
      <c r="C158" s="7">
        <f t="shared" si="2"/>
        <v>46.533187464870657</v>
      </c>
      <c r="D158" s="9">
        <v>0</v>
      </c>
      <c r="E158" s="11">
        <v>3</v>
      </c>
      <c r="F158" s="11">
        <v>3.4</v>
      </c>
      <c r="G158" s="11">
        <v>5</v>
      </c>
    </row>
    <row r="159" spans="1:7" x14ac:dyDescent="0.3">
      <c r="A159" s="1">
        <v>45991.500008912037</v>
      </c>
      <c r="B159" s="5">
        <v>1.98</v>
      </c>
      <c r="C159" s="7">
        <f t="shared" si="2"/>
        <v>46.533187464870657</v>
      </c>
      <c r="D159" s="9">
        <v>0</v>
      </c>
      <c r="E159" s="11">
        <v>3</v>
      </c>
      <c r="F159" s="11">
        <v>3.4</v>
      </c>
      <c r="G159" s="11">
        <v>5</v>
      </c>
    </row>
    <row r="160" spans="1:7" x14ac:dyDescent="0.3">
      <c r="A160" s="1">
        <v>45991.541675636574</v>
      </c>
      <c r="B160" s="5">
        <v>1.98</v>
      </c>
      <c r="C160" s="7">
        <f t="shared" si="2"/>
        <v>46.533187464870657</v>
      </c>
      <c r="D160" s="9">
        <v>0</v>
      </c>
      <c r="E160" s="11">
        <v>3</v>
      </c>
      <c r="F160" s="11">
        <v>3.4</v>
      </c>
      <c r="G160" s="11">
        <v>5</v>
      </c>
    </row>
    <row r="161" spans="1:7" x14ac:dyDescent="0.3">
      <c r="A161" s="1">
        <v>45991.583342361111</v>
      </c>
      <c r="B161" s="5">
        <v>1.98</v>
      </c>
      <c r="C161" s="7">
        <f t="shared" si="2"/>
        <v>46.533187464870657</v>
      </c>
      <c r="D161" s="9">
        <v>0</v>
      </c>
      <c r="E161" s="11">
        <v>3</v>
      </c>
      <c r="F161" s="11">
        <v>3.4</v>
      </c>
      <c r="G161" s="11">
        <v>5</v>
      </c>
    </row>
    <row r="162" spans="1:7" x14ac:dyDescent="0.3">
      <c r="A162" s="1">
        <v>45991.625009085648</v>
      </c>
      <c r="B162" s="5">
        <v>1.82</v>
      </c>
      <c r="C162" s="7">
        <f t="shared" si="2"/>
        <v>39.486889592392245</v>
      </c>
      <c r="D162" s="9">
        <v>0</v>
      </c>
      <c r="E162" s="11">
        <v>3</v>
      </c>
      <c r="F162" s="11">
        <v>3.4</v>
      </c>
      <c r="G162" s="11">
        <v>5</v>
      </c>
    </row>
    <row r="163" spans="1:7" x14ac:dyDescent="0.3">
      <c r="A163" s="1">
        <v>45991.666675810186</v>
      </c>
      <c r="B163" s="5">
        <v>1.67</v>
      </c>
      <c r="C163" s="7">
        <f t="shared" si="2"/>
        <v>33.365540980474748</v>
      </c>
      <c r="D163" s="9">
        <v>0</v>
      </c>
      <c r="E163" s="11">
        <v>3</v>
      </c>
      <c r="F163" s="11">
        <v>3.4</v>
      </c>
      <c r="G163" s="11">
        <v>5</v>
      </c>
    </row>
    <row r="164" spans="1:7" x14ac:dyDescent="0.3">
      <c r="A164" s="1">
        <v>45991.708342534723</v>
      </c>
      <c r="B164" s="5">
        <v>1.67</v>
      </c>
      <c r="C164" s="7">
        <f t="shared" si="2"/>
        <v>33.365540980474748</v>
      </c>
      <c r="D164" s="9">
        <v>0</v>
      </c>
      <c r="E164" s="11">
        <v>3</v>
      </c>
      <c r="F164" s="11">
        <v>3.4</v>
      </c>
      <c r="G164" s="11">
        <v>5</v>
      </c>
    </row>
    <row r="165" spans="1:7" x14ac:dyDescent="0.3">
      <c r="A165" s="1">
        <v>45991.75000925926</v>
      </c>
      <c r="B165" s="5">
        <v>1.81</v>
      </c>
      <c r="C165" s="7">
        <f t="shared" si="2"/>
        <v>39.064136806532986</v>
      </c>
      <c r="D165" s="9">
        <v>0</v>
      </c>
      <c r="E165" s="11">
        <v>3</v>
      </c>
      <c r="F165" s="11">
        <v>3.4</v>
      </c>
      <c r="G165" s="11">
        <v>5</v>
      </c>
    </row>
    <row r="166" spans="1:7" x14ac:dyDescent="0.3">
      <c r="A166" s="1">
        <v>45991.791675983797</v>
      </c>
      <c r="B166" s="5">
        <v>1.83</v>
      </c>
      <c r="C166" s="7">
        <f t="shared" si="2"/>
        <v>39.911726861017094</v>
      </c>
      <c r="D166" s="9">
        <v>0</v>
      </c>
      <c r="E166" s="11">
        <v>3</v>
      </c>
      <c r="F166" s="11">
        <v>3.4</v>
      </c>
      <c r="G166" s="11">
        <v>5</v>
      </c>
    </row>
    <row r="167" spans="1:7" x14ac:dyDescent="0.3">
      <c r="A167" s="1">
        <v>45991.833342708334</v>
      </c>
      <c r="B167" s="5">
        <v>1.78</v>
      </c>
      <c r="C167" s="7">
        <f t="shared" si="2"/>
        <v>37.808404135499359</v>
      </c>
      <c r="D167" s="9">
        <v>0</v>
      </c>
      <c r="E167" s="11">
        <v>3</v>
      </c>
      <c r="F167" s="11">
        <v>3.4</v>
      </c>
      <c r="G167" s="11">
        <v>5</v>
      </c>
    </row>
    <row r="168" spans="1:7" x14ac:dyDescent="0.3">
      <c r="A168" s="1">
        <v>45991.875009432872</v>
      </c>
      <c r="B168" s="5">
        <v>1.69</v>
      </c>
      <c r="C168" s="7">
        <f t="shared" si="2"/>
        <v>34.154387697765088</v>
      </c>
      <c r="D168" s="9">
        <v>0</v>
      </c>
      <c r="E168" s="11">
        <v>3</v>
      </c>
      <c r="F168" s="11">
        <v>3.4</v>
      </c>
      <c r="G168" s="11">
        <v>5</v>
      </c>
    </row>
    <row r="169" spans="1:7" x14ac:dyDescent="0.3">
      <c r="A169" s="1">
        <v>45991.916676157409</v>
      </c>
      <c r="B169" s="5">
        <v>1.63</v>
      </c>
      <c r="C169" s="7">
        <f t="shared" si="2"/>
        <v>31.813232082183543</v>
      </c>
      <c r="D169" s="9">
        <v>0</v>
      </c>
      <c r="E169" s="11">
        <v>3</v>
      </c>
      <c r="F169" s="11">
        <v>3.4</v>
      </c>
      <c r="G169" s="11">
        <v>5</v>
      </c>
    </row>
    <row r="170" spans="1:7" x14ac:dyDescent="0.3">
      <c r="A170" s="1">
        <v>45991.958342881946</v>
      </c>
      <c r="B170" s="5">
        <v>1.57</v>
      </c>
      <c r="C170" s="7">
        <f t="shared" si="2"/>
        <v>29.548484564258974</v>
      </c>
      <c r="D170" s="9">
        <v>0</v>
      </c>
      <c r="E170" s="11">
        <v>3</v>
      </c>
      <c r="F170" s="11">
        <v>3.4</v>
      </c>
      <c r="G170" s="11">
        <v>5</v>
      </c>
    </row>
    <row r="171" spans="1:7" x14ac:dyDescent="0.3">
      <c r="A171" s="1">
        <v>45992.000009606483</v>
      </c>
      <c r="B171" s="5">
        <v>1.51</v>
      </c>
      <c r="C171" s="7">
        <f t="shared" si="2"/>
        <v>27.360617479645626</v>
      </c>
      <c r="D171" s="9">
        <v>0</v>
      </c>
      <c r="E171" s="11">
        <v>3</v>
      </c>
      <c r="F171" s="11">
        <v>3.4</v>
      </c>
      <c r="G171" s="11">
        <v>5</v>
      </c>
    </row>
    <row r="172" spans="1:7" x14ac:dyDescent="0.3">
      <c r="A172" s="1">
        <v>45992.04167633102</v>
      </c>
      <c r="B172" s="5">
        <v>1.47</v>
      </c>
      <c r="C172" s="7">
        <f t="shared" si="2"/>
        <v>25.944994287458943</v>
      </c>
      <c r="D172" s="9">
        <v>0</v>
      </c>
      <c r="E172" s="11">
        <v>3</v>
      </c>
      <c r="F172" s="11">
        <v>3.4</v>
      </c>
      <c r="G172" s="11">
        <v>5</v>
      </c>
    </row>
    <row r="173" spans="1:7" x14ac:dyDescent="0.3">
      <c r="A173" s="1">
        <v>45992.083343055558</v>
      </c>
      <c r="B173" s="5">
        <v>1.45</v>
      </c>
      <c r="C173" s="7">
        <f t="shared" si="2"/>
        <v>25.250125968475022</v>
      </c>
      <c r="D173" s="9">
        <v>0</v>
      </c>
      <c r="E173" s="11">
        <v>3</v>
      </c>
      <c r="F173" s="11">
        <v>3.4</v>
      </c>
      <c r="G173" s="11">
        <v>5</v>
      </c>
    </row>
    <row r="174" spans="1:7" x14ac:dyDescent="0.3">
      <c r="A174" s="1">
        <v>45992.125009780095</v>
      </c>
      <c r="B174" s="5">
        <v>1.42</v>
      </c>
      <c r="C174" s="7">
        <f t="shared" si="2"/>
        <v>24.22405754179384</v>
      </c>
      <c r="D174" s="9">
        <v>0</v>
      </c>
      <c r="E174" s="11">
        <v>3</v>
      </c>
      <c r="F174" s="11">
        <v>3.4</v>
      </c>
      <c r="G174" s="11">
        <v>5</v>
      </c>
    </row>
    <row r="175" spans="1:7" x14ac:dyDescent="0.3">
      <c r="A175" s="1">
        <v>45992.166676504632</v>
      </c>
      <c r="B175" s="5">
        <v>1.4</v>
      </c>
      <c r="C175" s="7">
        <f t="shared" si="2"/>
        <v>23.550863797828864</v>
      </c>
      <c r="D175" s="9">
        <v>0</v>
      </c>
      <c r="E175" s="11">
        <v>3</v>
      </c>
      <c r="F175" s="11">
        <v>3.4</v>
      </c>
      <c r="G175" s="11">
        <v>5</v>
      </c>
    </row>
    <row r="176" spans="1:7" x14ac:dyDescent="0.3">
      <c r="A176" s="1">
        <v>45992.208343229169</v>
      </c>
      <c r="B176" s="5">
        <v>1.4</v>
      </c>
      <c r="C176" s="7">
        <f t="shared" si="2"/>
        <v>23.550863797828864</v>
      </c>
      <c r="D176" s="9">
        <v>0</v>
      </c>
      <c r="E176" s="11">
        <v>3</v>
      </c>
      <c r="F176" s="11">
        <v>3.4</v>
      </c>
      <c r="G176" s="11">
        <v>5</v>
      </c>
    </row>
    <row r="177" spans="1:7" x14ac:dyDescent="0.3">
      <c r="A177" s="1">
        <v>45992.250009953706</v>
      </c>
      <c r="B177" s="5">
        <v>1.37</v>
      </c>
      <c r="C177" s="7">
        <f t="shared" si="2"/>
        <v>22.55740210693612</v>
      </c>
      <c r="D177" s="9">
        <v>0</v>
      </c>
      <c r="E177" s="11">
        <v>3</v>
      </c>
      <c r="F177" s="11">
        <v>3.4</v>
      </c>
      <c r="G177" s="11">
        <v>5</v>
      </c>
    </row>
    <row r="178" spans="1:7" x14ac:dyDescent="0.3">
      <c r="A178" s="1">
        <v>45992.291676678244</v>
      </c>
      <c r="B178" s="5">
        <v>1.37</v>
      </c>
      <c r="C178" s="7">
        <f t="shared" si="2"/>
        <v>22.55740210693612</v>
      </c>
      <c r="D178" s="9">
        <v>0</v>
      </c>
      <c r="E178" s="11">
        <v>3</v>
      </c>
      <c r="F178" s="11">
        <v>3.4</v>
      </c>
      <c r="G178" s="11">
        <v>5</v>
      </c>
    </row>
    <row r="179" spans="1:7" x14ac:dyDescent="0.3">
      <c r="A179" s="1">
        <v>45992.333343402781</v>
      </c>
      <c r="B179" s="5">
        <v>1.47</v>
      </c>
      <c r="C179" s="7">
        <f t="shared" si="2"/>
        <v>25.944994287458943</v>
      </c>
      <c r="D179" s="9">
        <v>0</v>
      </c>
      <c r="E179" s="11">
        <v>3</v>
      </c>
      <c r="F179" s="11">
        <v>3.4</v>
      </c>
      <c r="G179" s="11">
        <v>5</v>
      </c>
    </row>
    <row r="180" spans="1:7" x14ac:dyDescent="0.3">
      <c r="A180" s="1">
        <v>45992.375010127318</v>
      </c>
      <c r="B180" s="5">
        <v>1.5</v>
      </c>
      <c r="C180" s="7">
        <f t="shared" si="2"/>
        <v>27.003481866240183</v>
      </c>
      <c r="D180" s="9">
        <v>0</v>
      </c>
      <c r="E180" s="11">
        <v>3</v>
      </c>
      <c r="F180" s="11">
        <v>3.4</v>
      </c>
      <c r="G180" s="11">
        <v>5</v>
      </c>
    </row>
    <row r="181" spans="1:7" x14ac:dyDescent="0.3">
      <c r="A181" s="1">
        <v>45992.416676851855</v>
      </c>
      <c r="B181" s="5">
        <v>1.49</v>
      </c>
      <c r="C181" s="7">
        <f t="shared" si="2"/>
        <v>26.648497875362867</v>
      </c>
      <c r="D181" s="9">
        <v>0</v>
      </c>
      <c r="E181" s="11">
        <v>3</v>
      </c>
      <c r="F181" s="11">
        <v>3.4</v>
      </c>
      <c r="G181" s="11">
        <v>5</v>
      </c>
    </row>
    <row r="182" spans="1:7" x14ac:dyDescent="0.3">
      <c r="A182" s="1">
        <v>45992.458343576393</v>
      </c>
      <c r="B182" s="5">
        <v>1.49</v>
      </c>
      <c r="C182" s="7">
        <f t="shared" si="2"/>
        <v>26.648497875362867</v>
      </c>
      <c r="D182" s="9">
        <v>0</v>
      </c>
      <c r="E182" s="11">
        <v>3</v>
      </c>
      <c r="F182" s="11">
        <v>3.4</v>
      </c>
      <c r="G182" s="11">
        <v>5</v>
      </c>
    </row>
    <row r="183" spans="1:7" x14ac:dyDescent="0.3">
      <c r="A183" s="1">
        <v>45992.500010300922</v>
      </c>
      <c r="B183" s="5">
        <v>1.49</v>
      </c>
      <c r="C183" s="7">
        <f t="shared" si="2"/>
        <v>26.648497875362867</v>
      </c>
      <c r="D183" s="9">
        <v>0</v>
      </c>
      <c r="E183" s="11">
        <v>3</v>
      </c>
      <c r="F183" s="11">
        <v>3.4</v>
      </c>
      <c r="G183" s="11">
        <v>5</v>
      </c>
    </row>
    <row r="184" spans="1:7" x14ac:dyDescent="0.3">
      <c r="A184" s="1">
        <v>45992.54167702546</v>
      </c>
      <c r="B184" s="5">
        <v>1.47</v>
      </c>
      <c r="C184" s="7">
        <f t="shared" si="2"/>
        <v>25.944994287458943</v>
      </c>
      <c r="D184" s="9">
        <v>0</v>
      </c>
      <c r="E184" s="11">
        <v>3</v>
      </c>
      <c r="F184" s="11">
        <v>3.4</v>
      </c>
      <c r="G184" s="11">
        <v>5</v>
      </c>
    </row>
    <row r="185" spans="1:7" x14ac:dyDescent="0.3">
      <c r="A185" s="1">
        <v>45992.583343749997</v>
      </c>
      <c r="B185" s="5">
        <v>1.45</v>
      </c>
      <c r="C185" s="7">
        <f t="shared" si="2"/>
        <v>25.250125968475022</v>
      </c>
      <c r="D185" s="9">
        <v>0</v>
      </c>
      <c r="E185" s="11">
        <v>3</v>
      </c>
      <c r="F185" s="11">
        <v>3.4</v>
      </c>
      <c r="G185" s="11">
        <v>5</v>
      </c>
    </row>
    <row r="186" spans="1:7" x14ac:dyDescent="0.3">
      <c r="A186" s="1">
        <v>45992.625010474534</v>
      </c>
      <c r="B186" s="5">
        <v>1.43</v>
      </c>
      <c r="C186" s="7">
        <f t="shared" si="2"/>
        <v>24.563912498085521</v>
      </c>
      <c r="D186" s="9">
        <v>0</v>
      </c>
      <c r="E186" s="11">
        <v>3</v>
      </c>
      <c r="F186" s="11">
        <v>3.4</v>
      </c>
      <c r="G186" s="11">
        <v>5</v>
      </c>
    </row>
    <row r="187" spans="1:7" x14ac:dyDescent="0.3">
      <c r="A187" s="1">
        <v>45992.666677199071</v>
      </c>
      <c r="B187" s="5">
        <v>1.38</v>
      </c>
      <c r="C187" s="7">
        <f t="shared" si="2"/>
        <v>22.886375353209669</v>
      </c>
      <c r="D187" s="9">
        <v>0</v>
      </c>
      <c r="E187" s="11">
        <v>3</v>
      </c>
      <c r="F187" s="11">
        <v>3.4</v>
      </c>
      <c r="G187" s="11">
        <v>5</v>
      </c>
    </row>
    <row r="188" spans="1:7" x14ac:dyDescent="0.3">
      <c r="A188" s="1">
        <v>45992.708343923608</v>
      </c>
      <c r="B188" s="5">
        <v>1.29</v>
      </c>
      <c r="C188" s="7">
        <f t="shared" si="2"/>
        <v>20.004472465838667</v>
      </c>
      <c r="D188" s="9">
        <v>0</v>
      </c>
      <c r="E188" s="11">
        <v>3</v>
      </c>
      <c r="F188" s="11">
        <v>3.4</v>
      </c>
      <c r="G188" s="11">
        <v>5</v>
      </c>
    </row>
    <row r="189" spans="1:7" x14ac:dyDescent="0.3">
      <c r="A189" s="1">
        <v>45992.750010648146</v>
      </c>
      <c r="B189" s="5">
        <v>1.32</v>
      </c>
      <c r="C189" s="7">
        <f t="shared" si="2"/>
        <v>20.945351831633381</v>
      </c>
      <c r="D189" s="9">
        <v>0</v>
      </c>
      <c r="E189" s="11">
        <v>3</v>
      </c>
      <c r="F189" s="11">
        <v>3.4</v>
      </c>
      <c r="G189" s="11">
        <v>5</v>
      </c>
    </row>
    <row r="190" spans="1:7" x14ac:dyDescent="0.3">
      <c r="A190" s="1">
        <v>45992.791677372683</v>
      </c>
      <c r="B190" s="5">
        <v>1.36</v>
      </c>
      <c r="C190" s="7">
        <f t="shared" si="2"/>
        <v>22.230613018895308</v>
      </c>
      <c r="D190" s="9">
        <v>0</v>
      </c>
      <c r="E190" s="11">
        <v>3</v>
      </c>
      <c r="F190" s="11">
        <v>3.4</v>
      </c>
      <c r="G190" s="11">
        <v>5</v>
      </c>
    </row>
    <row r="191" spans="1:7" x14ac:dyDescent="0.3">
      <c r="A191" s="1">
        <v>45992.83334409722</v>
      </c>
      <c r="B191" s="5">
        <v>1.36</v>
      </c>
      <c r="C191" s="7">
        <f t="shared" si="2"/>
        <v>22.230613018895308</v>
      </c>
      <c r="D191" s="9">
        <v>0</v>
      </c>
      <c r="E191" s="11">
        <v>3</v>
      </c>
      <c r="F191" s="11">
        <v>3.4</v>
      </c>
      <c r="G191" s="11">
        <v>5</v>
      </c>
    </row>
    <row r="192" spans="1:7" x14ac:dyDescent="0.3">
      <c r="A192" s="1">
        <v>45992.875010821757</v>
      </c>
      <c r="B192" s="5">
        <v>1.36</v>
      </c>
      <c r="C192" s="7">
        <f t="shared" si="2"/>
        <v>22.230613018895308</v>
      </c>
      <c r="D192" s="9">
        <v>0</v>
      </c>
      <c r="E192" s="11">
        <v>3</v>
      </c>
      <c r="F192" s="11">
        <v>3.4</v>
      </c>
      <c r="G192" s="11">
        <v>5</v>
      </c>
    </row>
    <row r="193" spans="1:7" x14ac:dyDescent="0.3">
      <c r="A193" s="1">
        <v>45992.916677546295</v>
      </c>
      <c r="B193" s="5">
        <v>1.34</v>
      </c>
      <c r="C193" s="7">
        <f t="shared" si="2"/>
        <v>21.583597984553961</v>
      </c>
      <c r="D193" s="9">
        <v>0</v>
      </c>
      <c r="E193" s="11">
        <v>3</v>
      </c>
      <c r="F193" s="11">
        <v>3.4</v>
      </c>
      <c r="G193" s="11">
        <v>5</v>
      </c>
    </row>
    <row r="194" spans="1:7" x14ac:dyDescent="0.3">
      <c r="A194" s="1">
        <v>45992.958344270832</v>
      </c>
      <c r="B194" s="5">
        <v>1.3</v>
      </c>
      <c r="C194" s="7">
        <f t="shared" si="2"/>
        <v>20.315896547102565</v>
      </c>
      <c r="D194" s="9">
        <v>0</v>
      </c>
      <c r="E194" s="11">
        <v>3</v>
      </c>
      <c r="F194" s="11">
        <v>3.4</v>
      </c>
      <c r="G194" s="11">
        <v>5</v>
      </c>
    </row>
    <row r="195" spans="1:7" x14ac:dyDescent="0.3">
      <c r="A195" s="1">
        <v>45993.000010995369</v>
      </c>
      <c r="B195" s="5">
        <v>1.25</v>
      </c>
      <c r="C195" s="7">
        <f t="shared" si="2"/>
        <v>18.780866505536594</v>
      </c>
      <c r="D195" s="9">
        <v>0</v>
      </c>
      <c r="E195" s="11">
        <v>3</v>
      </c>
      <c r="F195" s="11">
        <v>3.4</v>
      </c>
      <c r="G195" s="11">
        <v>5</v>
      </c>
    </row>
    <row r="196" spans="1:7" x14ac:dyDescent="0.3">
      <c r="A196" s="1">
        <v>45993.041677719906</v>
      </c>
      <c r="B196" s="5">
        <v>1.21</v>
      </c>
      <c r="C196" s="7">
        <f t="shared" si="2"/>
        <v>17.592745950605821</v>
      </c>
      <c r="D196" s="9">
        <v>0</v>
      </c>
      <c r="E196" s="11">
        <v>3</v>
      </c>
      <c r="F196" s="11">
        <v>3.4</v>
      </c>
      <c r="G196" s="11">
        <v>5</v>
      </c>
    </row>
    <row r="197" spans="1:7" x14ac:dyDescent="0.3">
      <c r="A197" s="1">
        <v>45993.083344444443</v>
      </c>
      <c r="B197" s="5">
        <v>1.19</v>
      </c>
      <c r="C197" s="7">
        <f t="shared" ref="C197:C260" si="3">IF(B197="","",IF((B197)&gt;2,8.9271*((B197)^2)+9.2434*(B197)-1.6791,14.51*(((B197)-0.1)^1.846)))</f>
        <v>17.012053022500577</v>
      </c>
      <c r="D197" s="9">
        <v>0</v>
      </c>
      <c r="E197" s="11">
        <v>3</v>
      </c>
      <c r="F197" s="11">
        <v>3.4</v>
      </c>
      <c r="G197" s="11">
        <v>5</v>
      </c>
    </row>
    <row r="198" spans="1:7" x14ac:dyDescent="0.3">
      <c r="A198" s="1">
        <v>45993.125011168981</v>
      </c>
      <c r="B198" s="5">
        <v>1.18</v>
      </c>
      <c r="C198" s="7">
        <f t="shared" si="3"/>
        <v>16.72505925375436</v>
      </c>
      <c r="D198" s="9">
        <v>0</v>
      </c>
      <c r="E198" s="11">
        <v>3</v>
      </c>
      <c r="F198" s="11">
        <v>3.4</v>
      </c>
      <c r="G198" s="11">
        <v>5</v>
      </c>
    </row>
    <row r="199" spans="1:7" x14ac:dyDescent="0.3">
      <c r="A199" s="1">
        <v>45993.166677893518</v>
      </c>
      <c r="B199" s="5">
        <v>1.18</v>
      </c>
      <c r="C199" s="7">
        <f t="shared" si="3"/>
        <v>16.72505925375436</v>
      </c>
      <c r="D199" s="9">
        <v>0</v>
      </c>
      <c r="E199" s="11">
        <v>3</v>
      </c>
      <c r="F199" s="11">
        <v>3.4</v>
      </c>
      <c r="G199" s="11">
        <v>5</v>
      </c>
    </row>
    <row r="200" spans="1:7" x14ac:dyDescent="0.3">
      <c r="A200" s="1">
        <v>45993.208344618055</v>
      </c>
      <c r="B200" s="5">
        <v>1.17</v>
      </c>
      <c r="C200" s="7">
        <f t="shared" si="3"/>
        <v>16.440304839072116</v>
      </c>
      <c r="D200" s="9">
        <v>0</v>
      </c>
      <c r="E200" s="11">
        <v>3</v>
      </c>
      <c r="F200" s="11">
        <v>3.4</v>
      </c>
      <c r="G200" s="11">
        <v>5</v>
      </c>
    </row>
    <row r="201" spans="1:7" x14ac:dyDescent="0.3">
      <c r="A201" s="1">
        <v>45993.250011342592</v>
      </c>
      <c r="B201" s="5">
        <v>1.25</v>
      </c>
      <c r="C201" s="7">
        <f t="shared" si="3"/>
        <v>18.780866505536594</v>
      </c>
      <c r="D201" s="9">
        <v>0</v>
      </c>
      <c r="E201" s="11">
        <v>3</v>
      </c>
      <c r="F201" s="11">
        <v>3.4</v>
      </c>
      <c r="G201" s="11">
        <v>5</v>
      </c>
    </row>
    <row r="202" spans="1:7" x14ac:dyDescent="0.3">
      <c r="A202" s="1">
        <v>45993.291678067129</v>
      </c>
      <c r="B202" s="5">
        <v>1.58</v>
      </c>
      <c r="C202" s="7">
        <f t="shared" si="3"/>
        <v>29.920616592458135</v>
      </c>
      <c r="D202" s="9">
        <v>0</v>
      </c>
      <c r="E202" s="11">
        <v>3</v>
      </c>
      <c r="F202" s="11">
        <v>3.4</v>
      </c>
      <c r="G202" s="11">
        <v>5</v>
      </c>
    </row>
    <row r="203" spans="1:7" x14ac:dyDescent="0.3">
      <c r="A203" s="1">
        <v>45993.333344733794</v>
      </c>
      <c r="B203" s="5">
        <v>1.28</v>
      </c>
      <c r="C203" s="7">
        <f t="shared" si="3"/>
        <v>19.695254537910998</v>
      </c>
      <c r="D203" s="9">
        <v>0</v>
      </c>
      <c r="E203" s="11">
        <v>3</v>
      </c>
      <c r="F203" s="11">
        <v>3.4</v>
      </c>
      <c r="G203" s="11">
        <v>5</v>
      </c>
    </row>
    <row r="204" spans="1:7" x14ac:dyDescent="0.3">
      <c r="A204" s="1">
        <v>45993.375011458331</v>
      </c>
      <c r="B204" s="5">
        <v>1.28</v>
      </c>
      <c r="C204" s="7">
        <f t="shared" si="3"/>
        <v>19.695254537910998</v>
      </c>
      <c r="D204" s="9">
        <v>0</v>
      </c>
      <c r="E204" s="11">
        <v>3</v>
      </c>
      <c r="F204" s="11">
        <v>3.4</v>
      </c>
      <c r="G204" s="11">
        <v>5</v>
      </c>
    </row>
    <row r="205" spans="1:7" x14ac:dyDescent="0.3">
      <c r="A205" s="1">
        <v>45993.416678182868</v>
      </c>
      <c r="B205" s="5">
        <v>1.26</v>
      </c>
      <c r="C205" s="7">
        <f t="shared" si="3"/>
        <v>19.083448646215508</v>
      </c>
      <c r="D205" s="9">
        <v>0</v>
      </c>
      <c r="E205" s="11">
        <v>3</v>
      </c>
      <c r="F205" s="11">
        <v>3.4</v>
      </c>
      <c r="G205" s="11">
        <v>5</v>
      </c>
    </row>
    <row r="206" spans="1:7" x14ac:dyDescent="0.3">
      <c r="A206" s="1">
        <v>45993.458344907405</v>
      </c>
      <c r="B206" s="5">
        <v>1.25</v>
      </c>
      <c r="C206" s="7">
        <f t="shared" si="3"/>
        <v>18.780866505536594</v>
      </c>
      <c r="D206" s="9">
        <v>0</v>
      </c>
      <c r="E206" s="11">
        <v>3</v>
      </c>
      <c r="F206" s="11">
        <v>3.4</v>
      </c>
      <c r="G206" s="11">
        <v>5</v>
      </c>
    </row>
    <row r="207" spans="1:7" x14ac:dyDescent="0.3">
      <c r="A207" s="1">
        <v>45993.500011631942</v>
      </c>
      <c r="B207" s="5">
        <v>1.24</v>
      </c>
      <c r="C207" s="7">
        <f t="shared" si="3"/>
        <v>18.480502165429399</v>
      </c>
      <c r="D207" s="9">
        <v>0</v>
      </c>
      <c r="E207" s="11">
        <v>3</v>
      </c>
      <c r="F207" s="11">
        <v>3.4</v>
      </c>
      <c r="G207" s="11">
        <v>5</v>
      </c>
    </row>
    <row r="208" spans="1:7" x14ac:dyDescent="0.3">
      <c r="A208" s="1">
        <v>45993.54167835648</v>
      </c>
      <c r="B208" s="5">
        <v>1.24</v>
      </c>
      <c r="C208" s="7">
        <f t="shared" si="3"/>
        <v>18.480502165429399</v>
      </c>
      <c r="D208" s="9">
        <v>0</v>
      </c>
      <c r="E208" s="11">
        <v>3</v>
      </c>
      <c r="F208" s="11">
        <v>3.4</v>
      </c>
      <c r="G208" s="11">
        <v>5</v>
      </c>
    </row>
    <row r="209" spans="1:7" x14ac:dyDescent="0.3">
      <c r="A209" s="1">
        <v>45993.583345081017</v>
      </c>
      <c r="B209" s="5">
        <v>1.24</v>
      </c>
      <c r="C209" s="7">
        <f t="shared" si="3"/>
        <v>18.480502165429399</v>
      </c>
      <c r="D209" s="9">
        <v>0</v>
      </c>
      <c r="E209" s="11">
        <v>3</v>
      </c>
      <c r="F209" s="11">
        <v>3.4</v>
      </c>
      <c r="G209" s="11">
        <v>5</v>
      </c>
    </row>
    <row r="210" spans="1:7" x14ac:dyDescent="0.3">
      <c r="A210" s="1">
        <v>45993.625011805554</v>
      </c>
      <c r="B210" s="5">
        <v>1.24</v>
      </c>
      <c r="C210" s="7">
        <f t="shared" si="3"/>
        <v>18.480502165429399</v>
      </c>
      <c r="D210" s="9">
        <v>0</v>
      </c>
      <c r="E210" s="11">
        <v>3</v>
      </c>
      <c r="F210" s="11">
        <v>3.4</v>
      </c>
      <c r="G210" s="11">
        <v>5</v>
      </c>
    </row>
    <row r="211" spans="1:7" x14ac:dyDescent="0.3">
      <c r="A211" s="1">
        <v>45993.666678530091</v>
      </c>
      <c r="B211" s="5">
        <v>1.22</v>
      </c>
      <c r="C211" s="7">
        <f t="shared" si="3"/>
        <v>17.886438857153347</v>
      </c>
      <c r="D211" s="9">
        <v>0</v>
      </c>
      <c r="E211" s="11">
        <v>3</v>
      </c>
      <c r="F211" s="11">
        <v>3.4</v>
      </c>
      <c r="G211" s="11">
        <v>5</v>
      </c>
    </row>
    <row r="212" spans="1:7" x14ac:dyDescent="0.3">
      <c r="A212" s="1">
        <v>45993.708345254629</v>
      </c>
      <c r="B212" s="5">
        <v>1.2</v>
      </c>
      <c r="C212" s="7">
        <f t="shared" si="3"/>
        <v>17.30128296905302</v>
      </c>
      <c r="D212" s="9">
        <v>0</v>
      </c>
      <c r="E212" s="11">
        <v>3</v>
      </c>
      <c r="F212" s="11">
        <v>3.4</v>
      </c>
      <c r="G212" s="11">
        <v>5</v>
      </c>
    </row>
    <row r="213" spans="1:7" x14ac:dyDescent="0.3">
      <c r="A213" s="1">
        <v>45993.750011979166</v>
      </c>
      <c r="B213" s="4">
        <v>1.2</v>
      </c>
      <c r="C213" s="7">
        <f t="shared" si="3"/>
        <v>17.30128296905302</v>
      </c>
      <c r="D213" s="9">
        <v>0</v>
      </c>
      <c r="E213" s="11">
        <v>3</v>
      </c>
      <c r="F213" s="11">
        <v>3.4</v>
      </c>
      <c r="G213" s="11">
        <v>5</v>
      </c>
    </row>
    <row r="214" spans="1:7" x14ac:dyDescent="0.3">
      <c r="A214" s="1">
        <v>45993.791678703703</v>
      </c>
      <c r="B214" s="4">
        <v>1.18</v>
      </c>
      <c r="C214" s="7">
        <f t="shared" si="3"/>
        <v>16.72505925375436</v>
      </c>
      <c r="D214" s="9">
        <v>0</v>
      </c>
      <c r="E214" s="11">
        <v>3</v>
      </c>
      <c r="F214" s="11">
        <v>3.4</v>
      </c>
      <c r="G214" s="11">
        <v>5</v>
      </c>
    </row>
    <row r="215" spans="1:7" x14ac:dyDescent="0.3">
      <c r="A215" s="1">
        <v>45993.83334542824</v>
      </c>
      <c r="B215" s="4">
        <v>1.1200000000000001</v>
      </c>
      <c r="C215" s="7">
        <f t="shared" si="3"/>
        <v>15.050236673494812</v>
      </c>
      <c r="D215" s="9">
        <v>0</v>
      </c>
      <c r="E215" s="11">
        <v>3</v>
      </c>
      <c r="F215" s="11">
        <v>3.4</v>
      </c>
      <c r="G215" s="11">
        <v>5</v>
      </c>
    </row>
    <row r="216" spans="1:7" x14ac:dyDescent="0.3">
      <c r="A216" s="1">
        <v>45993.875012152777</v>
      </c>
      <c r="B216" s="4">
        <v>1.0900000000000001</v>
      </c>
      <c r="C216" s="7">
        <f t="shared" si="3"/>
        <v>14.24327900826272</v>
      </c>
      <c r="D216" s="9">
        <v>0</v>
      </c>
      <c r="E216" s="11">
        <v>3</v>
      </c>
      <c r="F216" s="11">
        <v>3.4</v>
      </c>
      <c r="G216" s="11">
        <v>5</v>
      </c>
    </row>
    <row r="217" spans="1:7" x14ac:dyDescent="0.3">
      <c r="A217" s="1">
        <v>45993.916678877315</v>
      </c>
      <c r="B217" s="4">
        <v>1.08</v>
      </c>
      <c r="C217" s="7">
        <f t="shared" si="3"/>
        <v>13.978827579869165</v>
      </c>
      <c r="D217" s="9">
        <v>0</v>
      </c>
      <c r="E217" s="11">
        <v>3</v>
      </c>
      <c r="F217" s="11">
        <v>3.4</v>
      </c>
      <c r="G217" s="11">
        <v>5</v>
      </c>
    </row>
    <row r="218" spans="1:7" x14ac:dyDescent="0.3">
      <c r="A218" s="1">
        <v>45993.958345601852</v>
      </c>
      <c r="B218" s="4">
        <v>1.08</v>
      </c>
      <c r="C218" s="7">
        <f t="shared" si="3"/>
        <v>13.978827579869165</v>
      </c>
      <c r="D218" s="9">
        <v>0</v>
      </c>
      <c r="E218" s="11">
        <v>3</v>
      </c>
      <c r="F218" s="11">
        <v>3.4</v>
      </c>
      <c r="G218" s="11">
        <v>5</v>
      </c>
    </row>
    <row r="219" spans="1:7" x14ac:dyDescent="0.3">
      <c r="A219" s="1">
        <v>45994.000012326389</v>
      </c>
      <c r="B219" s="4">
        <v>1.08</v>
      </c>
      <c r="C219" s="7">
        <f t="shared" si="3"/>
        <v>13.978827579869165</v>
      </c>
      <c r="D219" s="9">
        <v>0</v>
      </c>
      <c r="E219" s="11">
        <v>3</v>
      </c>
      <c r="F219" s="11">
        <v>3.4</v>
      </c>
      <c r="G219" s="11">
        <v>5</v>
      </c>
    </row>
    <row r="220" spans="1:7" x14ac:dyDescent="0.3">
      <c r="A220" s="1">
        <v>45994.041679108799</v>
      </c>
      <c r="B220" s="4">
        <v>1.07</v>
      </c>
      <c r="C220" s="7">
        <f t="shared" si="3"/>
        <v>13.716649266048448</v>
      </c>
      <c r="D220" s="9">
        <v>0</v>
      </c>
      <c r="E220" s="11">
        <v>3</v>
      </c>
      <c r="F220" s="11">
        <v>3.4</v>
      </c>
      <c r="G220" s="11">
        <v>5</v>
      </c>
    </row>
    <row r="221" spans="1:7" x14ac:dyDescent="0.3">
      <c r="A221" s="1">
        <v>45994.083345891202</v>
      </c>
      <c r="B221" s="4">
        <v>1.07</v>
      </c>
      <c r="C221" s="7">
        <f t="shared" si="3"/>
        <v>13.716649266048448</v>
      </c>
      <c r="D221" s="9">
        <v>0</v>
      </c>
      <c r="E221" s="11">
        <v>3</v>
      </c>
      <c r="F221" s="11">
        <v>3.4</v>
      </c>
      <c r="G221" s="11">
        <v>5</v>
      </c>
    </row>
    <row r="222" spans="1:7" x14ac:dyDescent="0.3">
      <c r="A222" s="1">
        <v>45994.125012673612</v>
      </c>
      <c r="B222" s="4">
        <v>1.07</v>
      </c>
      <c r="C222" s="7">
        <f t="shared" si="3"/>
        <v>13.716649266048448</v>
      </c>
      <c r="D222" s="9">
        <v>0</v>
      </c>
      <c r="E222" s="11">
        <v>3</v>
      </c>
      <c r="F222" s="11">
        <v>3.4</v>
      </c>
      <c r="G222" s="11">
        <v>5</v>
      </c>
    </row>
    <row r="223" spans="1:7" x14ac:dyDescent="0.3">
      <c r="A223" s="1">
        <v>45994.166679456015</v>
      </c>
      <c r="B223" s="4">
        <v>1.08</v>
      </c>
      <c r="C223" s="7">
        <f t="shared" si="3"/>
        <v>13.978827579869165</v>
      </c>
      <c r="D223" s="9">
        <v>0</v>
      </c>
      <c r="E223" s="11">
        <v>3</v>
      </c>
      <c r="F223" s="11">
        <v>3.4</v>
      </c>
      <c r="G223" s="11">
        <v>5</v>
      </c>
    </row>
    <row r="224" spans="1:7" x14ac:dyDescent="0.3">
      <c r="A224" s="1">
        <v>45994.208346238425</v>
      </c>
      <c r="B224" s="4">
        <v>1.08</v>
      </c>
      <c r="C224" s="7">
        <f t="shared" si="3"/>
        <v>13.978827579869165</v>
      </c>
      <c r="D224" s="9">
        <v>0</v>
      </c>
      <c r="E224" s="11">
        <v>3</v>
      </c>
      <c r="F224" s="11">
        <v>3.4</v>
      </c>
      <c r="G224" s="11">
        <v>5</v>
      </c>
    </row>
    <row r="225" spans="1:7" x14ac:dyDescent="0.3">
      <c r="A225" s="1">
        <v>45994.250013020835</v>
      </c>
      <c r="B225" s="4">
        <v>1.1299999999999999</v>
      </c>
      <c r="C225" s="7">
        <f t="shared" si="3"/>
        <v>15.323745455082468</v>
      </c>
      <c r="D225" s="9">
        <v>0</v>
      </c>
      <c r="E225" s="11">
        <v>3</v>
      </c>
      <c r="F225" s="11">
        <v>3.4</v>
      </c>
      <c r="G225" s="11">
        <v>5</v>
      </c>
    </row>
    <row r="226" spans="1:7" x14ac:dyDescent="0.3">
      <c r="A226" s="1">
        <v>45994.291679803238</v>
      </c>
      <c r="B226" s="4">
        <v>1.1599999999999999</v>
      </c>
      <c r="C226" s="7">
        <f t="shared" si="3"/>
        <v>16.157792988834309</v>
      </c>
      <c r="D226" s="9">
        <v>0</v>
      </c>
      <c r="E226" s="11">
        <v>3</v>
      </c>
      <c r="F226" s="11">
        <v>3.4</v>
      </c>
      <c r="G226" s="11">
        <v>5</v>
      </c>
    </row>
    <row r="227" spans="1:7" x14ac:dyDescent="0.3">
      <c r="A227" s="1">
        <v>45994.333346585649</v>
      </c>
      <c r="B227" s="4">
        <v>1.18</v>
      </c>
      <c r="C227" s="7">
        <f t="shared" si="3"/>
        <v>16.72505925375436</v>
      </c>
      <c r="D227" s="9">
        <v>0</v>
      </c>
      <c r="E227" s="11">
        <v>3</v>
      </c>
      <c r="F227" s="11">
        <v>3.4</v>
      </c>
      <c r="G227" s="11">
        <v>5</v>
      </c>
    </row>
    <row r="228" spans="1:7" x14ac:dyDescent="0.3">
      <c r="A228" s="1">
        <v>45994.375013368059</v>
      </c>
      <c r="B228" s="4">
        <v>1.18</v>
      </c>
      <c r="C228" s="7">
        <f t="shared" si="3"/>
        <v>16.72505925375436</v>
      </c>
      <c r="D228" s="9">
        <v>0</v>
      </c>
      <c r="E228" s="11">
        <v>3</v>
      </c>
      <c r="F228" s="11">
        <v>3.4</v>
      </c>
      <c r="G228" s="11">
        <v>5</v>
      </c>
    </row>
    <row r="229" spans="1:7" x14ac:dyDescent="0.3">
      <c r="A229" s="1">
        <v>45994.416680150462</v>
      </c>
      <c r="B229" s="4">
        <v>1.1599999999999999</v>
      </c>
      <c r="C229" s="7">
        <f t="shared" si="3"/>
        <v>16.157792988834309</v>
      </c>
      <c r="D229" s="9">
        <v>0</v>
      </c>
      <c r="E229" s="11">
        <v>3</v>
      </c>
      <c r="F229" s="11">
        <v>3.4</v>
      </c>
      <c r="G229" s="11">
        <v>5</v>
      </c>
    </row>
    <row r="230" spans="1:7" x14ac:dyDescent="0.3">
      <c r="A230" s="1">
        <v>45994.458346932872</v>
      </c>
      <c r="B230" s="4">
        <v>1.1599999999999999</v>
      </c>
      <c r="C230" s="7">
        <f t="shared" si="3"/>
        <v>16.157792988834309</v>
      </c>
      <c r="D230" s="9">
        <v>0</v>
      </c>
      <c r="E230" s="11">
        <v>3</v>
      </c>
      <c r="F230" s="11">
        <v>3.4</v>
      </c>
      <c r="G230" s="11">
        <v>5</v>
      </c>
    </row>
    <row r="231" spans="1:7" x14ac:dyDescent="0.3">
      <c r="A231" s="1">
        <v>45994.500013715275</v>
      </c>
      <c r="B231" s="4">
        <v>1.1499999999999999</v>
      </c>
      <c r="C231" s="7">
        <f t="shared" si="3"/>
        <v>15.877526948234776</v>
      </c>
      <c r="D231" s="9">
        <v>0</v>
      </c>
      <c r="E231" s="11">
        <v>3</v>
      </c>
      <c r="F231" s="11">
        <v>3.4</v>
      </c>
      <c r="G231" s="11">
        <v>5</v>
      </c>
    </row>
    <row r="232" spans="1:7" x14ac:dyDescent="0.3">
      <c r="A232" s="1">
        <v>45994.541680497685</v>
      </c>
      <c r="B232" s="4">
        <v>1.1399999999999999</v>
      </c>
      <c r="C232" s="7">
        <f t="shared" si="3"/>
        <v>15.599509997992106</v>
      </c>
      <c r="D232" s="9">
        <v>0</v>
      </c>
      <c r="E232" s="11">
        <v>3</v>
      </c>
      <c r="F232" s="11">
        <v>3.4</v>
      </c>
      <c r="G232" s="11">
        <v>5</v>
      </c>
    </row>
    <row r="233" spans="1:7" x14ac:dyDescent="0.3">
      <c r="A233" s="1">
        <v>45994.583347280095</v>
      </c>
      <c r="B233" s="4">
        <v>1.1200000000000001</v>
      </c>
      <c r="C233" s="7">
        <f t="shared" si="3"/>
        <v>15.050236673494812</v>
      </c>
      <c r="D233" s="9">
        <v>0</v>
      </c>
      <c r="E233" s="11">
        <v>3</v>
      </c>
      <c r="F233" s="11">
        <v>3.4</v>
      </c>
      <c r="G233" s="11">
        <v>5</v>
      </c>
    </row>
    <row r="234" spans="1:7" x14ac:dyDescent="0.3">
      <c r="A234" s="1">
        <v>45994.625014062498</v>
      </c>
      <c r="B234" s="4">
        <v>1.1000000000000001</v>
      </c>
      <c r="C234" s="7">
        <f t="shared" si="3"/>
        <v>14.51</v>
      </c>
      <c r="D234" s="9">
        <v>0</v>
      </c>
      <c r="E234" s="11">
        <v>3</v>
      </c>
      <c r="F234" s="11">
        <v>3.4</v>
      </c>
      <c r="G234" s="11">
        <v>5</v>
      </c>
    </row>
    <row r="235" spans="1:7" x14ac:dyDescent="0.3">
      <c r="A235" s="1">
        <v>45994.666680844908</v>
      </c>
      <c r="B235" s="4">
        <v>1.05</v>
      </c>
      <c r="C235" s="7">
        <f t="shared" si="3"/>
        <v>13.199126398319068</v>
      </c>
      <c r="D235" s="9">
        <v>0</v>
      </c>
      <c r="E235" s="11">
        <v>3</v>
      </c>
      <c r="F235" s="11">
        <v>3.4</v>
      </c>
      <c r="G235" s="11">
        <v>5</v>
      </c>
    </row>
    <row r="236" spans="1:7" x14ac:dyDescent="0.3">
      <c r="A236" s="1">
        <v>45994.708347627318</v>
      </c>
      <c r="B236" s="4">
        <v>1</v>
      </c>
      <c r="C236" s="7">
        <f t="shared" si="3"/>
        <v>11.945355658280643</v>
      </c>
      <c r="D236" s="9">
        <v>0</v>
      </c>
      <c r="E236" s="11">
        <v>3</v>
      </c>
      <c r="F236" s="11">
        <v>3.4</v>
      </c>
      <c r="G236" s="11">
        <v>5</v>
      </c>
    </row>
    <row r="237" spans="1:7" x14ac:dyDescent="0.3">
      <c r="A237" s="1">
        <v>45994.750014409721</v>
      </c>
      <c r="B237" s="4">
        <v>1</v>
      </c>
      <c r="C237" s="7">
        <f t="shared" si="3"/>
        <v>11.945355658280643</v>
      </c>
      <c r="D237" s="9">
        <v>0</v>
      </c>
      <c r="E237" s="11">
        <v>3</v>
      </c>
      <c r="F237" s="11">
        <v>3.4</v>
      </c>
      <c r="G237" s="11">
        <v>5</v>
      </c>
    </row>
    <row r="238" spans="1:7" x14ac:dyDescent="0.3">
      <c r="A238" s="1">
        <v>45994.791681192131</v>
      </c>
      <c r="B238" s="4">
        <v>1</v>
      </c>
      <c r="C238" s="7">
        <f t="shared" si="3"/>
        <v>11.945355658280643</v>
      </c>
      <c r="D238" s="9">
        <v>0</v>
      </c>
      <c r="E238" s="11">
        <v>3</v>
      </c>
      <c r="F238" s="11">
        <v>3.4</v>
      </c>
      <c r="G238" s="11">
        <v>5</v>
      </c>
    </row>
    <row r="239" spans="1:7" x14ac:dyDescent="0.3">
      <c r="A239" s="1">
        <v>45994.833347974534</v>
      </c>
      <c r="B239" s="4">
        <v>1</v>
      </c>
      <c r="C239" s="7">
        <f t="shared" si="3"/>
        <v>11.945355658280643</v>
      </c>
      <c r="D239" s="9">
        <v>0</v>
      </c>
      <c r="E239" s="11">
        <v>3</v>
      </c>
      <c r="F239" s="11">
        <v>3.4</v>
      </c>
      <c r="G239" s="11">
        <v>5</v>
      </c>
    </row>
    <row r="240" spans="1:7" x14ac:dyDescent="0.3">
      <c r="A240" s="1">
        <v>45994.875014756944</v>
      </c>
      <c r="B240" s="4">
        <v>1</v>
      </c>
      <c r="C240" s="7">
        <f t="shared" si="3"/>
        <v>11.945355658280643</v>
      </c>
      <c r="D240" s="9">
        <v>0</v>
      </c>
      <c r="E240" s="11">
        <v>3</v>
      </c>
      <c r="F240" s="11">
        <v>3.4</v>
      </c>
      <c r="G240" s="11">
        <v>5</v>
      </c>
    </row>
    <row r="241" spans="1:7" x14ac:dyDescent="0.3">
      <c r="A241" s="1">
        <v>45994.916681539355</v>
      </c>
      <c r="B241" s="4">
        <v>1</v>
      </c>
      <c r="C241" s="7">
        <f t="shared" si="3"/>
        <v>11.945355658280643</v>
      </c>
      <c r="D241" s="9">
        <v>0</v>
      </c>
      <c r="E241" s="11">
        <v>3</v>
      </c>
      <c r="F241" s="11">
        <v>3.4</v>
      </c>
      <c r="G241" s="11">
        <v>5</v>
      </c>
    </row>
    <row r="242" spans="1:7" x14ac:dyDescent="0.3">
      <c r="A242" s="1">
        <v>45994.958348321758</v>
      </c>
      <c r="B242" s="4">
        <v>1</v>
      </c>
      <c r="C242" s="7">
        <f t="shared" si="3"/>
        <v>11.945355658280643</v>
      </c>
      <c r="D242" s="9">
        <v>0</v>
      </c>
      <c r="E242" s="11">
        <v>3</v>
      </c>
      <c r="F242" s="11">
        <v>3.4</v>
      </c>
      <c r="G242" s="11">
        <v>5</v>
      </c>
    </row>
    <row r="243" spans="1:7" x14ac:dyDescent="0.3">
      <c r="A243" s="1">
        <v>45995.000015104168</v>
      </c>
      <c r="B243" s="4">
        <v>1</v>
      </c>
      <c r="C243" s="7">
        <f t="shared" si="3"/>
        <v>11.945355658280643</v>
      </c>
      <c r="D243" s="9">
        <v>0</v>
      </c>
      <c r="E243" s="11">
        <v>3</v>
      </c>
      <c r="F243" s="11">
        <v>3.4</v>
      </c>
      <c r="G243" s="11">
        <v>5</v>
      </c>
    </row>
    <row r="244" spans="1:7" x14ac:dyDescent="0.3">
      <c r="A244" s="1">
        <v>45995.041681886571</v>
      </c>
      <c r="B244" s="4">
        <v>0.99</v>
      </c>
      <c r="C244" s="7">
        <f t="shared" si="3"/>
        <v>11.701495358873233</v>
      </c>
      <c r="D244" s="9">
        <v>0</v>
      </c>
      <c r="E244" s="11">
        <v>3</v>
      </c>
      <c r="F244" s="11">
        <v>3.4</v>
      </c>
      <c r="G244" s="11">
        <v>5</v>
      </c>
    </row>
    <row r="245" spans="1:7" x14ac:dyDescent="0.3">
      <c r="A245" s="1">
        <v>45995.083348668981</v>
      </c>
      <c r="B245" s="4">
        <v>0.99</v>
      </c>
      <c r="C245" s="7">
        <f t="shared" si="3"/>
        <v>11.701495358873233</v>
      </c>
      <c r="D245" s="9">
        <v>0</v>
      </c>
      <c r="E245" s="11">
        <v>3</v>
      </c>
      <c r="F245" s="11">
        <v>3.4</v>
      </c>
      <c r="G245" s="11">
        <v>5</v>
      </c>
    </row>
    <row r="246" spans="1:7" x14ac:dyDescent="0.3">
      <c r="A246" s="1">
        <v>45995.125015451391</v>
      </c>
      <c r="B246" s="4">
        <v>0.98</v>
      </c>
      <c r="C246" s="7">
        <f t="shared" si="3"/>
        <v>11.459942147799874</v>
      </c>
      <c r="D246" s="9">
        <v>0</v>
      </c>
      <c r="E246" s="11">
        <v>3</v>
      </c>
      <c r="F246" s="11">
        <v>3.4</v>
      </c>
      <c r="G246" s="11">
        <v>5</v>
      </c>
    </row>
    <row r="247" spans="1:7" x14ac:dyDescent="0.3">
      <c r="A247" s="1">
        <v>45995.166682233794</v>
      </c>
      <c r="B247" s="4">
        <v>1</v>
      </c>
      <c r="C247" s="7">
        <f t="shared" si="3"/>
        <v>11.945355658280643</v>
      </c>
      <c r="D247" s="9">
        <v>0</v>
      </c>
      <c r="E247" s="11">
        <v>3</v>
      </c>
      <c r="F247" s="11">
        <v>3.4</v>
      </c>
      <c r="G247" s="11">
        <v>5</v>
      </c>
    </row>
    <row r="248" spans="1:7" x14ac:dyDescent="0.3">
      <c r="A248" s="1">
        <v>45995.208349016204</v>
      </c>
      <c r="B248" s="4">
        <v>1</v>
      </c>
      <c r="C248" s="7">
        <f t="shared" si="3"/>
        <v>11.945355658280643</v>
      </c>
      <c r="D248" s="9">
        <v>0</v>
      </c>
      <c r="E248" s="11">
        <v>3</v>
      </c>
      <c r="F248" s="11">
        <v>3.4</v>
      </c>
      <c r="G248" s="11">
        <v>5</v>
      </c>
    </row>
    <row r="249" spans="1:7" x14ac:dyDescent="0.3">
      <c r="A249" s="1">
        <v>45995.250015798614</v>
      </c>
      <c r="B249" s="4">
        <v>1</v>
      </c>
      <c r="C249" s="7">
        <f t="shared" si="3"/>
        <v>11.945355658280643</v>
      </c>
      <c r="D249" s="9">
        <v>0</v>
      </c>
      <c r="E249" s="11">
        <v>3</v>
      </c>
      <c r="F249" s="11">
        <v>3.4</v>
      </c>
      <c r="G249" s="11">
        <v>5</v>
      </c>
    </row>
    <row r="250" spans="1:7" x14ac:dyDescent="0.3">
      <c r="A250" s="1">
        <v>45995.291682581017</v>
      </c>
      <c r="B250" s="4">
        <v>1</v>
      </c>
      <c r="C250" s="7">
        <f t="shared" si="3"/>
        <v>11.945355658280643</v>
      </c>
      <c r="D250" s="9">
        <v>0</v>
      </c>
      <c r="E250" s="11">
        <v>3</v>
      </c>
      <c r="F250" s="11">
        <v>3.4</v>
      </c>
      <c r="G250" s="11">
        <v>5</v>
      </c>
    </row>
    <row r="251" spans="1:7" x14ac:dyDescent="0.3">
      <c r="A251" s="1">
        <v>45995.333349363427</v>
      </c>
      <c r="B251" s="4">
        <v>1</v>
      </c>
      <c r="C251" s="7">
        <f t="shared" si="3"/>
        <v>11.945355658280643</v>
      </c>
      <c r="D251" s="9">
        <v>0</v>
      </c>
      <c r="E251" s="11">
        <v>3</v>
      </c>
      <c r="F251" s="11">
        <v>3.4</v>
      </c>
      <c r="G251" s="11">
        <v>5</v>
      </c>
    </row>
    <row r="252" spans="1:7" x14ac:dyDescent="0.3">
      <c r="A252" s="1">
        <v>45995.37501614583</v>
      </c>
      <c r="B252" s="4">
        <v>1</v>
      </c>
      <c r="C252" s="7">
        <f t="shared" si="3"/>
        <v>11.945355658280643</v>
      </c>
      <c r="D252" s="9">
        <v>0</v>
      </c>
      <c r="E252" s="11">
        <v>3</v>
      </c>
      <c r="F252" s="11">
        <v>3.4</v>
      </c>
      <c r="G252" s="11">
        <v>5</v>
      </c>
    </row>
    <row r="253" spans="1:7" x14ac:dyDescent="0.3">
      <c r="A253" s="1">
        <v>45995.41668292824</v>
      </c>
      <c r="B253" s="4">
        <v>1</v>
      </c>
      <c r="C253" s="7">
        <f t="shared" si="3"/>
        <v>11.945355658280643</v>
      </c>
      <c r="D253" s="9">
        <v>0</v>
      </c>
      <c r="E253" s="11">
        <v>3</v>
      </c>
      <c r="F253" s="11">
        <v>3.4</v>
      </c>
      <c r="G253" s="11">
        <v>5</v>
      </c>
    </row>
    <row r="254" spans="1:7" x14ac:dyDescent="0.3">
      <c r="A254" s="1">
        <v>45995.458349710651</v>
      </c>
      <c r="B254" s="4">
        <v>1</v>
      </c>
      <c r="C254" s="7">
        <f t="shared" si="3"/>
        <v>11.945355658280643</v>
      </c>
      <c r="D254" s="9">
        <v>0</v>
      </c>
      <c r="E254" s="11">
        <v>3</v>
      </c>
      <c r="F254" s="11">
        <v>3.4</v>
      </c>
      <c r="G254" s="11">
        <v>5</v>
      </c>
    </row>
    <row r="255" spans="1:7" x14ac:dyDescent="0.3">
      <c r="A255" s="1">
        <v>45995.500016493053</v>
      </c>
      <c r="B255" s="4">
        <v>1</v>
      </c>
      <c r="C255" s="7">
        <f t="shared" si="3"/>
        <v>11.945355658280643</v>
      </c>
      <c r="D255" s="9">
        <v>0</v>
      </c>
      <c r="E255" s="11">
        <v>3</v>
      </c>
      <c r="F255" s="11">
        <v>3.4</v>
      </c>
      <c r="G255" s="11">
        <v>5</v>
      </c>
    </row>
    <row r="256" spans="1:7" x14ac:dyDescent="0.3">
      <c r="A256" s="1">
        <v>45995.541683275464</v>
      </c>
      <c r="B256" s="4">
        <v>1</v>
      </c>
      <c r="C256" s="7">
        <f t="shared" si="3"/>
        <v>11.945355658280643</v>
      </c>
      <c r="D256" s="9">
        <v>0</v>
      </c>
      <c r="E256" s="11">
        <v>3</v>
      </c>
      <c r="F256" s="11">
        <v>3.4</v>
      </c>
      <c r="G256" s="11">
        <v>5</v>
      </c>
    </row>
    <row r="257" spans="1:7" x14ac:dyDescent="0.3">
      <c r="A257" s="1">
        <v>45995.583350057874</v>
      </c>
      <c r="B257" s="4">
        <v>1</v>
      </c>
      <c r="C257" s="7">
        <f t="shared" si="3"/>
        <v>11.945355658280643</v>
      </c>
      <c r="D257" s="9">
        <v>0</v>
      </c>
      <c r="E257" s="11">
        <v>3</v>
      </c>
      <c r="F257" s="11">
        <v>3.4</v>
      </c>
      <c r="G257" s="11">
        <v>5</v>
      </c>
    </row>
    <row r="258" spans="1:7" x14ac:dyDescent="0.3">
      <c r="A258" s="1">
        <v>45995.625016840277</v>
      </c>
      <c r="B258" s="4">
        <v>0.99</v>
      </c>
      <c r="C258" s="7">
        <f t="shared" si="3"/>
        <v>11.701495358873233</v>
      </c>
      <c r="D258" s="9">
        <v>0</v>
      </c>
      <c r="E258" s="11">
        <v>3</v>
      </c>
      <c r="F258" s="11">
        <v>3.4</v>
      </c>
      <c r="G258" s="11">
        <v>5</v>
      </c>
    </row>
    <row r="259" spans="1:7" x14ac:dyDescent="0.3">
      <c r="A259" s="1">
        <v>45995.666683622687</v>
      </c>
      <c r="B259" s="4">
        <v>0.99</v>
      </c>
      <c r="C259" s="7">
        <f t="shared" si="3"/>
        <v>11.701495358873233</v>
      </c>
      <c r="D259" s="9">
        <v>0</v>
      </c>
      <c r="E259" s="11">
        <v>3</v>
      </c>
      <c r="F259" s="11">
        <v>3.4</v>
      </c>
      <c r="G259" s="11">
        <v>5</v>
      </c>
    </row>
    <row r="260" spans="1:7" x14ac:dyDescent="0.3">
      <c r="A260" s="1">
        <v>45995.70835040509</v>
      </c>
      <c r="B260" s="4">
        <v>1</v>
      </c>
      <c r="C260" s="7">
        <f t="shared" si="3"/>
        <v>11.945355658280643</v>
      </c>
      <c r="D260" s="9">
        <v>0</v>
      </c>
      <c r="E260" s="11">
        <v>3</v>
      </c>
      <c r="F260" s="11">
        <v>3.4</v>
      </c>
      <c r="G260" s="11">
        <v>5</v>
      </c>
    </row>
    <row r="261" spans="1:7" x14ac:dyDescent="0.3">
      <c r="A261" s="1">
        <v>45995.7500171875</v>
      </c>
      <c r="B261" s="4">
        <v>1</v>
      </c>
      <c r="C261" s="7">
        <f t="shared" ref="C261:C267" si="4">IF(B261="","",IF((B261)&gt;2,8.9271*((B261)^2)+9.2434*(B261)-1.6791,14.51*(((B261)-0.1)^1.846)))</f>
        <v>11.945355658280643</v>
      </c>
      <c r="D261" s="9">
        <v>0</v>
      </c>
      <c r="E261" s="11">
        <v>3</v>
      </c>
      <c r="F261" s="11">
        <v>3.4</v>
      </c>
      <c r="G261" s="11">
        <v>5</v>
      </c>
    </row>
    <row r="262" spans="1:7" x14ac:dyDescent="0.3">
      <c r="A262" s="1">
        <v>45995.79168396991</v>
      </c>
      <c r="B262" s="4">
        <v>1</v>
      </c>
      <c r="C262" s="7">
        <f t="shared" si="4"/>
        <v>11.945355658280643</v>
      </c>
      <c r="D262" s="9">
        <v>0</v>
      </c>
      <c r="E262" s="11">
        <v>3</v>
      </c>
      <c r="F262" s="11">
        <v>3.4</v>
      </c>
      <c r="G262" s="11">
        <v>5</v>
      </c>
    </row>
    <row r="263" spans="1:7" x14ac:dyDescent="0.3">
      <c r="A263" s="1">
        <v>45995.833350752313</v>
      </c>
      <c r="B263" s="4">
        <v>1</v>
      </c>
      <c r="C263" s="7">
        <f t="shared" si="4"/>
        <v>11.945355658280643</v>
      </c>
      <c r="D263" s="9">
        <v>0</v>
      </c>
      <c r="E263" s="11">
        <v>3</v>
      </c>
      <c r="F263" s="11">
        <v>3.4</v>
      </c>
      <c r="G263" s="11">
        <v>5</v>
      </c>
    </row>
    <row r="264" spans="1:7" x14ac:dyDescent="0.3">
      <c r="A264" s="1">
        <v>45995.875017534723</v>
      </c>
      <c r="B264" s="4">
        <v>1</v>
      </c>
      <c r="C264" s="7">
        <f t="shared" si="4"/>
        <v>11.945355658280643</v>
      </c>
      <c r="D264" s="9">
        <v>0</v>
      </c>
      <c r="E264" s="11">
        <v>3</v>
      </c>
      <c r="F264" s="11">
        <v>3.4</v>
      </c>
      <c r="G264" s="11">
        <v>5</v>
      </c>
    </row>
    <row r="265" spans="1:7" x14ac:dyDescent="0.3">
      <c r="A265" s="1">
        <v>45995.916684317126</v>
      </c>
      <c r="B265" s="4">
        <v>1</v>
      </c>
      <c r="C265" s="7">
        <f t="shared" si="4"/>
        <v>11.945355658280643</v>
      </c>
      <c r="D265" s="9">
        <v>0</v>
      </c>
      <c r="E265" s="11">
        <v>3</v>
      </c>
      <c r="F265" s="11">
        <v>3.4</v>
      </c>
      <c r="G265" s="11">
        <v>5</v>
      </c>
    </row>
    <row r="266" spans="1:7" x14ac:dyDescent="0.3">
      <c r="A266" s="1">
        <v>45995.958351099536</v>
      </c>
      <c r="B266" s="4">
        <v>1</v>
      </c>
      <c r="C266" s="7">
        <f t="shared" si="4"/>
        <v>11.945355658280643</v>
      </c>
      <c r="D266" s="9">
        <v>0</v>
      </c>
      <c r="E266" s="11">
        <v>3</v>
      </c>
      <c r="F266" s="11">
        <v>3.4</v>
      </c>
      <c r="G266" s="11">
        <v>5</v>
      </c>
    </row>
    <row r="267" spans="1:7" x14ac:dyDescent="0.3">
      <c r="A267" s="1">
        <v>45996.000017881946</v>
      </c>
      <c r="B267" s="4">
        <v>1</v>
      </c>
      <c r="C267" s="7">
        <f t="shared" si="4"/>
        <v>11.945355658280643</v>
      </c>
      <c r="D267" s="9">
        <v>0</v>
      </c>
      <c r="E267" s="11">
        <v>3</v>
      </c>
      <c r="F267" s="11">
        <v>3.4</v>
      </c>
      <c r="G267" s="11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3E87-6AF9-46AE-A158-C26C0659C6BA}">
  <dimension ref="A1:Q267"/>
  <sheetViews>
    <sheetView topLeftCell="A99" workbookViewId="0">
      <selection activeCell="B112" sqref="B112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5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0.86</v>
      </c>
      <c r="C4" s="7">
        <f>IF(B4="","",28.62*(B4)^1.3838)</f>
        <v>23.228896892293509</v>
      </c>
      <c r="D4" s="9">
        <v>0</v>
      </c>
      <c r="E4" s="11">
        <v>4.8</v>
      </c>
      <c r="F4" s="11">
        <v>5.8</v>
      </c>
      <c r="G4" s="11">
        <v>6.4</v>
      </c>
      <c r="I4" s="23">
        <v>10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0.86</v>
      </c>
      <c r="C5" s="7">
        <f t="shared" ref="C5:C68" si="0">IF(B5="","",28.62*(B5)^1.3838)</f>
        <v>23.228896892293509</v>
      </c>
      <c r="D5" s="9">
        <v>0</v>
      </c>
      <c r="E5" s="11">
        <v>4.8</v>
      </c>
      <c r="F5" s="11">
        <v>5.8</v>
      </c>
      <c r="G5" s="11">
        <v>6.4</v>
      </c>
      <c r="K5" s="1"/>
      <c r="Q5" s="25"/>
    </row>
    <row r="6" spans="1:17" x14ac:dyDescent="0.3">
      <c r="A6" s="1">
        <v>45985.125000057873</v>
      </c>
      <c r="B6" s="5">
        <v>0.84</v>
      </c>
      <c r="C6" s="7">
        <f t="shared" si="0"/>
        <v>22.484710772239122</v>
      </c>
      <c r="D6" s="9">
        <v>0</v>
      </c>
      <c r="E6" s="11">
        <v>4.8</v>
      </c>
      <c r="F6" s="11">
        <v>5.8</v>
      </c>
      <c r="G6" s="11">
        <v>6.4</v>
      </c>
      <c r="K6" s="1"/>
      <c r="M6" s="1"/>
    </row>
    <row r="7" spans="1:17" x14ac:dyDescent="0.3">
      <c r="A7" s="1">
        <v>45985.16666678241</v>
      </c>
      <c r="B7" s="5">
        <v>0.83</v>
      </c>
      <c r="C7" s="7">
        <f t="shared" si="0"/>
        <v>22.115150216794209</v>
      </c>
      <c r="D7" s="9">
        <v>0</v>
      </c>
      <c r="E7" s="11">
        <v>4.8</v>
      </c>
      <c r="F7" s="11">
        <v>5.8</v>
      </c>
      <c r="G7" s="11">
        <v>6.4</v>
      </c>
    </row>
    <row r="8" spans="1:17" x14ac:dyDescent="0.3">
      <c r="A8" s="1">
        <v>45985.208333506947</v>
      </c>
      <c r="B8" s="5">
        <v>0.79</v>
      </c>
      <c r="C8" s="7">
        <f t="shared" si="0"/>
        <v>20.654086824489443</v>
      </c>
      <c r="D8" s="9">
        <v>0</v>
      </c>
      <c r="E8" s="11">
        <v>4.8</v>
      </c>
      <c r="F8" s="11">
        <v>5.8</v>
      </c>
      <c r="G8" s="11">
        <v>6.4</v>
      </c>
    </row>
    <row r="9" spans="1:17" x14ac:dyDescent="0.3">
      <c r="A9" s="1">
        <v>45985.250000231485</v>
      </c>
      <c r="B9" s="5">
        <v>0.76</v>
      </c>
      <c r="C9" s="7">
        <f t="shared" si="0"/>
        <v>19.576699676476153</v>
      </c>
      <c r="D9" s="9">
        <v>0</v>
      </c>
      <c r="E9" s="11">
        <v>4.8</v>
      </c>
      <c r="F9" s="11">
        <v>5.8</v>
      </c>
      <c r="G9" s="11">
        <v>6.4</v>
      </c>
    </row>
    <row r="10" spans="1:17" x14ac:dyDescent="0.3">
      <c r="A10" s="1">
        <v>45985.291666956022</v>
      </c>
      <c r="B10" s="5">
        <v>0.73</v>
      </c>
      <c r="C10" s="7">
        <f t="shared" si="0"/>
        <v>18.515515299127134</v>
      </c>
      <c r="D10" s="9">
        <v>0</v>
      </c>
      <c r="E10" s="11">
        <v>4.8</v>
      </c>
      <c r="F10" s="11">
        <v>5.8</v>
      </c>
      <c r="G10" s="11">
        <v>6.4</v>
      </c>
    </row>
    <row r="11" spans="1:17" x14ac:dyDescent="0.3">
      <c r="A11" s="1">
        <v>45985.333333680559</v>
      </c>
      <c r="B11" s="5">
        <v>0.73</v>
      </c>
      <c r="C11" s="7">
        <f t="shared" si="0"/>
        <v>18.515515299127134</v>
      </c>
      <c r="D11" s="9">
        <v>0</v>
      </c>
      <c r="E11" s="11">
        <v>4.8</v>
      </c>
      <c r="F11" s="11">
        <v>5.8</v>
      </c>
      <c r="G11" s="11">
        <v>6.4</v>
      </c>
    </row>
    <row r="12" spans="1:17" x14ac:dyDescent="0.3">
      <c r="A12" s="1">
        <v>45985.375000405096</v>
      </c>
      <c r="B12" s="5">
        <v>0.75</v>
      </c>
      <c r="C12" s="7">
        <f t="shared" si="0"/>
        <v>19.221151672443352</v>
      </c>
      <c r="D12" s="9">
        <v>0</v>
      </c>
      <c r="E12" s="11">
        <v>4.8</v>
      </c>
      <c r="F12" s="11">
        <v>5.8</v>
      </c>
      <c r="G12" s="11">
        <v>6.4</v>
      </c>
    </row>
    <row r="13" spans="1:17" x14ac:dyDescent="0.3">
      <c r="A13" s="1">
        <v>45985.416667129626</v>
      </c>
      <c r="B13" s="5">
        <v>0.75</v>
      </c>
      <c r="C13" s="7">
        <f t="shared" si="0"/>
        <v>19.221151672443352</v>
      </c>
      <c r="D13" s="9">
        <v>0</v>
      </c>
      <c r="E13" s="11">
        <v>4.8</v>
      </c>
      <c r="F13" s="11">
        <v>5.8</v>
      </c>
      <c r="G13" s="11">
        <v>6.4</v>
      </c>
    </row>
    <row r="14" spans="1:17" x14ac:dyDescent="0.3">
      <c r="A14" s="1">
        <v>45985.458333854163</v>
      </c>
      <c r="B14" s="5">
        <v>0.75</v>
      </c>
      <c r="C14" s="7">
        <f t="shared" si="0"/>
        <v>19.221151672443352</v>
      </c>
      <c r="D14" s="9">
        <v>0</v>
      </c>
      <c r="E14" s="11">
        <v>4.8</v>
      </c>
      <c r="F14" s="11">
        <v>5.8</v>
      </c>
      <c r="G14" s="11">
        <v>6.4</v>
      </c>
    </row>
    <row r="15" spans="1:17" x14ac:dyDescent="0.3">
      <c r="A15" s="1">
        <v>45985.500000578701</v>
      </c>
      <c r="B15" s="5">
        <v>0.73</v>
      </c>
      <c r="C15" s="7">
        <f t="shared" si="0"/>
        <v>18.515515299127134</v>
      </c>
      <c r="D15" s="9">
        <v>0</v>
      </c>
      <c r="E15" s="11">
        <v>4.8</v>
      </c>
      <c r="F15" s="11">
        <v>5.8</v>
      </c>
      <c r="G15" s="11">
        <v>6.4</v>
      </c>
    </row>
    <row r="16" spans="1:17" x14ac:dyDescent="0.3">
      <c r="A16" s="1">
        <v>45985.541667303238</v>
      </c>
      <c r="B16" s="5">
        <v>0.73</v>
      </c>
      <c r="C16" s="7">
        <f t="shared" si="0"/>
        <v>18.515515299127134</v>
      </c>
      <c r="D16" s="9">
        <v>0</v>
      </c>
      <c r="E16" s="11">
        <v>4.8</v>
      </c>
      <c r="F16" s="11">
        <v>5.8</v>
      </c>
      <c r="G16" s="11">
        <v>6.4</v>
      </c>
    </row>
    <row r="17" spans="1:7" x14ac:dyDescent="0.3">
      <c r="A17" s="1">
        <v>45985.583334027775</v>
      </c>
      <c r="B17" s="5">
        <v>0.69</v>
      </c>
      <c r="C17" s="7">
        <f t="shared" si="0"/>
        <v>17.126515075889056</v>
      </c>
      <c r="D17" s="9">
        <v>8.1999999999999993</v>
      </c>
      <c r="E17" s="11">
        <v>4.8</v>
      </c>
      <c r="F17" s="11">
        <v>5.8</v>
      </c>
      <c r="G17" s="11">
        <v>6.4</v>
      </c>
    </row>
    <row r="18" spans="1:7" x14ac:dyDescent="0.3">
      <c r="A18" s="1">
        <v>45985.625000752312</v>
      </c>
      <c r="B18" s="5">
        <v>1.04</v>
      </c>
      <c r="C18" s="7">
        <f t="shared" si="0"/>
        <v>30.216236035612905</v>
      </c>
      <c r="D18" s="9">
        <v>55.8</v>
      </c>
      <c r="E18" s="11">
        <v>4.8</v>
      </c>
      <c r="F18" s="11">
        <v>5.8</v>
      </c>
      <c r="G18" s="11">
        <v>6.4</v>
      </c>
    </row>
    <row r="19" spans="1:7" x14ac:dyDescent="0.3">
      <c r="A19" s="1">
        <v>45985.666667476849</v>
      </c>
      <c r="B19" s="5">
        <v>1.32</v>
      </c>
      <c r="C19" s="7">
        <f t="shared" si="0"/>
        <v>42.026172175055144</v>
      </c>
      <c r="D19" s="9">
        <v>3.8</v>
      </c>
      <c r="E19" s="11">
        <v>4.8</v>
      </c>
      <c r="F19" s="11">
        <v>5.8</v>
      </c>
      <c r="G19" s="11">
        <v>6.4</v>
      </c>
    </row>
    <row r="20" spans="1:7" x14ac:dyDescent="0.3">
      <c r="A20" s="1">
        <v>45985.708334201387</v>
      </c>
      <c r="B20" s="5">
        <v>1.75</v>
      </c>
      <c r="C20" s="7">
        <f t="shared" si="0"/>
        <v>62.084856435093684</v>
      </c>
      <c r="D20" s="9">
        <v>4.4000000000000004</v>
      </c>
      <c r="E20" s="11">
        <v>4.8</v>
      </c>
      <c r="F20" s="11">
        <v>5.8</v>
      </c>
      <c r="G20" s="11">
        <v>6.4</v>
      </c>
    </row>
    <row r="21" spans="1:7" x14ac:dyDescent="0.3">
      <c r="A21" s="1">
        <v>45985.750000925924</v>
      </c>
      <c r="B21" s="5">
        <v>2.4300000000000002</v>
      </c>
      <c r="C21" s="7">
        <f t="shared" si="0"/>
        <v>97.784853812318758</v>
      </c>
      <c r="D21" s="9">
        <v>3.7</v>
      </c>
      <c r="E21" s="11">
        <v>4.8</v>
      </c>
      <c r="F21" s="11">
        <v>5.8</v>
      </c>
      <c r="G21" s="11">
        <v>6.4</v>
      </c>
    </row>
    <row r="22" spans="1:7" x14ac:dyDescent="0.3">
      <c r="A22" s="1">
        <v>45985.791667650461</v>
      </c>
      <c r="B22" s="5">
        <v>2.17</v>
      </c>
      <c r="C22" s="7">
        <f t="shared" si="0"/>
        <v>83.610844333602998</v>
      </c>
      <c r="D22" s="9">
        <v>0</v>
      </c>
      <c r="E22" s="11">
        <v>4.8</v>
      </c>
      <c r="F22" s="11">
        <v>5.8</v>
      </c>
      <c r="G22" s="11">
        <v>6.4</v>
      </c>
    </row>
    <row r="23" spans="1:7" x14ac:dyDescent="0.3">
      <c r="A23" s="1">
        <v>45985.833334374998</v>
      </c>
      <c r="B23" s="5">
        <v>1.91</v>
      </c>
      <c r="C23" s="7">
        <f t="shared" si="0"/>
        <v>70.075080126467739</v>
      </c>
      <c r="D23" s="9">
        <v>0</v>
      </c>
      <c r="E23" s="11">
        <v>4.8</v>
      </c>
      <c r="F23" s="11">
        <v>5.8</v>
      </c>
      <c r="G23" s="11">
        <v>6.4</v>
      </c>
    </row>
    <row r="24" spans="1:7" x14ac:dyDescent="0.3">
      <c r="A24" s="1">
        <v>45985.875001099535</v>
      </c>
      <c r="B24" s="5">
        <v>1.69</v>
      </c>
      <c r="C24" s="7">
        <f t="shared" si="0"/>
        <v>59.15878573133196</v>
      </c>
      <c r="D24" s="9">
        <v>0</v>
      </c>
      <c r="E24" s="11">
        <v>4.8</v>
      </c>
      <c r="F24" s="11">
        <v>5.8</v>
      </c>
      <c r="G24" s="11">
        <v>6.4</v>
      </c>
    </row>
    <row r="25" spans="1:7" x14ac:dyDescent="0.3">
      <c r="A25" s="1">
        <v>45985.916667824073</v>
      </c>
      <c r="B25" s="5">
        <v>1.51</v>
      </c>
      <c r="C25" s="7">
        <f t="shared" si="0"/>
        <v>50.621840264096839</v>
      </c>
      <c r="D25" s="9">
        <v>1.1000000000000001</v>
      </c>
      <c r="E25" s="11">
        <v>4.8</v>
      </c>
      <c r="F25" s="11">
        <v>5.8</v>
      </c>
      <c r="G25" s="11">
        <v>6.4</v>
      </c>
    </row>
    <row r="26" spans="1:7" x14ac:dyDescent="0.3">
      <c r="A26" s="1">
        <v>45985.95833454861</v>
      </c>
      <c r="B26" s="5">
        <v>1.36</v>
      </c>
      <c r="C26" s="7">
        <f t="shared" si="0"/>
        <v>43.798654671123899</v>
      </c>
      <c r="D26" s="9">
        <v>0.2</v>
      </c>
      <c r="E26" s="11">
        <v>4.8</v>
      </c>
      <c r="F26" s="11">
        <v>5.8</v>
      </c>
      <c r="G26" s="11">
        <v>6.4</v>
      </c>
    </row>
    <row r="27" spans="1:7" x14ac:dyDescent="0.3">
      <c r="A27" s="1">
        <v>45986.000001273147</v>
      </c>
      <c r="B27" s="5">
        <v>1.26</v>
      </c>
      <c r="C27" s="7">
        <f t="shared" si="0"/>
        <v>39.406003334680214</v>
      </c>
      <c r="D27" s="9">
        <v>0</v>
      </c>
      <c r="E27" s="11">
        <v>4.8</v>
      </c>
      <c r="F27" s="11">
        <v>5.8</v>
      </c>
      <c r="G27" s="11">
        <v>6.4</v>
      </c>
    </row>
    <row r="28" spans="1:7" x14ac:dyDescent="0.3">
      <c r="A28" s="1">
        <v>45986.041667997684</v>
      </c>
      <c r="B28" s="5">
        <v>1.18</v>
      </c>
      <c r="C28" s="7">
        <f t="shared" si="0"/>
        <v>35.986528284232129</v>
      </c>
      <c r="D28" s="9">
        <v>0</v>
      </c>
      <c r="E28" s="11">
        <v>4.8</v>
      </c>
      <c r="F28" s="11">
        <v>5.8</v>
      </c>
      <c r="G28" s="11">
        <v>6.4</v>
      </c>
    </row>
    <row r="29" spans="1:7" x14ac:dyDescent="0.3">
      <c r="A29" s="1">
        <v>45986.083334722221</v>
      </c>
      <c r="B29" s="5">
        <v>1.1499999999999999</v>
      </c>
      <c r="C29" s="7">
        <f t="shared" si="0"/>
        <v>34.726682861038668</v>
      </c>
      <c r="D29" s="9">
        <v>0</v>
      </c>
      <c r="E29" s="11">
        <v>4.8</v>
      </c>
      <c r="F29" s="11">
        <v>5.8</v>
      </c>
      <c r="G29" s="11">
        <v>6.4</v>
      </c>
    </row>
    <row r="30" spans="1:7" x14ac:dyDescent="0.3">
      <c r="A30" s="1">
        <v>45986.125001446759</v>
      </c>
      <c r="B30" s="5">
        <v>1.1200000000000001</v>
      </c>
      <c r="C30" s="7">
        <f t="shared" si="0"/>
        <v>33.479389438670509</v>
      </c>
      <c r="D30" s="9">
        <v>0</v>
      </c>
      <c r="E30" s="11">
        <v>4.8</v>
      </c>
      <c r="F30" s="11">
        <v>5.8</v>
      </c>
      <c r="G30" s="11">
        <v>6.4</v>
      </c>
    </row>
    <row r="31" spans="1:7" x14ac:dyDescent="0.3">
      <c r="A31" s="1">
        <v>45986.166668171296</v>
      </c>
      <c r="B31" s="5">
        <v>1.0900000000000001</v>
      </c>
      <c r="C31" s="7">
        <f t="shared" si="0"/>
        <v>32.244854179550821</v>
      </c>
      <c r="D31" s="9">
        <v>0</v>
      </c>
      <c r="E31" s="11">
        <v>4.8</v>
      </c>
      <c r="F31" s="11">
        <v>5.8</v>
      </c>
      <c r="G31" s="11">
        <v>6.4</v>
      </c>
    </row>
    <row r="32" spans="1:7" x14ac:dyDescent="0.3">
      <c r="A32" s="1">
        <v>45986.208334895833</v>
      </c>
      <c r="B32" s="5">
        <v>1.06</v>
      </c>
      <c r="C32" s="7">
        <f t="shared" si="0"/>
        <v>31.023292372035812</v>
      </c>
      <c r="D32" s="9">
        <v>0</v>
      </c>
      <c r="E32" s="11">
        <v>4.8</v>
      </c>
      <c r="F32" s="11">
        <v>5.8</v>
      </c>
      <c r="G32" s="11">
        <v>6.4</v>
      </c>
    </row>
    <row r="33" spans="1:7" x14ac:dyDescent="0.3">
      <c r="A33" s="1">
        <v>45986.25000162037</v>
      </c>
      <c r="B33" s="5">
        <v>0.99</v>
      </c>
      <c r="C33" s="7">
        <f t="shared" si="0"/>
        <v>28.224718014987882</v>
      </c>
      <c r="D33" s="9">
        <v>0</v>
      </c>
      <c r="E33" s="11">
        <v>4.8</v>
      </c>
      <c r="F33" s="11">
        <v>5.8</v>
      </c>
      <c r="G33" s="11">
        <v>6.4</v>
      </c>
    </row>
    <row r="34" spans="1:7" x14ac:dyDescent="0.3">
      <c r="A34" s="1">
        <v>45986.291668344908</v>
      </c>
      <c r="B34" s="5">
        <v>0.98</v>
      </c>
      <c r="C34" s="7">
        <f t="shared" si="0"/>
        <v>27.830965500799426</v>
      </c>
      <c r="D34" s="9">
        <v>0</v>
      </c>
      <c r="E34" s="11">
        <v>4.8</v>
      </c>
      <c r="F34" s="11">
        <v>5.8</v>
      </c>
      <c r="G34" s="11">
        <v>6.4</v>
      </c>
    </row>
    <row r="35" spans="1:7" x14ac:dyDescent="0.3">
      <c r="A35" s="1">
        <v>45986.333335069445</v>
      </c>
      <c r="B35" s="5">
        <v>0.94</v>
      </c>
      <c r="C35" s="7">
        <f t="shared" si="0"/>
        <v>26.271444542051679</v>
      </c>
      <c r="D35" s="9">
        <v>0.5</v>
      </c>
      <c r="E35" s="11">
        <v>4.8</v>
      </c>
      <c r="F35" s="11">
        <v>5.8</v>
      </c>
      <c r="G35" s="11">
        <v>6.4</v>
      </c>
    </row>
    <row r="36" spans="1:7" x14ac:dyDescent="0.3">
      <c r="A36" s="1">
        <v>45986.375001793982</v>
      </c>
      <c r="B36" s="5">
        <v>0.96</v>
      </c>
      <c r="C36" s="7">
        <f t="shared" si="0"/>
        <v>27.048087438362153</v>
      </c>
      <c r="D36" s="9">
        <v>0</v>
      </c>
      <c r="E36" s="11">
        <v>4.8</v>
      </c>
      <c r="F36" s="11">
        <v>5.8</v>
      </c>
      <c r="G36" s="11">
        <v>6.4</v>
      </c>
    </row>
    <row r="37" spans="1:7" x14ac:dyDescent="0.3">
      <c r="A37" s="1">
        <v>45986.416668518519</v>
      </c>
      <c r="B37" s="5">
        <v>0.88</v>
      </c>
      <c r="C37" s="7">
        <f t="shared" si="0"/>
        <v>23.979755525950928</v>
      </c>
      <c r="D37" s="9">
        <v>0</v>
      </c>
      <c r="E37" s="11">
        <v>4.8</v>
      </c>
      <c r="F37" s="11">
        <v>5.8</v>
      </c>
      <c r="G37" s="11">
        <v>6.4</v>
      </c>
    </row>
    <row r="38" spans="1:7" x14ac:dyDescent="0.3">
      <c r="A38" s="1">
        <v>45986.458335243056</v>
      </c>
      <c r="B38" s="5">
        <v>0.9</v>
      </c>
      <c r="C38" s="7">
        <f t="shared" si="0"/>
        <v>24.737192802536985</v>
      </c>
      <c r="D38" s="9">
        <v>0</v>
      </c>
      <c r="E38" s="11">
        <v>4.8</v>
      </c>
      <c r="F38" s="11">
        <v>5.8</v>
      </c>
      <c r="G38" s="11">
        <v>6.4</v>
      </c>
    </row>
    <row r="39" spans="1:7" x14ac:dyDescent="0.3">
      <c r="A39" s="1">
        <v>45986.500001967594</v>
      </c>
      <c r="B39" s="5">
        <v>0.84</v>
      </c>
      <c r="C39" s="7">
        <f t="shared" si="0"/>
        <v>22.484710772239122</v>
      </c>
      <c r="D39" s="9">
        <v>0.6</v>
      </c>
      <c r="E39" s="11">
        <v>4.8</v>
      </c>
      <c r="F39" s="11">
        <v>5.8</v>
      </c>
      <c r="G39" s="11">
        <v>6.4</v>
      </c>
    </row>
    <row r="40" spans="1:7" x14ac:dyDescent="0.3">
      <c r="A40" s="1">
        <v>45986.541668692131</v>
      </c>
      <c r="B40" s="5">
        <v>0.81</v>
      </c>
      <c r="C40" s="7">
        <f t="shared" si="0"/>
        <v>21.381156804678113</v>
      </c>
      <c r="D40" s="9">
        <v>0</v>
      </c>
      <c r="E40" s="11">
        <v>4.8</v>
      </c>
      <c r="F40" s="11">
        <v>5.8</v>
      </c>
      <c r="G40" s="11">
        <v>6.4</v>
      </c>
    </row>
    <row r="41" spans="1:7" x14ac:dyDescent="0.3">
      <c r="A41" s="1">
        <v>45986.583335416668</v>
      </c>
      <c r="B41" s="5">
        <v>0.85</v>
      </c>
      <c r="C41" s="7">
        <f t="shared" si="0"/>
        <v>22.855963763230644</v>
      </c>
      <c r="D41" s="9">
        <v>0</v>
      </c>
      <c r="E41" s="11">
        <v>4.8</v>
      </c>
      <c r="F41" s="11">
        <v>5.8</v>
      </c>
      <c r="G41" s="11">
        <v>6.4</v>
      </c>
    </row>
    <row r="42" spans="1:7" x14ac:dyDescent="0.3">
      <c r="A42" s="1">
        <v>45986.625002141205</v>
      </c>
      <c r="B42" s="5">
        <v>0.86</v>
      </c>
      <c r="C42" s="7">
        <f t="shared" si="0"/>
        <v>23.228896892293509</v>
      </c>
      <c r="D42" s="9">
        <v>0</v>
      </c>
      <c r="E42" s="11">
        <v>4.8</v>
      </c>
      <c r="F42" s="11">
        <v>5.8</v>
      </c>
      <c r="G42" s="11">
        <v>6.4</v>
      </c>
    </row>
    <row r="43" spans="1:7" x14ac:dyDescent="0.3">
      <c r="A43" s="1">
        <v>45986.666668865742</v>
      </c>
      <c r="B43" s="5">
        <v>0.83</v>
      </c>
      <c r="C43" s="7">
        <f t="shared" si="0"/>
        <v>22.115150216794209</v>
      </c>
      <c r="D43" s="9">
        <v>0</v>
      </c>
      <c r="E43" s="11">
        <v>4.8</v>
      </c>
      <c r="F43" s="11">
        <v>5.8</v>
      </c>
      <c r="G43" s="11">
        <v>6.4</v>
      </c>
    </row>
    <row r="44" spans="1:7" x14ac:dyDescent="0.3">
      <c r="A44" s="1">
        <v>45986.70833559028</v>
      </c>
      <c r="B44" s="5">
        <v>0.85</v>
      </c>
      <c r="C44" s="7">
        <f t="shared" si="0"/>
        <v>22.855963763230644</v>
      </c>
      <c r="D44" s="9">
        <v>0.5</v>
      </c>
      <c r="E44" s="11">
        <v>4.8</v>
      </c>
      <c r="F44" s="11">
        <v>5.8</v>
      </c>
      <c r="G44" s="11">
        <v>6.4</v>
      </c>
    </row>
    <row r="45" spans="1:7" x14ac:dyDescent="0.3">
      <c r="A45" s="1">
        <v>45986.750002314817</v>
      </c>
      <c r="B45" s="5">
        <v>0.85</v>
      </c>
      <c r="C45" s="7">
        <f t="shared" si="0"/>
        <v>22.855963763230644</v>
      </c>
      <c r="D45" s="9">
        <v>2.7</v>
      </c>
      <c r="E45" s="11">
        <v>4.8</v>
      </c>
      <c r="F45" s="11">
        <v>5.8</v>
      </c>
      <c r="G45" s="11">
        <v>6.4</v>
      </c>
    </row>
    <row r="46" spans="1:7" x14ac:dyDescent="0.3">
      <c r="A46" s="1">
        <v>45986.791669039354</v>
      </c>
      <c r="B46" s="5">
        <v>0.85</v>
      </c>
      <c r="C46" s="7">
        <f t="shared" si="0"/>
        <v>22.855963763230644</v>
      </c>
      <c r="D46" s="9">
        <v>0</v>
      </c>
      <c r="E46" s="11">
        <v>4.8</v>
      </c>
      <c r="F46" s="11">
        <v>5.8</v>
      </c>
      <c r="G46" s="11">
        <v>6.4</v>
      </c>
    </row>
    <row r="47" spans="1:7" x14ac:dyDescent="0.3">
      <c r="A47" s="1">
        <v>45986.833335763891</v>
      </c>
      <c r="B47" s="5">
        <v>0.83</v>
      </c>
      <c r="C47" s="7">
        <f t="shared" si="0"/>
        <v>22.115150216794209</v>
      </c>
      <c r="D47" s="9">
        <v>0</v>
      </c>
      <c r="E47" s="11">
        <v>4.8</v>
      </c>
      <c r="F47" s="11">
        <v>5.8</v>
      </c>
      <c r="G47" s="11">
        <v>6.4</v>
      </c>
    </row>
    <row r="48" spans="1:7" x14ac:dyDescent="0.3">
      <c r="A48" s="1">
        <v>45986.875002488428</v>
      </c>
      <c r="B48" s="5">
        <v>0.82</v>
      </c>
      <c r="C48" s="7">
        <f t="shared" si="0"/>
        <v>21.747294633296558</v>
      </c>
      <c r="D48" s="9">
        <v>0</v>
      </c>
      <c r="E48" s="11">
        <v>4.8</v>
      </c>
      <c r="F48" s="11">
        <v>5.8</v>
      </c>
      <c r="G48" s="11">
        <v>6.4</v>
      </c>
    </row>
    <row r="49" spans="1:7" x14ac:dyDescent="0.3">
      <c r="A49" s="1">
        <v>45986.916669212966</v>
      </c>
      <c r="B49" s="5">
        <v>0.81</v>
      </c>
      <c r="C49" s="7">
        <f t="shared" si="0"/>
        <v>21.381156804678113</v>
      </c>
      <c r="D49" s="9">
        <v>0</v>
      </c>
      <c r="E49" s="11">
        <v>4.8</v>
      </c>
      <c r="F49" s="11">
        <v>5.8</v>
      </c>
      <c r="G49" s="11">
        <v>6.4</v>
      </c>
    </row>
    <row r="50" spans="1:7" x14ac:dyDescent="0.3">
      <c r="A50" s="1">
        <v>45986.958335937503</v>
      </c>
      <c r="B50" s="5">
        <v>0.81</v>
      </c>
      <c r="C50" s="7">
        <f t="shared" si="0"/>
        <v>21.381156804678113</v>
      </c>
      <c r="D50" s="9">
        <v>0</v>
      </c>
      <c r="E50" s="11">
        <v>4.8</v>
      </c>
      <c r="F50" s="11">
        <v>5.8</v>
      </c>
      <c r="G50" s="11">
        <v>6.4</v>
      </c>
    </row>
    <row r="51" spans="1:7" x14ac:dyDescent="0.3">
      <c r="A51" s="1">
        <v>45987.00000266204</v>
      </c>
      <c r="B51" s="5">
        <v>0.8</v>
      </c>
      <c r="C51" s="7">
        <f t="shared" si="0"/>
        <v>21.016749768346781</v>
      </c>
      <c r="D51" s="9">
        <v>1.6</v>
      </c>
      <c r="E51" s="11">
        <v>4.8</v>
      </c>
      <c r="F51" s="11">
        <v>5.8</v>
      </c>
      <c r="G51" s="11">
        <v>6.4</v>
      </c>
    </row>
    <row r="52" spans="1:7" x14ac:dyDescent="0.3">
      <c r="A52" s="1">
        <v>45987.041669386577</v>
      </c>
      <c r="B52" s="5">
        <v>0.81</v>
      </c>
      <c r="C52" s="7">
        <f t="shared" si="0"/>
        <v>21.381156804678113</v>
      </c>
      <c r="D52" s="9">
        <v>3.9</v>
      </c>
      <c r="E52" s="11">
        <v>4.8</v>
      </c>
      <c r="F52" s="11">
        <v>5.8</v>
      </c>
      <c r="G52" s="11">
        <v>6.4</v>
      </c>
    </row>
    <row r="53" spans="1:7" x14ac:dyDescent="0.3">
      <c r="A53" s="1">
        <v>45987.083336111114</v>
      </c>
      <c r="B53" s="5">
        <v>0.83</v>
      </c>
      <c r="C53" s="7">
        <f t="shared" si="0"/>
        <v>22.115150216794209</v>
      </c>
      <c r="D53" s="9">
        <v>2.2999999999999998</v>
      </c>
      <c r="E53" s="11">
        <v>4.8</v>
      </c>
      <c r="F53" s="11">
        <v>5.8</v>
      </c>
      <c r="G53" s="11">
        <v>6.4</v>
      </c>
    </row>
    <row r="54" spans="1:7" x14ac:dyDescent="0.3">
      <c r="A54" s="1">
        <v>45987.125002835652</v>
      </c>
      <c r="B54" s="5">
        <v>0.85</v>
      </c>
      <c r="C54" s="7">
        <f t="shared" si="0"/>
        <v>22.855963763230644</v>
      </c>
      <c r="D54" s="9">
        <v>0.7</v>
      </c>
      <c r="E54" s="11">
        <v>4.8</v>
      </c>
      <c r="F54" s="11">
        <v>5.8</v>
      </c>
      <c r="G54" s="11">
        <v>6.4</v>
      </c>
    </row>
    <row r="55" spans="1:7" x14ac:dyDescent="0.3">
      <c r="A55" s="1">
        <v>45987.166669560182</v>
      </c>
      <c r="B55" s="5">
        <v>0.87</v>
      </c>
      <c r="C55" s="7">
        <f t="shared" si="0"/>
        <v>23.60349809359256</v>
      </c>
      <c r="D55" s="9">
        <v>0</v>
      </c>
      <c r="E55" s="11">
        <v>4.8</v>
      </c>
      <c r="F55" s="11">
        <v>5.8</v>
      </c>
      <c r="G55" s="11">
        <v>6.4</v>
      </c>
    </row>
    <row r="56" spans="1:7" x14ac:dyDescent="0.3">
      <c r="A56" s="1">
        <v>45987.208336284719</v>
      </c>
      <c r="B56" s="5">
        <v>0.88</v>
      </c>
      <c r="C56" s="7">
        <f t="shared" si="0"/>
        <v>23.979755525950928</v>
      </c>
      <c r="D56" s="9">
        <v>0.5</v>
      </c>
      <c r="E56" s="11">
        <v>4.8</v>
      </c>
      <c r="F56" s="11">
        <v>5.8</v>
      </c>
      <c r="G56" s="11">
        <v>6.4</v>
      </c>
    </row>
    <row r="57" spans="1:7" x14ac:dyDescent="0.3">
      <c r="A57" s="1">
        <v>45987.250003009256</v>
      </c>
      <c r="B57" s="5">
        <v>0.86</v>
      </c>
      <c r="C57" s="7">
        <f t="shared" si="0"/>
        <v>23.228896892293509</v>
      </c>
      <c r="D57" s="9">
        <v>1.2</v>
      </c>
      <c r="E57" s="11">
        <v>4.8</v>
      </c>
      <c r="F57" s="11">
        <v>5.8</v>
      </c>
      <c r="G57" s="11">
        <v>6.4</v>
      </c>
    </row>
    <row r="58" spans="1:7" x14ac:dyDescent="0.3">
      <c r="A58" s="1">
        <v>45987.291669733793</v>
      </c>
      <c r="B58" s="5">
        <v>0.8</v>
      </c>
      <c r="C58" s="7">
        <f t="shared" si="0"/>
        <v>21.016749768346781</v>
      </c>
      <c r="D58" s="9">
        <v>0.7</v>
      </c>
      <c r="E58" s="11">
        <v>4.8</v>
      </c>
      <c r="F58" s="11">
        <v>5.8</v>
      </c>
      <c r="G58" s="11">
        <v>6.4</v>
      </c>
    </row>
    <row r="59" spans="1:7" x14ac:dyDescent="0.3">
      <c r="A59" s="1">
        <v>45987.33333645833</v>
      </c>
      <c r="B59" s="5">
        <v>0.99</v>
      </c>
      <c r="C59" s="7">
        <f t="shared" si="0"/>
        <v>28.224718014987882</v>
      </c>
      <c r="D59" s="9">
        <v>0</v>
      </c>
      <c r="E59" s="11">
        <v>4.8</v>
      </c>
      <c r="F59" s="11">
        <v>5.8</v>
      </c>
      <c r="G59" s="11">
        <v>6.4</v>
      </c>
    </row>
    <row r="60" spans="1:7" x14ac:dyDescent="0.3">
      <c r="A60" s="1">
        <v>45987.375003182868</v>
      </c>
      <c r="B60" s="5">
        <v>0.95</v>
      </c>
      <c r="C60" s="7">
        <f t="shared" si="0"/>
        <v>26.658981570242144</v>
      </c>
      <c r="D60" s="9">
        <v>0.9</v>
      </c>
      <c r="E60" s="11">
        <v>4.8</v>
      </c>
      <c r="F60" s="11">
        <v>5.8</v>
      </c>
      <c r="G60" s="11">
        <v>6.4</v>
      </c>
    </row>
    <row r="61" spans="1:7" x14ac:dyDescent="0.3">
      <c r="A61" s="1">
        <v>45987.416669907405</v>
      </c>
      <c r="B61" s="5">
        <v>0.97</v>
      </c>
      <c r="C61" s="7">
        <f t="shared" si="0"/>
        <v>27.438752055896515</v>
      </c>
      <c r="D61" s="9">
        <v>2</v>
      </c>
      <c r="E61" s="11">
        <v>4.8</v>
      </c>
      <c r="F61" s="11">
        <v>5.8</v>
      </c>
      <c r="G61" s="11">
        <v>6.4</v>
      </c>
    </row>
    <row r="62" spans="1:7" x14ac:dyDescent="0.3">
      <c r="A62" s="1">
        <v>45987.458336631942</v>
      </c>
      <c r="B62" s="5">
        <v>0.89</v>
      </c>
      <c r="C62" s="7">
        <f t="shared" si="0"/>
        <v>24.357657566155829</v>
      </c>
      <c r="D62" s="9">
        <v>1.3</v>
      </c>
      <c r="E62" s="11">
        <v>4.8</v>
      </c>
      <c r="F62" s="11">
        <v>5.8</v>
      </c>
      <c r="G62" s="11">
        <v>6.4</v>
      </c>
    </row>
    <row r="63" spans="1:7" x14ac:dyDescent="0.3">
      <c r="A63" s="1">
        <v>45987.500003356479</v>
      </c>
      <c r="B63" s="5">
        <v>0.86</v>
      </c>
      <c r="C63" s="7">
        <f t="shared" si="0"/>
        <v>23.228896892293509</v>
      </c>
      <c r="D63" s="9">
        <v>0.5</v>
      </c>
      <c r="E63" s="11">
        <v>4.8</v>
      </c>
      <c r="F63" s="11">
        <v>5.8</v>
      </c>
      <c r="G63" s="11">
        <v>6.4</v>
      </c>
    </row>
    <row r="64" spans="1:7" x14ac:dyDescent="0.3">
      <c r="A64" s="1">
        <v>45987.541670081016</v>
      </c>
      <c r="B64" s="5">
        <v>0.89</v>
      </c>
      <c r="C64" s="7">
        <f t="shared" si="0"/>
        <v>24.357657566155829</v>
      </c>
      <c r="D64" s="9">
        <v>0</v>
      </c>
      <c r="E64" s="11">
        <v>4.8</v>
      </c>
      <c r="F64" s="11">
        <v>5.8</v>
      </c>
      <c r="G64" s="11">
        <v>6.4</v>
      </c>
    </row>
    <row r="65" spans="1:7" x14ac:dyDescent="0.3">
      <c r="A65" s="1">
        <v>45987.583336805554</v>
      </c>
      <c r="B65" s="5">
        <v>0.85</v>
      </c>
      <c r="C65" s="7">
        <f t="shared" si="0"/>
        <v>22.855963763230644</v>
      </c>
      <c r="D65" s="9">
        <v>0</v>
      </c>
      <c r="E65" s="11">
        <v>4.8</v>
      </c>
      <c r="F65" s="11">
        <v>5.8</v>
      </c>
      <c r="G65" s="11">
        <v>6.4</v>
      </c>
    </row>
    <row r="66" spans="1:7" x14ac:dyDescent="0.3">
      <c r="A66" s="1">
        <v>45987.625003530091</v>
      </c>
      <c r="B66" s="5">
        <v>0.91</v>
      </c>
      <c r="C66" s="7">
        <f t="shared" si="0"/>
        <v>25.118350028803569</v>
      </c>
      <c r="D66" s="9">
        <v>2.1</v>
      </c>
      <c r="E66" s="11">
        <v>4.8</v>
      </c>
      <c r="F66" s="11">
        <v>5.8</v>
      </c>
      <c r="G66" s="11">
        <v>6.4</v>
      </c>
    </row>
    <row r="67" spans="1:7" x14ac:dyDescent="0.3">
      <c r="A67" s="1">
        <v>45987.666670254628</v>
      </c>
      <c r="B67" s="5">
        <v>0.92</v>
      </c>
      <c r="C67" s="7">
        <f t="shared" si="0"/>
        <v>25.501118238126711</v>
      </c>
      <c r="D67" s="9">
        <v>1.3</v>
      </c>
      <c r="E67" s="11">
        <v>4.8</v>
      </c>
      <c r="F67" s="11">
        <v>5.8</v>
      </c>
      <c r="G67" s="11">
        <v>6.4</v>
      </c>
    </row>
    <row r="68" spans="1:7" x14ac:dyDescent="0.3">
      <c r="A68" s="1">
        <v>45987.708336979165</v>
      </c>
      <c r="B68" s="5">
        <v>0.87</v>
      </c>
      <c r="C68" s="7">
        <f t="shared" si="0"/>
        <v>23.60349809359256</v>
      </c>
      <c r="D68" s="9">
        <v>1.7</v>
      </c>
      <c r="E68" s="11">
        <v>4.8</v>
      </c>
      <c r="F68" s="11">
        <v>5.8</v>
      </c>
      <c r="G68" s="11">
        <v>6.4</v>
      </c>
    </row>
    <row r="69" spans="1:7" x14ac:dyDescent="0.3">
      <c r="A69" s="1">
        <v>45987.750003703703</v>
      </c>
      <c r="B69" s="5">
        <v>0.91</v>
      </c>
      <c r="C69" s="7">
        <f t="shared" ref="C69:C132" si="1">IF(B69="","",28.62*(B69)^1.3838)</f>
        <v>25.118350028803569</v>
      </c>
      <c r="D69" s="9">
        <v>11.8</v>
      </c>
      <c r="E69" s="11">
        <v>4.8</v>
      </c>
      <c r="F69" s="11">
        <v>5.8</v>
      </c>
      <c r="G69" s="11">
        <v>6.4</v>
      </c>
    </row>
    <row r="70" spans="1:7" x14ac:dyDescent="0.3">
      <c r="A70" s="1">
        <v>45987.79167042824</v>
      </c>
      <c r="B70" s="5">
        <v>0.91</v>
      </c>
      <c r="C70" s="7">
        <f t="shared" si="1"/>
        <v>25.118350028803569</v>
      </c>
      <c r="D70" s="9">
        <v>2</v>
      </c>
      <c r="E70" s="11">
        <v>4.8</v>
      </c>
      <c r="F70" s="11">
        <v>5.8</v>
      </c>
      <c r="G70" s="11">
        <v>6.4</v>
      </c>
    </row>
    <row r="71" spans="1:7" x14ac:dyDescent="0.3">
      <c r="A71" s="1">
        <v>45987.833337152777</v>
      </c>
      <c r="B71" s="5">
        <v>0.88</v>
      </c>
      <c r="C71" s="7">
        <f t="shared" si="1"/>
        <v>23.979755525950928</v>
      </c>
      <c r="D71" s="9">
        <v>1.5</v>
      </c>
      <c r="E71" s="11">
        <v>4.8</v>
      </c>
      <c r="F71" s="11">
        <v>5.8</v>
      </c>
      <c r="G71" s="11">
        <v>6.4</v>
      </c>
    </row>
    <row r="72" spans="1:7" x14ac:dyDescent="0.3">
      <c r="A72" s="1">
        <v>45987.875003877314</v>
      </c>
      <c r="B72" s="5">
        <v>0.88</v>
      </c>
      <c r="C72" s="7">
        <f t="shared" si="1"/>
        <v>23.979755525950928</v>
      </c>
      <c r="D72" s="9">
        <v>4.0999999999999996</v>
      </c>
      <c r="E72" s="11">
        <v>4.8</v>
      </c>
      <c r="F72" s="11">
        <v>5.8</v>
      </c>
      <c r="G72" s="11">
        <v>6.4</v>
      </c>
    </row>
    <row r="73" spans="1:7" x14ac:dyDescent="0.3">
      <c r="A73" s="1">
        <v>45987.916670601851</v>
      </c>
      <c r="B73" s="5">
        <v>0.97</v>
      </c>
      <c r="C73" s="7">
        <f t="shared" si="1"/>
        <v>27.438752055896515</v>
      </c>
      <c r="D73" s="9">
        <v>4.9000000000000004</v>
      </c>
      <c r="E73" s="11">
        <v>4.8</v>
      </c>
      <c r="F73" s="11">
        <v>5.8</v>
      </c>
      <c r="G73" s="11">
        <v>6.4</v>
      </c>
    </row>
    <row r="74" spans="1:7" x14ac:dyDescent="0.3">
      <c r="A74" s="1">
        <v>45987.958337326389</v>
      </c>
      <c r="B74" s="5">
        <v>1.08</v>
      </c>
      <c r="C74" s="7">
        <f t="shared" si="1"/>
        <v>31.836214508789663</v>
      </c>
      <c r="D74" s="9">
        <v>14.7</v>
      </c>
      <c r="E74" s="11">
        <v>4.8</v>
      </c>
      <c r="F74" s="11">
        <v>5.8</v>
      </c>
      <c r="G74" s="11">
        <v>6.4</v>
      </c>
    </row>
    <row r="75" spans="1:7" x14ac:dyDescent="0.3">
      <c r="A75" s="1">
        <v>45988.000004050926</v>
      </c>
      <c r="B75" s="5">
        <v>1.26</v>
      </c>
      <c r="C75" s="7">
        <f t="shared" si="1"/>
        <v>39.406003334680214</v>
      </c>
      <c r="D75" s="9">
        <v>21.4</v>
      </c>
      <c r="E75" s="11">
        <v>4.8</v>
      </c>
      <c r="F75" s="11">
        <v>5.8</v>
      </c>
      <c r="G75" s="11">
        <v>6.4</v>
      </c>
    </row>
    <row r="76" spans="1:7" x14ac:dyDescent="0.3">
      <c r="A76" s="1">
        <v>45988.041670775463</v>
      </c>
      <c r="B76" s="5">
        <v>1.46</v>
      </c>
      <c r="C76" s="7">
        <f t="shared" si="1"/>
        <v>48.317127956706244</v>
      </c>
      <c r="D76" s="9">
        <v>5.3</v>
      </c>
      <c r="E76" s="11">
        <v>4.8</v>
      </c>
      <c r="F76" s="11">
        <v>5.8</v>
      </c>
      <c r="G76" s="11">
        <v>6.4</v>
      </c>
    </row>
    <row r="77" spans="1:7" x14ac:dyDescent="0.3">
      <c r="A77" s="1">
        <v>45988.0833375</v>
      </c>
      <c r="B77" s="5">
        <v>1.65</v>
      </c>
      <c r="C77" s="7">
        <f t="shared" si="1"/>
        <v>57.230021811535892</v>
      </c>
      <c r="D77" s="9">
        <v>2.2999999999999998</v>
      </c>
      <c r="E77" s="11">
        <v>4.8</v>
      </c>
      <c r="F77" s="11">
        <v>5.8</v>
      </c>
      <c r="G77" s="11">
        <v>6.4</v>
      </c>
    </row>
    <row r="78" spans="1:7" x14ac:dyDescent="0.3">
      <c r="A78" s="1">
        <v>45988.125004224537</v>
      </c>
      <c r="B78" s="5">
        <v>1.83</v>
      </c>
      <c r="C78" s="7">
        <f t="shared" si="1"/>
        <v>66.04644515861574</v>
      </c>
      <c r="D78" s="9">
        <v>8.5</v>
      </c>
      <c r="E78" s="11">
        <v>4.8</v>
      </c>
      <c r="F78" s="11">
        <v>5.8</v>
      </c>
      <c r="G78" s="11">
        <v>6.4</v>
      </c>
    </row>
    <row r="79" spans="1:7" x14ac:dyDescent="0.3">
      <c r="A79" s="1">
        <v>45988.166670949075</v>
      </c>
      <c r="B79" s="5">
        <v>1.9</v>
      </c>
      <c r="C79" s="7">
        <f t="shared" si="1"/>
        <v>69.567894974307663</v>
      </c>
      <c r="D79" s="9">
        <v>7.2</v>
      </c>
      <c r="E79" s="11">
        <v>4.8</v>
      </c>
      <c r="F79" s="11">
        <v>5.8</v>
      </c>
      <c r="G79" s="11">
        <v>6.4</v>
      </c>
    </row>
    <row r="80" spans="1:7" x14ac:dyDescent="0.3">
      <c r="A80" s="1">
        <v>45988.208337673612</v>
      </c>
      <c r="B80" s="5">
        <v>2.13</v>
      </c>
      <c r="C80" s="7">
        <f t="shared" si="1"/>
        <v>81.485685734910632</v>
      </c>
      <c r="D80" s="9">
        <v>6.3</v>
      </c>
      <c r="E80" s="11">
        <v>4.8</v>
      </c>
      <c r="F80" s="11">
        <v>5.8</v>
      </c>
      <c r="G80" s="11">
        <v>6.4</v>
      </c>
    </row>
    <row r="81" spans="1:7" x14ac:dyDescent="0.3">
      <c r="A81" s="1">
        <v>45988.250004398149</v>
      </c>
      <c r="B81" s="5">
        <v>2.52</v>
      </c>
      <c r="C81" s="7">
        <f t="shared" si="1"/>
        <v>102.83186152933563</v>
      </c>
      <c r="D81" s="9">
        <v>1.6</v>
      </c>
      <c r="E81" s="11">
        <v>4.8</v>
      </c>
      <c r="F81" s="11">
        <v>5.8</v>
      </c>
      <c r="G81" s="11">
        <v>6.4</v>
      </c>
    </row>
    <row r="82" spans="1:7" x14ac:dyDescent="0.3">
      <c r="A82" s="1">
        <v>45988.291671122686</v>
      </c>
      <c r="B82" s="5">
        <v>2.4500000000000002</v>
      </c>
      <c r="C82" s="7">
        <f t="shared" si="1"/>
        <v>98.900310930330633</v>
      </c>
      <c r="D82" s="9">
        <v>7.9</v>
      </c>
      <c r="E82" s="11">
        <v>4.8</v>
      </c>
      <c r="F82" s="11">
        <v>5.8</v>
      </c>
      <c r="G82" s="11">
        <v>6.4</v>
      </c>
    </row>
    <row r="83" spans="1:7" x14ac:dyDescent="0.3">
      <c r="A83" s="1">
        <v>45988.333337847223</v>
      </c>
      <c r="B83" s="5">
        <v>2.33</v>
      </c>
      <c r="C83" s="7">
        <f t="shared" si="1"/>
        <v>92.260701609755003</v>
      </c>
      <c r="D83" s="9">
        <v>16.100000000000001</v>
      </c>
      <c r="E83" s="11">
        <v>4.8</v>
      </c>
      <c r="F83" s="11">
        <v>5.8</v>
      </c>
      <c r="G83" s="11">
        <v>6.4</v>
      </c>
    </row>
    <row r="84" spans="1:7" x14ac:dyDescent="0.3">
      <c r="A84" s="1">
        <v>45988.375004571761</v>
      </c>
      <c r="B84" s="5">
        <v>2.2999999999999998</v>
      </c>
      <c r="C84" s="7">
        <f t="shared" si="1"/>
        <v>90.620949630705809</v>
      </c>
      <c r="D84" s="9">
        <v>9.6</v>
      </c>
      <c r="E84" s="11">
        <v>4.8</v>
      </c>
      <c r="F84" s="11">
        <v>5.8</v>
      </c>
      <c r="G84" s="11">
        <v>6.4</v>
      </c>
    </row>
    <row r="85" spans="1:7" x14ac:dyDescent="0.3">
      <c r="A85" s="1">
        <v>45988.416671296298</v>
      </c>
      <c r="B85" s="5">
        <v>2.5</v>
      </c>
      <c r="C85" s="7">
        <f t="shared" si="1"/>
        <v>101.70422936799505</v>
      </c>
      <c r="D85" s="9">
        <v>7</v>
      </c>
      <c r="E85" s="11">
        <v>4.8</v>
      </c>
      <c r="F85" s="11">
        <v>5.8</v>
      </c>
      <c r="G85" s="11">
        <v>6.4</v>
      </c>
    </row>
    <row r="86" spans="1:7" x14ac:dyDescent="0.3">
      <c r="A86" s="1">
        <v>45988.458338020835</v>
      </c>
      <c r="B86" s="5">
        <v>2.71</v>
      </c>
      <c r="C86" s="7">
        <f t="shared" si="1"/>
        <v>113.71363280310106</v>
      </c>
      <c r="D86" s="9">
        <v>6.1</v>
      </c>
      <c r="E86" s="11">
        <v>4.8</v>
      </c>
      <c r="F86" s="11">
        <v>5.8</v>
      </c>
      <c r="G86" s="11">
        <v>6.4</v>
      </c>
    </row>
    <row r="87" spans="1:7" x14ac:dyDescent="0.3">
      <c r="A87" s="1">
        <v>45988.500004745372</v>
      </c>
      <c r="B87" s="5">
        <v>2.87</v>
      </c>
      <c r="C87" s="7">
        <f t="shared" si="1"/>
        <v>123.10809135017973</v>
      </c>
      <c r="D87" s="9">
        <v>7.1</v>
      </c>
      <c r="E87" s="11">
        <v>4.8</v>
      </c>
      <c r="F87" s="11">
        <v>5.8</v>
      </c>
      <c r="G87" s="11">
        <v>6.4</v>
      </c>
    </row>
    <row r="88" spans="1:7" x14ac:dyDescent="0.3">
      <c r="A88" s="1">
        <v>45988.541671469909</v>
      </c>
      <c r="B88" s="5">
        <v>2.79</v>
      </c>
      <c r="C88" s="7">
        <f t="shared" si="1"/>
        <v>118.38501292852193</v>
      </c>
      <c r="D88" s="9">
        <v>2.9</v>
      </c>
      <c r="E88" s="11">
        <v>4.8</v>
      </c>
      <c r="F88" s="11">
        <v>5.8</v>
      </c>
      <c r="G88" s="11">
        <v>6.4</v>
      </c>
    </row>
    <row r="89" spans="1:7" x14ac:dyDescent="0.3">
      <c r="A89" s="1">
        <v>45988.583338194447</v>
      </c>
      <c r="B89" s="5">
        <v>2.4500000000000002</v>
      </c>
      <c r="C89" s="7">
        <f t="shared" si="1"/>
        <v>98.900310930330633</v>
      </c>
      <c r="D89" s="9">
        <v>1.4</v>
      </c>
      <c r="E89" s="11">
        <v>4.8</v>
      </c>
      <c r="F89" s="11">
        <v>5.8</v>
      </c>
      <c r="G89" s="11">
        <v>6.4</v>
      </c>
    </row>
    <row r="90" spans="1:7" x14ac:dyDescent="0.3">
      <c r="A90" s="1">
        <v>45988.625004918984</v>
      </c>
      <c r="B90" s="5">
        <v>2.2200000000000002</v>
      </c>
      <c r="C90" s="7">
        <f t="shared" si="1"/>
        <v>86.288491256065114</v>
      </c>
      <c r="D90" s="9">
        <v>4</v>
      </c>
      <c r="E90" s="11">
        <v>4.8</v>
      </c>
      <c r="F90" s="11">
        <v>5.8</v>
      </c>
      <c r="G90" s="11">
        <v>6.4</v>
      </c>
    </row>
    <row r="91" spans="1:7" x14ac:dyDescent="0.3">
      <c r="A91" s="1">
        <v>45988.666671643521</v>
      </c>
      <c r="B91" s="5">
        <v>2.13</v>
      </c>
      <c r="C91" s="7">
        <f t="shared" si="1"/>
        <v>81.485685734910632</v>
      </c>
      <c r="D91" s="9">
        <v>8.1</v>
      </c>
      <c r="E91" s="11">
        <v>4.8</v>
      </c>
      <c r="F91" s="11">
        <v>5.8</v>
      </c>
      <c r="G91" s="11">
        <v>6.4</v>
      </c>
    </row>
    <row r="92" spans="1:7" x14ac:dyDescent="0.3">
      <c r="A92" s="1">
        <v>45988.708338368058</v>
      </c>
      <c r="B92" s="5">
        <v>2.2200000000000002</v>
      </c>
      <c r="C92" s="7">
        <f t="shared" si="1"/>
        <v>86.288491256065114</v>
      </c>
      <c r="D92" s="9">
        <v>9.6999999999999993</v>
      </c>
      <c r="E92" s="11">
        <v>4.8</v>
      </c>
      <c r="F92" s="11">
        <v>5.8</v>
      </c>
      <c r="G92" s="11">
        <v>6.4</v>
      </c>
    </row>
    <row r="93" spans="1:7" x14ac:dyDescent="0.3">
      <c r="A93" s="1">
        <v>45988.750005092596</v>
      </c>
      <c r="B93" s="5">
        <v>3.63</v>
      </c>
      <c r="C93" s="7">
        <f t="shared" si="1"/>
        <v>170.39953965112895</v>
      </c>
      <c r="D93" s="9">
        <v>7.8</v>
      </c>
      <c r="E93" s="11">
        <v>4.8</v>
      </c>
      <c r="F93" s="11">
        <v>5.8</v>
      </c>
      <c r="G93" s="11">
        <v>6.4</v>
      </c>
    </row>
    <row r="94" spans="1:7" x14ac:dyDescent="0.3">
      <c r="A94" s="1">
        <v>45988.791671817133</v>
      </c>
      <c r="B94" s="5">
        <v>4.33</v>
      </c>
      <c r="C94" s="7">
        <f t="shared" si="1"/>
        <v>217.49114537224716</v>
      </c>
      <c r="D94" s="9">
        <v>13.4</v>
      </c>
      <c r="E94" s="11">
        <v>4.8</v>
      </c>
      <c r="F94" s="11">
        <v>5.8</v>
      </c>
      <c r="G94" s="11">
        <v>6.4</v>
      </c>
    </row>
    <row r="95" spans="1:7" x14ac:dyDescent="0.3">
      <c r="A95" s="1">
        <v>45988.83333854167</v>
      </c>
      <c r="B95" s="5">
        <v>4.54</v>
      </c>
      <c r="C95" s="7">
        <f t="shared" si="1"/>
        <v>232.22208423232703</v>
      </c>
      <c r="D95" s="9">
        <v>11.1</v>
      </c>
      <c r="E95" s="11">
        <v>4.8</v>
      </c>
      <c r="F95" s="11">
        <v>5.8</v>
      </c>
      <c r="G95" s="11">
        <v>6.4</v>
      </c>
    </row>
    <row r="96" spans="1:7" x14ac:dyDescent="0.3">
      <c r="A96" s="1">
        <v>45988.875005266207</v>
      </c>
      <c r="B96" s="5">
        <v>4.66</v>
      </c>
      <c r="C96" s="7">
        <f t="shared" si="1"/>
        <v>240.75873952393744</v>
      </c>
      <c r="D96" s="9">
        <v>22.9</v>
      </c>
      <c r="E96" s="11">
        <v>4.8</v>
      </c>
      <c r="F96" s="11">
        <v>5.8</v>
      </c>
      <c r="G96" s="11">
        <v>6.4</v>
      </c>
    </row>
    <row r="97" spans="1:7" x14ac:dyDescent="0.3">
      <c r="A97" s="1">
        <v>45988.916671990744</v>
      </c>
      <c r="B97" s="5">
        <v>5.08</v>
      </c>
      <c r="C97" s="7">
        <f t="shared" si="1"/>
        <v>271.29627731536311</v>
      </c>
      <c r="D97" s="9">
        <v>6.8</v>
      </c>
      <c r="E97" s="11">
        <v>4.8</v>
      </c>
      <c r="F97" s="11">
        <v>5.8</v>
      </c>
      <c r="G97" s="11">
        <v>6.4</v>
      </c>
    </row>
    <row r="98" spans="1:7" x14ac:dyDescent="0.3">
      <c r="A98" s="1">
        <v>45988.958338715274</v>
      </c>
      <c r="B98" s="5">
        <v>5.98</v>
      </c>
      <c r="C98" s="7">
        <f t="shared" si="1"/>
        <v>339.99202317155948</v>
      </c>
      <c r="D98" s="9">
        <v>12.4</v>
      </c>
      <c r="E98" s="11">
        <v>4.8</v>
      </c>
      <c r="F98" s="11">
        <v>5.8</v>
      </c>
      <c r="G98" s="11">
        <v>6.4</v>
      </c>
    </row>
    <row r="99" spans="1:7" x14ac:dyDescent="0.3">
      <c r="A99" s="1">
        <v>45989.000005439812</v>
      </c>
      <c r="B99" s="5">
        <v>6.66</v>
      </c>
      <c r="C99" s="7">
        <f t="shared" si="1"/>
        <v>394.63288072952798</v>
      </c>
      <c r="D99" s="9">
        <v>22.2</v>
      </c>
      <c r="E99" s="11">
        <v>4.8</v>
      </c>
      <c r="F99" s="11">
        <v>5.8</v>
      </c>
      <c r="G99" s="11">
        <v>6.4</v>
      </c>
    </row>
    <row r="100" spans="1:7" x14ac:dyDescent="0.3">
      <c r="A100" s="1">
        <v>45989.041672164349</v>
      </c>
      <c r="B100" s="5">
        <v>7.03</v>
      </c>
      <c r="C100" s="7">
        <f t="shared" si="1"/>
        <v>425.2912114304699</v>
      </c>
      <c r="D100" s="9">
        <v>14.3</v>
      </c>
      <c r="E100" s="11">
        <v>4.8</v>
      </c>
      <c r="F100" s="11">
        <v>5.8</v>
      </c>
      <c r="G100" s="11">
        <v>6.4</v>
      </c>
    </row>
    <row r="101" spans="1:7" x14ac:dyDescent="0.3">
      <c r="A101" s="1">
        <v>45989.083338888886</v>
      </c>
      <c r="B101" s="5">
        <v>7.4</v>
      </c>
      <c r="C101" s="7">
        <f t="shared" si="1"/>
        <v>456.57537363418101</v>
      </c>
      <c r="D101" s="9">
        <v>7.7</v>
      </c>
      <c r="E101" s="11">
        <v>4.8</v>
      </c>
      <c r="F101" s="11">
        <v>5.8</v>
      </c>
      <c r="G101" s="11">
        <v>6.4</v>
      </c>
    </row>
    <row r="102" spans="1:7" x14ac:dyDescent="0.3">
      <c r="A102" s="1">
        <v>45989.125005613423</v>
      </c>
      <c r="B102" s="5">
        <v>7.56</v>
      </c>
      <c r="C102" s="7">
        <f t="shared" si="1"/>
        <v>470.29254023779521</v>
      </c>
      <c r="D102" s="9">
        <v>12.9</v>
      </c>
      <c r="E102" s="11">
        <v>4.8</v>
      </c>
      <c r="F102" s="11">
        <v>5.8</v>
      </c>
      <c r="G102" s="11">
        <v>6.4</v>
      </c>
    </row>
    <row r="103" spans="1:7" x14ac:dyDescent="0.3">
      <c r="A103" s="1">
        <v>45989.16667233796</v>
      </c>
      <c r="B103" s="5">
        <v>7.54</v>
      </c>
      <c r="C103" s="7">
        <f t="shared" si="1"/>
        <v>468.57174592771003</v>
      </c>
      <c r="D103" s="9">
        <v>9.1</v>
      </c>
      <c r="E103" s="11">
        <v>4.8</v>
      </c>
      <c r="F103" s="11">
        <v>5.8</v>
      </c>
      <c r="G103" s="11">
        <v>6.4</v>
      </c>
    </row>
    <row r="104" spans="1:7" x14ac:dyDescent="0.3">
      <c r="A104" s="1">
        <v>45989.208339062498</v>
      </c>
      <c r="B104" s="5">
        <v>7.46</v>
      </c>
      <c r="C104" s="7">
        <f t="shared" si="1"/>
        <v>461.70610685718117</v>
      </c>
      <c r="D104" s="9">
        <v>10</v>
      </c>
      <c r="E104" s="11">
        <v>4.8</v>
      </c>
      <c r="F104" s="11">
        <v>5.8</v>
      </c>
      <c r="G104" s="11">
        <v>6.4</v>
      </c>
    </row>
    <row r="105" spans="1:7" x14ac:dyDescent="0.3">
      <c r="A105" s="1">
        <v>45989.250005787035</v>
      </c>
      <c r="B105" s="5">
        <v>7.25</v>
      </c>
      <c r="C105" s="7">
        <f t="shared" si="1"/>
        <v>443.81846079853858</v>
      </c>
      <c r="D105" s="9">
        <v>8.9</v>
      </c>
      <c r="E105" s="11">
        <v>4.8</v>
      </c>
      <c r="F105" s="11">
        <v>5.8</v>
      </c>
      <c r="G105" s="11">
        <v>6.4</v>
      </c>
    </row>
    <row r="106" spans="1:7" x14ac:dyDescent="0.3">
      <c r="A106" s="1">
        <v>45989.291672511572</v>
      </c>
      <c r="B106" s="5">
        <v>7.04</v>
      </c>
      <c r="C106" s="7">
        <f t="shared" si="1"/>
        <v>426.1285920577368</v>
      </c>
      <c r="D106" s="9">
        <v>11.4</v>
      </c>
      <c r="E106" s="11">
        <v>4.8</v>
      </c>
      <c r="F106" s="11">
        <v>5.8</v>
      </c>
      <c r="G106" s="11">
        <v>6.4</v>
      </c>
    </row>
    <row r="107" spans="1:7" x14ac:dyDescent="0.3">
      <c r="A107" s="1">
        <v>45989.333339236109</v>
      </c>
      <c r="B107" s="5">
        <v>6.99</v>
      </c>
      <c r="C107" s="7">
        <f t="shared" si="1"/>
        <v>421.94626333585205</v>
      </c>
      <c r="D107" s="9">
        <v>15.1</v>
      </c>
      <c r="E107" s="11">
        <v>4.8</v>
      </c>
      <c r="F107" s="11">
        <v>5.8</v>
      </c>
      <c r="G107" s="11">
        <v>6.4</v>
      </c>
    </row>
    <row r="108" spans="1:7" x14ac:dyDescent="0.3">
      <c r="A108" s="1">
        <v>45989.375005960646</v>
      </c>
      <c r="B108" s="5">
        <v>7.09</v>
      </c>
      <c r="C108" s="7">
        <f t="shared" si="1"/>
        <v>430.32233681958206</v>
      </c>
      <c r="D108" s="9">
        <v>22.9</v>
      </c>
      <c r="E108" s="11">
        <v>4.8</v>
      </c>
      <c r="F108" s="11">
        <v>5.8</v>
      </c>
      <c r="G108" s="11">
        <v>6.4</v>
      </c>
    </row>
    <row r="109" spans="1:7" x14ac:dyDescent="0.3">
      <c r="A109" s="1">
        <v>45989.416672685184</v>
      </c>
      <c r="B109" s="5">
        <v>7.45</v>
      </c>
      <c r="C109" s="7">
        <f t="shared" si="1"/>
        <v>460.84988096796536</v>
      </c>
      <c r="D109" s="9">
        <v>27</v>
      </c>
      <c r="E109" s="11">
        <v>4.8</v>
      </c>
      <c r="F109" s="11">
        <v>5.8</v>
      </c>
      <c r="G109" s="11">
        <v>6.4</v>
      </c>
    </row>
    <row r="110" spans="1:7" x14ac:dyDescent="0.3">
      <c r="A110" s="1">
        <v>45989.458339409721</v>
      </c>
      <c r="B110" s="5">
        <v>8.08</v>
      </c>
      <c r="C110" s="7">
        <f t="shared" si="1"/>
        <v>515.63865921634692</v>
      </c>
      <c r="D110" s="9">
        <v>11.1</v>
      </c>
      <c r="E110" s="11">
        <v>4.8</v>
      </c>
      <c r="F110" s="11">
        <v>5.8</v>
      </c>
      <c r="G110" s="11">
        <v>6.4</v>
      </c>
    </row>
    <row r="111" spans="1:7" x14ac:dyDescent="0.3">
      <c r="A111" s="1">
        <v>45989.500006134258</v>
      </c>
      <c r="B111" s="5">
        <v>8.5500000000000007</v>
      </c>
      <c r="C111" s="7">
        <f t="shared" si="1"/>
        <v>557.60202076075916</v>
      </c>
      <c r="D111" s="9">
        <v>8.1999999999999993</v>
      </c>
      <c r="E111" s="11">
        <v>4.8</v>
      </c>
      <c r="F111" s="11">
        <v>5.8</v>
      </c>
      <c r="G111" s="11">
        <v>6.4</v>
      </c>
    </row>
    <row r="112" spans="1:7" x14ac:dyDescent="0.3">
      <c r="A112" s="1">
        <v>45989.541672858795</v>
      </c>
      <c r="B112" s="8">
        <v>8.6300000000000008</v>
      </c>
      <c r="C112" s="7">
        <f t="shared" si="1"/>
        <v>564.83469904563412</v>
      </c>
      <c r="D112" s="9">
        <v>10.5</v>
      </c>
      <c r="E112" s="11">
        <v>4.8</v>
      </c>
      <c r="F112" s="11">
        <v>5.8</v>
      </c>
      <c r="G112" s="11">
        <v>6.4</v>
      </c>
    </row>
    <row r="113" spans="1:7" x14ac:dyDescent="0.3">
      <c r="A113" s="1">
        <v>45989.583339583332</v>
      </c>
      <c r="B113" s="5">
        <v>8.44</v>
      </c>
      <c r="C113" s="7">
        <f t="shared" si="1"/>
        <v>547.69945284260223</v>
      </c>
      <c r="D113" s="9">
        <v>6.4</v>
      </c>
      <c r="E113" s="11">
        <v>4.8</v>
      </c>
      <c r="F113" s="11">
        <v>5.8</v>
      </c>
      <c r="G113" s="11">
        <v>6.4</v>
      </c>
    </row>
    <row r="114" spans="1:7" x14ac:dyDescent="0.3">
      <c r="A114" s="1">
        <v>45989.62500630787</v>
      </c>
      <c r="B114" s="5">
        <v>7.93</v>
      </c>
      <c r="C114" s="7">
        <f t="shared" si="1"/>
        <v>502.43960560346289</v>
      </c>
      <c r="D114" s="9">
        <v>1.4</v>
      </c>
      <c r="E114" s="11">
        <v>4.8</v>
      </c>
      <c r="F114" s="11">
        <v>5.8</v>
      </c>
      <c r="G114" s="11">
        <v>6.4</v>
      </c>
    </row>
    <row r="115" spans="1:7" x14ac:dyDescent="0.3">
      <c r="A115" s="1">
        <v>45989.666673032407</v>
      </c>
      <c r="B115" s="5">
        <v>7.31</v>
      </c>
      <c r="C115" s="7">
        <f t="shared" si="1"/>
        <v>448.90918933375457</v>
      </c>
      <c r="D115" s="9">
        <v>2.5</v>
      </c>
      <c r="E115" s="11">
        <v>4.8</v>
      </c>
      <c r="F115" s="11">
        <v>5.8</v>
      </c>
      <c r="G115" s="11">
        <v>6.4</v>
      </c>
    </row>
    <row r="116" spans="1:7" x14ac:dyDescent="0.3">
      <c r="A116" s="1">
        <v>45989.708339756944</v>
      </c>
      <c r="B116" s="5">
        <v>6.63</v>
      </c>
      <c r="C116" s="7">
        <f t="shared" si="1"/>
        <v>392.17513076484454</v>
      </c>
      <c r="D116" s="9">
        <v>4.9000000000000004</v>
      </c>
      <c r="E116" s="11">
        <v>4.8</v>
      </c>
      <c r="F116" s="11">
        <v>5.8</v>
      </c>
      <c r="G116" s="11">
        <v>6.4</v>
      </c>
    </row>
    <row r="117" spans="1:7" x14ac:dyDescent="0.3">
      <c r="A117" s="1">
        <v>45989.750006481481</v>
      </c>
      <c r="B117" s="5">
        <v>5.89</v>
      </c>
      <c r="C117" s="7">
        <f t="shared" si="1"/>
        <v>332.93171992817327</v>
      </c>
      <c r="D117" s="9">
        <v>1</v>
      </c>
      <c r="E117" s="11">
        <v>4.8</v>
      </c>
      <c r="F117" s="11">
        <v>5.8</v>
      </c>
      <c r="G117" s="11">
        <v>6.4</v>
      </c>
    </row>
    <row r="118" spans="1:7" x14ac:dyDescent="0.3">
      <c r="A118" s="1">
        <v>45989.791673206018</v>
      </c>
      <c r="B118" s="5">
        <v>5.35</v>
      </c>
      <c r="C118" s="7">
        <f t="shared" si="1"/>
        <v>291.45102900134168</v>
      </c>
      <c r="D118" s="9">
        <v>1.5</v>
      </c>
      <c r="E118" s="11">
        <v>4.8</v>
      </c>
      <c r="F118" s="11">
        <v>5.8</v>
      </c>
      <c r="G118" s="11">
        <v>6.4</v>
      </c>
    </row>
    <row r="119" spans="1:7" x14ac:dyDescent="0.3">
      <c r="A119" s="1">
        <v>45989.833339930556</v>
      </c>
      <c r="B119" s="5">
        <v>4.8600000000000003</v>
      </c>
      <c r="C119" s="7">
        <f t="shared" si="1"/>
        <v>255.17428046414426</v>
      </c>
      <c r="D119" s="9">
        <v>1</v>
      </c>
      <c r="E119" s="11">
        <v>4.8</v>
      </c>
      <c r="F119" s="11">
        <v>5.8</v>
      </c>
      <c r="G119" s="11">
        <v>6.4</v>
      </c>
    </row>
    <row r="120" spans="1:7" x14ac:dyDescent="0.3">
      <c r="A120" s="1">
        <v>45989.875006655093</v>
      </c>
      <c r="B120" s="5">
        <v>4.4000000000000004</v>
      </c>
      <c r="C120" s="7">
        <f t="shared" si="1"/>
        <v>222.37166259285488</v>
      </c>
      <c r="D120" s="9">
        <v>1</v>
      </c>
      <c r="E120" s="11">
        <v>4.8</v>
      </c>
      <c r="F120" s="11">
        <v>5.8</v>
      </c>
      <c r="G120" s="11">
        <v>6.4</v>
      </c>
    </row>
    <row r="121" spans="1:7" x14ac:dyDescent="0.3">
      <c r="A121" s="1">
        <v>45989.91667337963</v>
      </c>
      <c r="B121" s="5">
        <v>4.04</v>
      </c>
      <c r="C121" s="7">
        <f t="shared" si="1"/>
        <v>197.59691619287443</v>
      </c>
      <c r="D121" s="9">
        <v>0.5</v>
      </c>
      <c r="E121" s="11">
        <v>4.8</v>
      </c>
      <c r="F121" s="11">
        <v>5.8</v>
      </c>
      <c r="G121" s="11">
        <v>6.4</v>
      </c>
    </row>
    <row r="122" spans="1:7" x14ac:dyDescent="0.3">
      <c r="A122" s="1">
        <v>45989.958340104167</v>
      </c>
      <c r="B122" s="5">
        <v>3.75</v>
      </c>
      <c r="C122" s="7">
        <f t="shared" si="1"/>
        <v>178.24366264806463</v>
      </c>
      <c r="D122" s="9">
        <v>0</v>
      </c>
      <c r="E122" s="11">
        <v>4.8</v>
      </c>
      <c r="F122" s="11">
        <v>5.8</v>
      </c>
      <c r="G122" s="11">
        <v>6.4</v>
      </c>
    </row>
    <row r="123" spans="1:7" x14ac:dyDescent="0.3">
      <c r="A123" s="1">
        <v>45990.000006828704</v>
      </c>
      <c r="B123" s="5">
        <v>3.54</v>
      </c>
      <c r="C123" s="7">
        <f t="shared" si="1"/>
        <v>164.58124504828405</v>
      </c>
      <c r="D123" s="9">
        <v>0.9</v>
      </c>
      <c r="E123" s="11">
        <v>4.8</v>
      </c>
      <c r="F123" s="11">
        <v>5.8</v>
      </c>
      <c r="G123" s="11">
        <v>6.4</v>
      </c>
    </row>
    <row r="124" spans="1:7" x14ac:dyDescent="0.3">
      <c r="A124" s="1">
        <v>45990.041673553242</v>
      </c>
      <c r="B124" s="5">
        <v>3.38</v>
      </c>
      <c r="C124" s="7">
        <f t="shared" si="1"/>
        <v>154.37769750209893</v>
      </c>
      <c r="D124" s="9">
        <v>0</v>
      </c>
      <c r="E124" s="11">
        <v>4.8</v>
      </c>
      <c r="F124" s="11">
        <v>5.8</v>
      </c>
      <c r="G124" s="11">
        <v>6.4</v>
      </c>
    </row>
    <row r="125" spans="1:7" x14ac:dyDescent="0.3">
      <c r="A125" s="1">
        <v>45990.083340277779</v>
      </c>
      <c r="B125" s="5">
        <v>3.29</v>
      </c>
      <c r="C125" s="7">
        <f t="shared" si="1"/>
        <v>148.71860841174521</v>
      </c>
      <c r="D125" s="9">
        <v>0</v>
      </c>
      <c r="E125" s="11">
        <v>4.8</v>
      </c>
      <c r="F125" s="11">
        <v>5.8</v>
      </c>
      <c r="G125" s="11">
        <v>6.4</v>
      </c>
    </row>
    <row r="126" spans="1:7" x14ac:dyDescent="0.3">
      <c r="A126" s="1">
        <v>45990.125007002316</v>
      </c>
      <c r="B126" s="5">
        <v>3.11</v>
      </c>
      <c r="C126" s="7">
        <f t="shared" si="1"/>
        <v>137.57878056971617</v>
      </c>
      <c r="D126" s="9">
        <v>0</v>
      </c>
      <c r="E126" s="11">
        <v>4.8</v>
      </c>
      <c r="F126" s="11">
        <v>5.8</v>
      </c>
      <c r="G126" s="11">
        <v>6.4</v>
      </c>
    </row>
    <row r="127" spans="1:7" x14ac:dyDescent="0.3">
      <c r="A127" s="1">
        <v>45990.166673726853</v>
      </c>
      <c r="B127" s="5">
        <v>3.06</v>
      </c>
      <c r="C127" s="7">
        <f t="shared" si="1"/>
        <v>134.52745906739733</v>
      </c>
      <c r="D127" s="9">
        <v>0</v>
      </c>
      <c r="E127" s="11">
        <v>4.8</v>
      </c>
      <c r="F127" s="11">
        <v>5.8</v>
      </c>
      <c r="G127" s="11">
        <v>6.4</v>
      </c>
    </row>
    <row r="128" spans="1:7" x14ac:dyDescent="0.3">
      <c r="A128" s="1">
        <v>45990.208340451391</v>
      </c>
      <c r="B128" s="5">
        <v>2.97</v>
      </c>
      <c r="C128" s="7">
        <f t="shared" si="1"/>
        <v>129.08328348191355</v>
      </c>
      <c r="D128" s="9">
        <v>0</v>
      </c>
      <c r="E128" s="11">
        <v>4.8</v>
      </c>
      <c r="F128" s="11">
        <v>5.8</v>
      </c>
      <c r="G128" s="11">
        <v>6.4</v>
      </c>
    </row>
    <row r="129" spans="1:7" x14ac:dyDescent="0.3">
      <c r="A129" s="1">
        <v>45990.250007175928</v>
      </c>
      <c r="B129" s="5">
        <v>2.85</v>
      </c>
      <c r="C129" s="7">
        <f t="shared" si="1"/>
        <v>121.92252455961884</v>
      </c>
      <c r="D129" s="9">
        <v>2.1</v>
      </c>
      <c r="E129" s="11">
        <v>4.8</v>
      </c>
      <c r="F129" s="11">
        <v>5.8</v>
      </c>
      <c r="G129" s="11">
        <v>6.4</v>
      </c>
    </row>
    <row r="130" spans="1:7" x14ac:dyDescent="0.3">
      <c r="A130" s="1">
        <v>45990.291673900465</v>
      </c>
      <c r="B130" s="5">
        <v>2.8</v>
      </c>
      <c r="C130" s="7">
        <f t="shared" si="1"/>
        <v>118.97258918836394</v>
      </c>
      <c r="D130" s="9">
        <v>0.5</v>
      </c>
      <c r="E130" s="11">
        <v>4.8</v>
      </c>
      <c r="F130" s="11">
        <v>5.8</v>
      </c>
      <c r="G130" s="11">
        <v>6.4</v>
      </c>
    </row>
    <row r="131" spans="1:7" x14ac:dyDescent="0.3">
      <c r="A131" s="1">
        <v>45990.333340625002</v>
      </c>
      <c r="B131" s="5">
        <v>2.78</v>
      </c>
      <c r="C131" s="7">
        <f t="shared" si="1"/>
        <v>117.79824440028996</v>
      </c>
      <c r="D131" s="9">
        <v>0</v>
      </c>
      <c r="E131" s="11">
        <v>4.8</v>
      </c>
      <c r="F131" s="11">
        <v>5.8</v>
      </c>
      <c r="G131" s="11">
        <v>6.4</v>
      </c>
    </row>
    <row r="132" spans="1:7" x14ac:dyDescent="0.3">
      <c r="A132" s="1">
        <v>45990.375007349539</v>
      </c>
      <c r="B132" s="5">
        <v>2.74</v>
      </c>
      <c r="C132" s="7">
        <f t="shared" si="1"/>
        <v>115.45928354348152</v>
      </c>
      <c r="D132" s="9">
        <v>0</v>
      </c>
      <c r="E132" s="11">
        <v>4.8</v>
      </c>
      <c r="F132" s="11">
        <v>5.8</v>
      </c>
      <c r="G132" s="11">
        <v>6.4</v>
      </c>
    </row>
    <row r="133" spans="1:7" x14ac:dyDescent="0.3">
      <c r="A133" s="1">
        <v>45990.416674074077</v>
      </c>
      <c r="B133" s="5">
        <v>2.65</v>
      </c>
      <c r="C133" s="7">
        <f t="shared" ref="C133:C196" si="2">IF(B133="","",28.62*(B133)^1.3838)</f>
        <v>110.24458571474146</v>
      </c>
      <c r="D133" s="9">
        <v>0</v>
      </c>
      <c r="E133" s="11">
        <v>4.8</v>
      </c>
      <c r="F133" s="11">
        <v>5.8</v>
      </c>
      <c r="G133" s="11">
        <v>6.4</v>
      </c>
    </row>
    <row r="134" spans="1:7" x14ac:dyDescent="0.3">
      <c r="A134" s="1">
        <v>45990.458340798614</v>
      </c>
      <c r="B134" s="5">
        <v>2.57</v>
      </c>
      <c r="C134" s="7">
        <f t="shared" si="2"/>
        <v>105.66595572542545</v>
      </c>
      <c r="D134" s="9">
        <v>0.5</v>
      </c>
      <c r="E134" s="11">
        <v>4.8</v>
      </c>
      <c r="F134" s="11">
        <v>5.8</v>
      </c>
      <c r="G134" s="11">
        <v>6.4</v>
      </c>
    </row>
    <row r="135" spans="1:7" x14ac:dyDescent="0.3">
      <c r="A135" s="1">
        <v>45990.500007523151</v>
      </c>
      <c r="B135" s="5">
        <v>2.5</v>
      </c>
      <c r="C135" s="7">
        <f t="shared" si="2"/>
        <v>101.70422936799505</v>
      </c>
      <c r="D135" s="9">
        <v>0</v>
      </c>
      <c r="E135" s="11">
        <v>4.8</v>
      </c>
      <c r="F135" s="11">
        <v>5.8</v>
      </c>
      <c r="G135" s="11">
        <v>6.4</v>
      </c>
    </row>
    <row r="136" spans="1:7" x14ac:dyDescent="0.3">
      <c r="A136" s="1">
        <v>45990.541674247688</v>
      </c>
      <c r="B136" s="5">
        <v>2.41</v>
      </c>
      <c r="C136" s="7">
        <f t="shared" si="2"/>
        <v>96.672914726207694</v>
      </c>
      <c r="D136" s="9">
        <v>0.2</v>
      </c>
      <c r="E136" s="11">
        <v>4.8</v>
      </c>
      <c r="F136" s="11">
        <v>5.8</v>
      </c>
      <c r="G136" s="11">
        <v>6.4</v>
      </c>
    </row>
    <row r="137" spans="1:7" x14ac:dyDescent="0.3">
      <c r="A137" s="1">
        <v>45990.583340972225</v>
      </c>
      <c r="B137" s="5">
        <v>2.42</v>
      </c>
      <c r="C137" s="7">
        <f t="shared" si="2"/>
        <v>97.228443398278458</v>
      </c>
      <c r="D137" s="9">
        <v>0</v>
      </c>
      <c r="E137" s="11">
        <v>4.8</v>
      </c>
      <c r="F137" s="11">
        <v>5.8</v>
      </c>
      <c r="G137" s="11">
        <v>6.4</v>
      </c>
    </row>
    <row r="138" spans="1:7" x14ac:dyDescent="0.3">
      <c r="A138" s="1">
        <v>45990.625007696763</v>
      </c>
      <c r="B138" s="5">
        <v>2.38</v>
      </c>
      <c r="C138" s="7">
        <f t="shared" si="2"/>
        <v>95.01164176474397</v>
      </c>
      <c r="D138" s="9">
        <v>0</v>
      </c>
      <c r="E138" s="11">
        <v>4.8</v>
      </c>
      <c r="F138" s="11">
        <v>5.8</v>
      </c>
      <c r="G138" s="11">
        <v>6.4</v>
      </c>
    </row>
    <row r="139" spans="1:7" x14ac:dyDescent="0.3">
      <c r="A139" s="1">
        <v>45990.6666744213</v>
      </c>
      <c r="B139" s="5">
        <v>2.33</v>
      </c>
      <c r="C139" s="7">
        <f t="shared" si="2"/>
        <v>92.260701609755003</v>
      </c>
      <c r="D139" s="9">
        <v>0</v>
      </c>
      <c r="E139" s="11">
        <v>4.8</v>
      </c>
      <c r="F139" s="11">
        <v>5.8</v>
      </c>
      <c r="G139" s="11">
        <v>6.4</v>
      </c>
    </row>
    <row r="140" spans="1:7" x14ac:dyDescent="0.3">
      <c r="A140" s="1">
        <v>45990.70834114583</v>
      </c>
      <c r="B140" s="5">
        <v>2.33</v>
      </c>
      <c r="C140" s="7">
        <f t="shared" si="2"/>
        <v>92.260701609755003</v>
      </c>
      <c r="D140" s="9">
        <v>0</v>
      </c>
      <c r="E140" s="11">
        <v>4.8</v>
      </c>
      <c r="F140" s="11">
        <v>5.8</v>
      </c>
      <c r="G140" s="11">
        <v>6.4</v>
      </c>
    </row>
    <row r="141" spans="1:7" x14ac:dyDescent="0.3">
      <c r="A141" s="1">
        <v>45990.750007870367</v>
      </c>
      <c r="B141" s="5">
        <v>2.27</v>
      </c>
      <c r="C141" s="7">
        <f t="shared" si="2"/>
        <v>88.989386067224999</v>
      </c>
      <c r="D141" s="9">
        <v>0</v>
      </c>
      <c r="E141" s="11">
        <v>4.8</v>
      </c>
      <c r="F141" s="11">
        <v>5.8</v>
      </c>
      <c r="G141" s="11">
        <v>6.4</v>
      </c>
    </row>
    <row r="142" spans="1:7" x14ac:dyDescent="0.3">
      <c r="A142" s="1">
        <v>45990.791674594904</v>
      </c>
      <c r="B142" s="5">
        <v>2.2000000000000002</v>
      </c>
      <c r="C142" s="7">
        <f t="shared" si="2"/>
        <v>85.214624605162825</v>
      </c>
      <c r="D142" s="9">
        <v>0</v>
      </c>
      <c r="E142" s="11">
        <v>4.8</v>
      </c>
      <c r="F142" s="11">
        <v>5.8</v>
      </c>
      <c r="G142" s="11">
        <v>6.4</v>
      </c>
    </row>
    <row r="143" spans="1:7" x14ac:dyDescent="0.3">
      <c r="A143" s="1">
        <v>45990.833341319441</v>
      </c>
      <c r="B143" s="5">
        <v>2.16</v>
      </c>
      <c r="C143" s="7">
        <f t="shared" si="2"/>
        <v>83.078133404737272</v>
      </c>
      <c r="D143" s="9">
        <v>0</v>
      </c>
      <c r="E143" s="11">
        <v>4.8</v>
      </c>
      <c r="F143" s="11">
        <v>5.8</v>
      </c>
      <c r="G143" s="11">
        <v>6.4</v>
      </c>
    </row>
    <row r="144" spans="1:7" x14ac:dyDescent="0.3">
      <c r="A144" s="1">
        <v>45990.875008043979</v>
      </c>
      <c r="B144" s="5">
        <v>2.16</v>
      </c>
      <c r="C144" s="7">
        <f t="shared" si="2"/>
        <v>83.078133404737272</v>
      </c>
      <c r="D144" s="9">
        <v>0</v>
      </c>
      <c r="E144" s="11">
        <v>4.8</v>
      </c>
      <c r="F144" s="11">
        <v>5.8</v>
      </c>
      <c r="G144" s="11">
        <v>6.4</v>
      </c>
    </row>
    <row r="145" spans="1:7" x14ac:dyDescent="0.3">
      <c r="A145" s="1">
        <v>45990.916674768516</v>
      </c>
      <c r="B145" s="5">
        <v>2.1</v>
      </c>
      <c r="C145" s="7">
        <f t="shared" si="2"/>
        <v>79.901823258310188</v>
      </c>
      <c r="D145" s="9">
        <v>0</v>
      </c>
      <c r="E145" s="11">
        <v>4.8</v>
      </c>
      <c r="F145" s="11">
        <v>5.8</v>
      </c>
      <c r="G145" s="11">
        <v>6.4</v>
      </c>
    </row>
    <row r="146" spans="1:7" x14ac:dyDescent="0.3">
      <c r="A146" s="1">
        <v>45990.958341493053</v>
      </c>
      <c r="B146" s="5">
        <v>2.04</v>
      </c>
      <c r="C146" s="7">
        <f t="shared" si="2"/>
        <v>76.760157135565393</v>
      </c>
      <c r="D146" s="9">
        <v>0</v>
      </c>
      <c r="E146" s="11">
        <v>4.8</v>
      </c>
      <c r="F146" s="11">
        <v>5.8</v>
      </c>
      <c r="G146" s="11">
        <v>6.4</v>
      </c>
    </row>
    <row r="147" spans="1:7" x14ac:dyDescent="0.3">
      <c r="A147" s="1">
        <v>45991.00000821759</v>
      </c>
      <c r="B147" s="5">
        <v>2.0099999999999998</v>
      </c>
      <c r="C147" s="7">
        <f t="shared" si="2"/>
        <v>75.202509584264433</v>
      </c>
      <c r="D147" s="9">
        <v>0</v>
      </c>
      <c r="E147" s="11">
        <v>4.8</v>
      </c>
      <c r="F147" s="11">
        <v>5.8</v>
      </c>
      <c r="G147" s="11">
        <v>6.4</v>
      </c>
    </row>
    <row r="148" spans="1:7" x14ac:dyDescent="0.3">
      <c r="A148" s="1">
        <v>45991.041674942127</v>
      </c>
      <c r="B148" s="5">
        <v>1.98</v>
      </c>
      <c r="C148" s="7">
        <f t="shared" si="2"/>
        <v>73.65375955463746</v>
      </c>
      <c r="D148" s="9">
        <v>0</v>
      </c>
      <c r="E148" s="11">
        <v>4.8</v>
      </c>
      <c r="F148" s="11">
        <v>5.8</v>
      </c>
      <c r="G148" s="11">
        <v>6.4</v>
      </c>
    </row>
    <row r="149" spans="1:7" x14ac:dyDescent="0.3">
      <c r="A149" s="1">
        <v>45991.083341666665</v>
      </c>
      <c r="B149" s="5">
        <v>1.96</v>
      </c>
      <c r="C149" s="7">
        <f t="shared" si="2"/>
        <v>72.626243425382597</v>
      </c>
      <c r="D149" s="9">
        <v>0</v>
      </c>
      <c r="E149" s="11">
        <v>4.8</v>
      </c>
      <c r="F149" s="11">
        <v>5.8</v>
      </c>
      <c r="G149" s="11">
        <v>6.4</v>
      </c>
    </row>
    <row r="150" spans="1:7" x14ac:dyDescent="0.3">
      <c r="A150" s="1">
        <v>45991.125008391202</v>
      </c>
      <c r="B150" s="5">
        <v>1.92</v>
      </c>
      <c r="C150" s="7">
        <f t="shared" si="2"/>
        <v>70.583285457096224</v>
      </c>
      <c r="D150" s="9">
        <v>0</v>
      </c>
      <c r="E150" s="11">
        <v>4.8</v>
      </c>
      <c r="F150" s="11">
        <v>5.8</v>
      </c>
      <c r="G150" s="11">
        <v>6.4</v>
      </c>
    </row>
    <row r="151" spans="1:7" x14ac:dyDescent="0.3">
      <c r="A151" s="1">
        <v>45991.166675115739</v>
      </c>
      <c r="B151" s="5">
        <v>1.9</v>
      </c>
      <c r="C151" s="7">
        <f t="shared" si="2"/>
        <v>69.567894974307663</v>
      </c>
      <c r="D151" s="9">
        <v>0</v>
      </c>
      <c r="E151" s="11">
        <v>4.8</v>
      </c>
      <c r="F151" s="11">
        <v>5.8</v>
      </c>
      <c r="G151" s="11">
        <v>6.4</v>
      </c>
    </row>
    <row r="152" spans="1:7" x14ac:dyDescent="0.3">
      <c r="A152" s="1">
        <v>45991.208341840276</v>
      </c>
      <c r="B152" s="5">
        <v>1.86</v>
      </c>
      <c r="C152" s="7">
        <f t="shared" si="2"/>
        <v>67.549422682075871</v>
      </c>
      <c r="D152" s="9">
        <v>0</v>
      </c>
      <c r="E152" s="11">
        <v>4.8</v>
      </c>
      <c r="F152" s="11">
        <v>5.8</v>
      </c>
      <c r="G152" s="11">
        <v>6.4</v>
      </c>
    </row>
    <row r="153" spans="1:7" x14ac:dyDescent="0.3">
      <c r="A153" s="1">
        <v>45991.250008564813</v>
      </c>
      <c r="B153" s="5">
        <v>1.83</v>
      </c>
      <c r="C153" s="7">
        <f t="shared" si="2"/>
        <v>66.04644515861574</v>
      </c>
      <c r="D153" s="9">
        <v>0</v>
      </c>
      <c r="E153" s="11">
        <v>4.8</v>
      </c>
      <c r="F153" s="11">
        <v>5.8</v>
      </c>
      <c r="G153" s="11">
        <v>6.4</v>
      </c>
    </row>
    <row r="154" spans="1:7" x14ac:dyDescent="0.3">
      <c r="A154" s="1">
        <v>45991.291675289351</v>
      </c>
      <c r="B154" s="5">
        <v>1.8</v>
      </c>
      <c r="C154" s="7">
        <f t="shared" si="2"/>
        <v>64.552894727495826</v>
      </c>
      <c r="D154" s="9">
        <v>0</v>
      </c>
      <c r="E154" s="11">
        <v>4.8</v>
      </c>
      <c r="F154" s="11">
        <v>5.8</v>
      </c>
      <c r="G154" s="11">
        <v>6.4</v>
      </c>
    </row>
    <row r="155" spans="1:7" x14ac:dyDescent="0.3">
      <c r="A155" s="1">
        <v>45991.333342013888</v>
      </c>
      <c r="B155" s="5">
        <v>1.79</v>
      </c>
      <c r="C155" s="7">
        <f t="shared" si="2"/>
        <v>64.057156100172492</v>
      </c>
      <c r="D155" s="9">
        <v>0</v>
      </c>
      <c r="E155" s="11">
        <v>4.8</v>
      </c>
      <c r="F155" s="11">
        <v>5.8</v>
      </c>
      <c r="G155" s="11">
        <v>6.4</v>
      </c>
    </row>
    <row r="156" spans="1:7" x14ac:dyDescent="0.3">
      <c r="A156" s="1">
        <v>45991.375008738425</v>
      </c>
      <c r="B156" s="5">
        <v>1.78</v>
      </c>
      <c r="C156" s="7">
        <f t="shared" si="2"/>
        <v>63.562479268674039</v>
      </c>
      <c r="D156" s="9">
        <v>0</v>
      </c>
      <c r="E156" s="11">
        <v>4.8</v>
      </c>
      <c r="F156" s="11">
        <v>5.8</v>
      </c>
      <c r="G156" s="11">
        <v>6.4</v>
      </c>
    </row>
    <row r="157" spans="1:7" x14ac:dyDescent="0.3">
      <c r="A157" s="1">
        <v>45991.416675462962</v>
      </c>
      <c r="B157" s="5">
        <v>1.6</v>
      </c>
      <c r="C157" s="7">
        <f t="shared" si="2"/>
        <v>54.844219638821464</v>
      </c>
      <c r="D157" s="9">
        <v>0</v>
      </c>
      <c r="E157" s="11">
        <v>4.8</v>
      </c>
      <c r="F157" s="11">
        <v>5.8</v>
      </c>
      <c r="G157" s="11">
        <v>6.4</v>
      </c>
    </row>
    <row r="158" spans="1:7" x14ac:dyDescent="0.3">
      <c r="A158" s="1">
        <v>45991.4583421875</v>
      </c>
      <c r="B158" s="5">
        <v>1.66</v>
      </c>
      <c r="C158" s="7">
        <f t="shared" si="2"/>
        <v>57.710548453220717</v>
      </c>
      <c r="D158" s="9">
        <v>0</v>
      </c>
      <c r="E158" s="11">
        <v>4.8</v>
      </c>
      <c r="F158" s="11">
        <v>5.8</v>
      </c>
      <c r="G158" s="11">
        <v>6.4</v>
      </c>
    </row>
    <row r="159" spans="1:7" x14ac:dyDescent="0.3">
      <c r="A159" s="1">
        <v>45991.500008912037</v>
      </c>
      <c r="B159" s="5">
        <v>1.66</v>
      </c>
      <c r="C159" s="7">
        <f t="shared" si="2"/>
        <v>57.710548453220717</v>
      </c>
      <c r="D159" s="9">
        <v>0</v>
      </c>
      <c r="E159" s="11">
        <v>4.8</v>
      </c>
      <c r="F159" s="11">
        <v>5.8</v>
      </c>
      <c r="G159" s="11">
        <v>6.4</v>
      </c>
    </row>
    <row r="160" spans="1:7" x14ac:dyDescent="0.3">
      <c r="A160" s="1">
        <v>45991.541675636574</v>
      </c>
      <c r="B160" s="5">
        <v>1.65</v>
      </c>
      <c r="C160" s="7">
        <f t="shared" si="2"/>
        <v>57.230021811535892</v>
      </c>
      <c r="D160" s="9">
        <v>0</v>
      </c>
      <c r="E160" s="11">
        <v>4.8</v>
      </c>
      <c r="F160" s="11">
        <v>5.8</v>
      </c>
      <c r="G160" s="11">
        <v>6.4</v>
      </c>
    </row>
    <row r="161" spans="1:7" x14ac:dyDescent="0.3">
      <c r="A161" s="1">
        <v>45991.583342361111</v>
      </c>
      <c r="B161" s="5">
        <v>1.64</v>
      </c>
      <c r="C161" s="7">
        <f t="shared" si="2"/>
        <v>56.750611610507896</v>
      </c>
      <c r="D161" s="9">
        <v>0</v>
      </c>
      <c r="E161" s="11">
        <v>4.8</v>
      </c>
      <c r="F161" s="11">
        <v>5.8</v>
      </c>
      <c r="G161" s="11">
        <v>6.4</v>
      </c>
    </row>
    <row r="162" spans="1:7" x14ac:dyDescent="0.3">
      <c r="A162" s="1">
        <v>45991.625009085648</v>
      </c>
      <c r="B162" s="5">
        <v>1.62</v>
      </c>
      <c r="C162" s="7">
        <f t="shared" si="2"/>
        <v>55.795157331793753</v>
      </c>
      <c r="D162" s="9">
        <v>0</v>
      </c>
      <c r="E162" s="11">
        <v>4.8</v>
      </c>
      <c r="F162" s="11">
        <v>5.8</v>
      </c>
      <c r="G162" s="11">
        <v>6.4</v>
      </c>
    </row>
    <row r="163" spans="1:7" x14ac:dyDescent="0.3">
      <c r="A163" s="1">
        <v>45991.666675810186</v>
      </c>
      <c r="B163" s="5">
        <v>1.59</v>
      </c>
      <c r="C163" s="7">
        <f t="shared" si="2"/>
        <v>54.370455330676243</v>
      </c>
      <c r="D163" s="9">
        <v>0</v>
      </c>
      <c r="E163" s="11">
        <v>4.8</v>
      </c>
      <c r="F163" s="11">
        <v>5.8</v>
      </c>
      <c r="G163" s="11">
        <v>6.4</v>
      </c>
    </row>
    <row r="164" spans="1:7" x14ac:dyDescent="0.3">
      <c r="A164" s="1">
        <v>45991.708342534723</v>
      </c>
      <c r="B164" s="5">
        <v>1.5</v>
      </c>
      <c r="C164" s="7">
        <f t="shared" si="2"/>
        <v>50.158520021124403</v>
      </c>
      <c r="D164" s="9">
        <v>0</v>
      </c>
      <c r="E164" s="11">
        <v>4.8</v>
      </c>
      <c r="F164" s="11">
        <v>5.8</v>
      </c>
      <c r="G164" s="11">
        <v>6.4</v>
      </c>
    </row>
    <row r="165" spans="1:7" x14ac:dyDescent="0.3">
      <c r="A165" s="1">
        <v>45991.75000925926</v>
      </c>
      <c r="B165" s="5">
        <v>1.54</v>
      </c>
      <c r="C165" s="7">
        <f t="shared" si="2"/>
        <v>52.01885671479063</v>
      </c>
      <c r="D165" s="9">
        <v>0</v>
      </c>
      <c r="E165" s="11">
        <v>4.8</v>
      </c>
      <c r="F165" s="11">
        <v>5.8</v>
      </c>
      <c r="G165" s="11">
        <v>6.4</v>
      </c>
    </row>
    <row r="166" spans="1:7" x14ac:dyDescent="0.3">
      <c r="A166" s="1">
        <v>45991.791675983797</v>
      </c>
      <c r="B166" s="5">
        <v>1.58</v>
      </c>
      <c r="C166" s="7">
        <f t="shared" si="2"/>
        <v>53.897833239068568</v>
      </c>
      <c r="D166" s="9">
        <v>0</v>
      </c>
      <c r="E166" s="11">
        <v>4.8</v>
      </c>
      <c r="F166" s="11">
        <v>5.8</v>
      </c>
      <c r="G166" s="11">
        <v>6.4</v>
      </c>
    </row>
    <row r="167" spans="1:7" x14ac:dyDescent="0.3">
      <c r="A167" s="1">
        <v>45991.833342708334</v>
      </c>
      <c r="B167" s="5">
        <v>1.68</v>
      </c>
      <c r="C167" s="7">
        <f t="shared" si="2"/>
        <v>58.674934502256299</v>
      </c>
      <c r="D167" s="9">
        <v>0</v>
      </c>
      <c r="E167" s="11">
        <v>4.8</v>
      </c>
      <c r="F167" s="11">
        <v>5.8</v>
      </c>
      <c r="G167" s="11">
        <v>6.4</v>
      </c>
    </row>
    <row r="168" spans="1:7" x14ac:dyDescent="0.3">
      <c r="A168" s="1">
        <v>45991.875009432872</v>
      </c>
      <c r="B168" s="5">
        <v>1.57</v>
      </c>
      <c r="C168" s="7">
        <f t="shared" si="2"/>
        <v>53.426357813296043</v>
      </c>
      <c r="D168" s="9">
        <v>0</v>
      </c>
      <c r="E168" s="11">
        <v>4.8</v>
      </c>
      <c r="F168" s="11">
        <v>5.8</v>
      </c>
      <c r="G168" s="11">
        <v>6.4</v>
      </c>
    </row>
    <row r="169" spans="1:7" x14ac:dyDescent="0.3">
      <c r="A169" s="1">
        <v>45991.916676157409</v>
      </c>
      <c r="B169" s="5">
        <v>1.52</v>
      </c>
      <c r="C169" s="7">
        <f t="shared" si="2"/>
        <v>51.086339643104594</v>
      </c>
      <c r="D169" s="9">
        <v>0</v>
      </c>
      <c r="E169" s="11">
        <v>4.8</v>
      </c>
      <c r="F169" s="11">
        <v>5.8</v>
      </c>
      <c r="G169" s="11">
        <v>6.4</v>
      </c>
    </row>
    <row r="170" spans="1:7" x14ac:dyDescent="0.3">
      <c r="A170" s="1">
        <v>45991.958342881946</v>
      </c>
      <c r="B170" s="5">
        <v>1.49</v>
      </c>
      <c r="C170" s="7">
        <f t="shared" si="2"/>
        <v>49.696383751957796</v>
      </c>
      <c r="D170" s="9">
        <v>0</v>
      </c>
      <c r="E170" s="11">
        <v>4.8</v>
      </c>
      <c r="F170" s="11">
        <v>5.8</v>
      </c>
      <c r="G170" s="11">
        <v>6.4</v>
      </c>
    </row>
    <row r="171" spans="1:7" x14ac:dyDescent="0.3">
      <c r="A171" s="1">
        <v>45992.000009606483</v>
      </c>
      <c r="B171" s="5">
        <v>1.48</v>
      </c>
      <c r="C171" s="7">
        <f t="shared" si="2"/>
        <v>49.23543634677646</v>
      </c>
      <c r="D171" s="9">
        <v>0</v>
      </c>
      <c r="E171" s="11">
        <v>4.8</v>
      </c>
      <c r="F171" s="11">
        <v>5.8</v>
      </c>
      <c r="G171" s="11">
        <v>6.4</v>
      </c>
    </row>
    <row r="172" spans="1:7" x14ac:dyDescent="0.3">
      <c r="A172" s="1">
        <v>45992.04167633102</v>
      </c>
      <c r="B172" s="5">
        <v>1.45</v>
      </c>
      <c r="C172" s="7">
        <f t="shared" si="2"/>
        <v>47.859777022662598</v>
      </c>
      <c r="D172" s="9">
        <v>0</v>
      </c>
      <c r="E172" s="11">
        <v>4.8</v>
      </c>
      <c r="F172" s="11">
        <v>5.8</v>
      </c>
      <c r="G172" s="11">
        <v>6.4</v>
      </c>
    </row>
    <row r="173" spans="1:7" x14ac:dyDescent="0.3">
      <c r="A173" s="1">
        <v>45992.083343055558</v>
      </c>
      <c r="B173" s="5">
        <v>1.45</v>
      </c>
      <c r="C173" s="7">
        <f t="shared" si="2"/>
        <v>47.859777022662598</v>
      </c>
      <c r="D173" s="9">
        <v>0</v>
      </c>
      <c r="E173" s="11">
        <v>4.8</v>
      </c>
      <c r="F173" s="11">
        <v>5.8</v>
      </c>
      <c r="G173" s="11">
        <v>6.4</v>
      </c>
    </row>
    <row r="174" spans="1:7" x14ac:dyDescent="0.3">
      <c r="A174" s="1">
        <v>45992.125009780095</v>
      </c>
      <c r="B174" s="5">
        <v>1.43</v>
      </c>
      <c r="C174" s="7">
        <f t="shared" si="2"/>
        <v>46.948707224072329</v>
      </c>
      <c r="D174" s="9">
        <v>0</v>
      </c>
      <c r="E174" s="11">
        <v>4.8</v>
      </c>
      <c r="F174" s="11">
        <v>5.8</v>
      </c>
      <c r="G174" s="11">
        <v>6.4</v>
      </c>
    </row>
    <row r="175" spans="1:7" x14ac:dyDescent="0.3">
      <c r="A175" s="1">
        <v>45992.166676504632</v>
      </c>
      <c r="B175" s="5">
        <v>1.42</v>
      </c>
      <c r="C175" s="7">
        <f t="shared" si="2"/>
        <v>46.494998750979164</v>
      </c>
      <c r="D175" s="9">
        <v>0</v>
      </c>
      <c r="E175" s="11">
        <v>4.8</v>
      </c>
      <c r="F175" s="11">
        <v>5.8</v>
      </c>
      <c r="G175" s="11">
        <v>6.4</v>
      </c>
    </row>
    <row r="176" spans="1:7" x14ac:dyDescent="0.3">
      <c r="A176" s="1">
        <v>45992.208343229169</v>
      </c>
      <c r="B176" s="5">
        <v>1.41</v>
      </c>
      <c r="C176" s="7">
        <f t="shared" si="2"/>
        <v>46.042514921256419</v>
      </c>
      <c r="D176" s="9">
        <v>0</v>
      </c>
      <c r="E176" s="11">
        <v>4.8</v>
      </c>
      <c r="F176" s="11">
        <v>5.8</v>
      </c>
      <c r="G176" s="11">
        <v>6.4</v>
      </c>
    </row>
    <row r="177" spans="1:7" x14ac:dyDescent="0.3">
      <c r="A177" s="1">
        <v>45992.250009953706</v>
      </c>
      <c r="B177" s="5">
        <v>1.39</v>
      </c>
      <c r="C177" s="7">
        <f t="shared" si="2"/>
        <v>45.141242632596466</v>
      </c>
      <c r="D177" s="9">
        <v>0</v>
      </c>
      <c r="E177" s="11">
        <v>4.8</v>
      </c>
      <c r="F177" s="11">
        <v>5.8</v>
      </c>
      <c r="G177" s="11">
        <v>6.4</v>
      </c>
    </row>
    <row r="178" spans="1:7" x14ac:dyDescent="0.3">
      <c r="A178" s="1">
        <v>45992.291676678244</v>
      </c>
      <c r="B178" s="5">
        <v>1.37</v>
      </c>
      <c r="C178" s="7">
        <f t="shared" si="2"/>
        <v>44.244933862607056</v>
      </c>
      <c r="D178" s="9">
        <v>0</v>
      </c>
      <c r="E178" s="11">
        <v>4.8</v>
      </c>
      <c r="F178" s="11">
        <v>5.8</v>
      </c>
      <c r="G178" s="11">
        <v>6.4</v>
      </c>
    </row>
    <row r="179" spans="1:7" x14ac:dyDescent="0.3">
      <c r="A179" s="1">
        <v>45992.333343402781</v>
      </c>
      <c r="B179" s="5">
        <v>1.34</v>
      </c>
      <c r="C179" s="7">
        <f t="shared" si="2"/>
        <v>42.909875000203407</v>
      </c>
      <c r="D179" s="9">
        <v>0</v>
      </c>
      <c r="E179" s="11">
        <v>4.8</v>
      </c>
      <c r="F179" s="11">
        <v>5.8</v>
      </c>
      <c r="G179" s="11">
        <v>6.4</v>
      </c>
    </row>
    <row r="180" spans="1:7" x14ac:dyDescent="0.3">
      <c r="A180" s="1">
        <v>45992.375010127318</v>
      </c>
      <c r="B180" s="5">
        <v>1.33</v>
      </c>
      <c r="C180" s="7">
        <f t="shared" si="2"/>
        <v>42.467386054750776</v>
      </c>
      <c r="D180" s="9">
        <v>0</v>
      </c>
      <c r="E180" s="11">
        <v>4.8</v>
      </c>
      <c r="F180" s="11">
        <v>5.8</v>
      </c>
      <c r="G180" s="11">
        <v>6.4</v>
      </c>
    </row>
    <row r="181" spans="1:7" x14ac:dyDescent="0.3">
      <c r="A181" s="1">
        <v>45992.416676851855</v>
      </c>
      <c r="B181" s="5">
        <v>1.37</v>
      </c>
      <c r="C181" s="7">
        <f t="shared" si="2"/>
        <v>44.244933862607056</v>
      </c>
      <c r="D181" s="9">
        <v>0</v>
      </c>
      <c r="E181" s="11">
        <v>4.8</v>
      </c>
      <c r="F181" s="11">
        <v>5.8</v>
      </c>
      <c r="G181" s="11">
        <v>6.4</v>
      </c>
    </row>
    <row r="182" spans="1:7" x14ac:dyDescent="0.3">
      <c r="A182" s="1">
        <v>45992.458343576393</v>
      </c>
      <c r="B182" s="5">
        <v>1.32</v>
      </c>
      <c r="C182" s="7">
        <f t="shared" si="2"/>
        <v>42.026172175055144</v>
      </c>
      <c r="D182" s="9">
        <v>0</v>
      </c>
      <c r="E182" s="11">
        <v>4.8</v>
      </c>
      <c r="F182" s="11">
        <v>5.8</v>
      </c>
      <c r="G182" s="11">
        <v>6.4</v>
      </c>
    </row>
    <row r="183" spans="1:7" x14ac:dyDescent="0.3">
      <c r="A183" s="1">
        <v>45992.500010300922</v>
      </c>
      <c r="B183" s="5">
        <v>1.28</v>
      </c>
      <c r="C183" s="7">
        <f t="shared" si="2"/>
        <v>40.274187295225744</v>
      </c>
      <c r="D183" s="9">
        <v>0</v>
      </c>
      <c r="E183" s="11">
        <v>4.8</v>
      </c>
      <c r="F183" s="11">
        <v>5.8</v>
      </c>
      <c r="G183" s="11">
        <v>6.4</v>
      </c>
    </row>
    <row r="184" spans="1:7" x14ac:dyDescent="0.3">
      <c r="A184" s="1">
        <v>45992.54167702546</v>
      </c>
      <c r="B184" s="5">
        <v>1.31</v>
      </c>
      <c r="C184" s="7">
        <f t="shared" si="2"/>
        <v>41.586239304823508</v>
      </c>
      <c r="D184" s="9">
        <v>0</v>
      </c>
      <c r="E184" s="11">
        <v>4.8</v>
      </c>
      <c r="F184" s="11">
        <v>5.8</v>
      </c>
      <c r="G184" s="11">
        <v>6.4</v>
      </c>
    </row>
    <row r="185" spans="1:7" x14ac:dyDescent="0.3">
      <c r="A185" s="1">
        <v>45992.583343749997</v>
      </c>
      <c r="B185" s="5">
        <v>1.26</v>
      </c>
      <c r="C185" s="7">
        <f t="shared" si="2"/>
        <v>39.406003334680214</v>
      </c>
      <c r="D185" s="9">
        <v>0</v>
      </c>
      <c r="E185" s="11">
        <v>4.8</v>
      </c>
      <c r="F185" s="11">
        <v>5.8</v>
      </c>
      <c r="G185" s="11">
        <v>6.4</v>
      </c>
    </row>
    <row r="186" spans="1:7" x14ac:dyDescent="0.3">
      <c r="A186" s="1">
        <v>45992.625010474534</v>
      </c>
      <c r="B186" s="5">
        <v>1.3</v>
      </c>
      <c r="C186" s="7">
        <f t="shared" si="2"/>
        <v>41.147593460987736</v>
      </c>
      <c r="D186" s="9">
        <v>0</v>
      </c>
      <c r="E186" s="11">
        <v>4.8</v>
      </c>
      <c r="F186" s="11">
        <v>5.8</v>
      </c>
      <c r="G186" s="11">
        <v>6.4</v>
      </c>
    </row>
    <row r="187" spans="1:7" x14ac:dyDescent="0.3">
      <c r="A187" s="1">
        <v>45992.666677199071</v>
      </c>
      <c r="B187" s="5">
        <v>1.29</v>
      </c>
      <c r="C187" s="7">
        <f t="shared" si="2"/>
        <v>40.71024073517605</v>
      </c>
      <c r="D187" s="9">
        <v>0</v>
      </c>
      <c r="E187" s="11">
        <v>4.8</v>
      </c>
      <c r="F187" s="11">
        <v>5.8</v>
      </c>
      <c r="G187" s="11">
        <v>6.4</v>
      </c>
    </row>
    <row r="188" spans="1:7" x14ac:dyDescent="0.3">
      <c r="A188" s="1">
        <v>45992.708343923608</v>
      </c>
      <c r="B188" s="5">
        <v>1.26</v>
      </c>
      <c r="C188" s="7">
        <f t="shared" si="2"/>
        <v>39.406003334680214</v>
      </c>
      <c r="D188" s="9">
        <v>0</v>
      </c>
      <c r="E188" s="11">
        <v>4.8</v>
      </c>
      <c r="F188" s="11">
        <v>5.8</v>
      </c>
      <c r="G188" s="11">
        <v>6.4</v>
      </c>
    </row>
    <row r="189" spans="1:7" x14ac:dyDescent="0.3">
      <c r="A189" s="1">
        <v>45992.750010648146</v>
      </c>
      <c r="B189" s="5">
        <v>1.25</v>
      </c>
      <c r="C189" s="7">
        <f t="shared" si="2"/>
        <v>38.97388554502605</v>
      </c>
      <c r="D189" s="9">
        <v>0</v>
      </c>
      <c r="E189" s="11">
        <v>4.8</v>
      </c>
      <c r="F189" s="11">
        <v>5.8</v>
      </c>
      <c r="G189" s="11">
        <v>6.4</v>
      </c>
    </row>
    <row r="190" spans="1:7" x14ac:dyDescent="0.3">
      <c r="A190" s="1">
        <v>45992.791677372683</v>
      </c>
      <c r="B190" s="5">
        <v>1.22</v>
      </c>
      <c r="C190" s="7">
        <f t="shared" si="2"/>
        <v>37.685507061282884</v>
      </c>
      <c r="D190" s="9">
        <v>0</v>
      </c>
      <c r="E190" s="11">
        <v>4.8</v>
      </c>
      <c r="F190" s="11">
        <v>5.8</v>
      </c>
      <c r="G190" s="11">
        <v>6.4</v>
      </c>
    </row>
    <row r="191" spans="1:7" x14ac:dyDescent="0.3">
      <c r="A191" s="1">
        <v>45992.83334409722</v>
      </c>
      <c r="B191" s="5">
        <v>1.23</v>
      </c>
      <c r="C191" s="7">
        <f t="shared" si="2"/>
        <v>38.113630792085843</v>
      </c>
      <c r="D191" s="9">
        <v>0</v>
      </c>
      <c r="E191" s="11">
        <v>4.8</v>
      </c>
      <c r="F191" s="11">
        <v>5.8</v>
      </c>
      <c r="G191" s="11">
        <v>6.4</v>
      </c>
    </row>
    <row r="192" spans="1:7" x14ac:dyDescent="0.3">
      <c r="A192" s="1">
        <v>45992.875010821757</v>
      </c>
      <c r="B192" s="5">
        <v>1.22</v>
      </c>
      <c r="C192" s="7">
        <f t="shared" si="2"/>
        <v>37.685507061282884</v>
      </c>
      <c r="D192" s="9">
        <v>0</v>
      </c>
      <c r="E192" s="11">
        <v>4.8</v>
      </c>
      <c r="F192" s="11">
        <v>5.8</v>
      </c>
      <c r="G192" s="11">
        <v>6.4</v>
      </c>
    </row>
    <row r="193" spans="1:7" x14ac:dyDescent="0.3">
      <c r="A193" s="1">
        <v>45992.916677546295</v>
      </c>
      <c r="B193" s="5">
        <v>1.2</v>
      </c>
      <c r="C193" s="7">
        <f t="shared" si="2"/>
        <v>36.833300630139185</v>
      </c>
      <c r="D193" s="9">
        <v>0</v>
      </c>
      <c r="E193" s="11">
        <v>4.8</v>
      </c>
      <c r="F193" s="11">
        <v>5.8</v>
      </c>
      <c r="G193" s="11">
        <v>6.4</v>
      </c>
    </row>
    <row r="194" spans="1:7" x14ac:dyDescent="0.3">
      <c r="A194" s="1">
        <v>45992.958344270832</v>
      </c>
      <c r="B194" s="5">
        <v>1.19</v>
      </c>
      <c r="C194" s="7">
        <f t="shared" si="2"/>
        <v>36.409231696606547</v>
      </c>
      <c r="D194" s="9">
        <v>0</v>
      </c>
      <c r="E194" s="11">
        <v>4.8</v>
      </c>
      <c r="F194" s="11">
        <v>5.8</v>
      </c>
      <c r="G194" s="11">
        <v>6.4</v>
      </c>
    </row>
    <row r="195" spans="1:7" x14ac:dyDescent="0.3">
      <c r="A195" s="1">
        <v>45993.000010995369</v>
      </c>
      <c r="B195" s="5">
        <v>1.17</v>
      </c>
      <c r="C195" s="7">
        <f t="shared" si="2"/>
        <v>35.565197512399145</v>
      </c>
      <c r="D195" s="9">
        <v>0</v>
      </c>
      <c r="E195" s="11">
        <v>4.8</v>
      </c>
      <c r="F195" s="11">
        <v>5.8</v>
      </c>
      <c r="G195" s="11">
        <v>6.4</v>
      </c>
    </row>
    <row r="196" spans="1:7" x14ac:dyDescent="0.3">
      <c r="A196" s="1">
        <v>45993.041677719906</v>
      </c>
      <c r="B196" s="5">
        <v>1.18</v>
      </c>
      <c r="C196" s="7">
        <f t="shared" si="2"/>
        <v>35.986528284232129</v>
      </c>
      <c r="D196" s="9">
        <v>0</v>
      </c>
      <c r="E196" s="11">
        <v>4.8</v>
      </c>
      <c r="F196" s="11">
        <v>5.8</v>
      </c>
      <c r="G196" s="11">
        <v>6.4</v>
      </c>
    </row>
    <row r="197" spans="1:7" x14ac:dyDescent="0.3">
      <c r="A197" s="1">
        <v>45993.083344444443</v>
      </c>
      <c r="B197" s="5">
        <v>1.17</v>
      </c>
      <c r="C197" s="7">
        <f t="shared" ref="C197:C260" si="3">IF(B197="","",28.62*(B197)^1.3838)</f>
        <v>35.565197512399145</v>
      </c>
      <c r="D197" s="9">
        <v>0</v>
      </c>
      <c r="E197" s="11">
        <v>4.8</v>
      </c>
      <c r="F197" s="11">
        <v>5.8</v>
      </c>
      <c r="G197" s="11">
        <v>6.4</v>
      </c>
    </row>
    <row r="198" spans="1:7" x14ac:dyDescent="0.3">
      <c r="A198" s="1">
        <v>45993.125011168981</v>
      </c>
      <c r="B198" s="5">
        <v>1.1599999999999999</v>
      </c>
      <c r="C198" s="7">
        <f t="shared" si="3"/>
        <v>35.145246598678284</v>
      </c>
      <c r="D198" s="9">
        <v>0</v>
      </c>
      <c r="E198" s="11">
        <v>4.8</v>
      </c>
      <c r="F198" s="11">
        <v>5.8</v>
      </c>
      <c r="G198" s="11">
        <v>6.4</v>
      </c>
    </row>
    <row r="199" spans="1:7" x14ac:dyDescent="0.3">
      <c r="A199" s="1">
        <v>45993.166677893518</v>
      </c>
      <c r="B199" s="5">
        <v>1.1599999999999999</v>
      </c>
      <c r="C199" s="7">
        <f t="shared" si="3"/>
        <v>35.145246598678284</v>
      </c>
      <c r="D199" s="9">
        <v>0</v>
      </c>
      <c r="E199" s="11">
        <v>4.8</v>
      </c>
      <c r="F199" s="11">
        <v>5.8</v>
      </c>
      <c r="G199" s="11">
        <v>6.4</v>
      </c>
    </row>
    <row r="200" spans="1:7" x14ac:dyDescent="0.3">
      <c r="A200" s="1">
        <v>45993.208344618055</v>
      </c>
      <c r="B200" s="5">
        <v>1.1599999999999999</v>
      </c>
      <c r="C200" s="7">
        <f t="shared" si="3"/>
        <v>35.145246598678284</v>
      </c>
      <c r="D200" s="9">
        <v>0</v>
      </c>
      <c r="E200" s="11">
        <v>4.8</v>
      </c>
      <c r="F200" s="11">
        <v>5.8</v>
      </c>
      <c r="G200" s="11">
        <v>6.4</v>
      </c>
    </row>
    <row r="201" spans="1:7" x14ac:dyDescent="0.3">
      <c r="A201" s="1">
        <v>45993.250011342592</v>
      </c>
      <c r="B201" s="5">
        <v>1.1499999999999999</v>
      </c>
      <c r="C201" s="7">
        <f t="shared" si="3"/>
        <v>34.726682861038668</v>
      </c>
      <c r="D201" s="9">
        <v>0</v>
      </c>
      <c r="E201" s="11">
        <v>4.8</v>
      </c>
      <c r="F201" s="11">
        <v>5.8</v>
      </c>
      <c r="G201" s="11">
        <v>6.4</v>
      </c>
    </row>
    <row r="202" spans="1:7" x14ac:dyDescent="0.3">
      <c r="A202" s="1">
        <v>45993.291678067129</v>
      </c>
      <c r="B202" s="5">
        <v>1.1399999999999999</v>
      </c>
      <c r="C202" s="7">
        <f t="shared" si="3"/>
        <v>34.309513720128187</v>
      </c>
      <c r="D202" s="9">
        <v>0</v>
      </c>
      <c r="E202" s="11">
        <v>4.8</v>
      </c>
      <c r="F202" s="11">
        <v>5.8</v>
      </c>
      <c r="G202" s="11">
        <v>6.4</v>
      </c>
    </row>
    <row r="203" spans="1:7" x14ac:dyDescent="0.3">
      <c r="A203" s="1">
        <v>45993.333344733794</v>
      </c>
      <c r="B203" s="5">
        <v>1.1299999999999999</v>
      </c>
      <c r="C203" s="7">
        <f t="shared" si="3"/>
        <v>33.89374670162605</v>
      </c>
      <c r="D203" s="9">
        <v>0</v>
      </c>
      <c r="E203" s="11">
        <v>4.8</v>
      </c>
      <c r="F203" s="11">
        <v>5.8</v>
      </c>
      <c r="G203" s="11">
        <v>6.4</v>
      </c>
    </row>
    <row r="204" spans="1:7" x14ac:dyDescent="0.3">
      <c r="A204" s="1">
        <v>45993.375011458331</v>
      </c>
      <c r="B204" s="5">
        <v>1.1200000000000001</v>
      </c>
      <c r="C204" s="7">
        <f t="shared" si="3"/>
        <v>33.479389438670509</v>
      </c>
      <c r="D204" s="9">
        <v>0</v>
      </c>
      <c r="E204" s="11">
        <v>4.8</v>
      </c>
      <c r="F204" s="11">
        <v>5.8</v>
      </c>
      <c r="G204" s="11">
        <v>6.4</v>
      </c>
    </row>
    <row r="205" spans="1:7" x14ac:dyDescent="0.3">
      <c r="A205" s="1">
        <v>45993.416678182868</v>
      </c>
      <c r="B205" s="5">
        <v>1.1200000000000001</v>
      </c>
      <c r="C205" s="7">
        <f t="shared" si="3"/>
        <v>33.479389438670509</v>
      </c>
      <c r="D205" s="9">
        <v>0</v>
      </c>
      <c r="E205" s="11">
        <v>4.8</v>
      </c>
      <c r="F205" s="11">
        <v>5.8</v>
      </c>
      <c r="G205" s="11">
        <v>6.4</v>
      </c>
    </row>
    <row r="206" spans="1:7" x14ac:dyDescent="0.3">
      <c r="A206" s="1">
        <v>45993.458344907405</v>
      </c>
      <c r="B206" s="5">
        <v>1.1100000000000001</v>
      </c>
      <c r="C206" s="7">
        <f t="shared" si="3"/>
        <v>33.066449674364797</v>
      </c>
      <c r="D206" s="9">
        <v>0</v>
      </c>
      <c r="E206" s="11">
        <v>4.8</v>
      </c>
      <c r="F206" s="11">
        <v>5.8</v>
      </c>
      <c r="G206" s="11">
        <v>6.4</v>
      </c>
    </row>
    <row r="207" spans="1:7" x14ac:dyDescent="0.3">
      <c r="A207" s="1">
        <v>45993.500011631942</v>
      </c>
      <c r="B207" s="5">
        <v>1.0900000000000001</v>
      </c>
      <c r="C207" s="7">
        <f t="shared" si="3"/>
        <v>32.244854179550821</v>
      </c>
      <c r="D207" s="9">
        <v>0</v>
      </c>
      <c r="E207" s="11">
        <v>4.8</v>
      </c>
      <c r="F207" s="11">
        <v>5.8</v>
      </c>
      <c r="G207" s="11">
        <v>6.4</v>
      </c>
    </row>
    <row r="208" spans="1:7" x14ac:dyDescent="0.3">
      <c r="A208" s="1">
        <v>45993.54167835648</v>
      </c>
      <c r="B208" s="5">
        <v>1.0900000000000001</v>
      </c>
      <c r="C208" s="7">
        <f t="shared" si="3"/>
        <v>32.244854179550821</v>
      </c>
      <c r="D208" s="9">
        <v>0</v>
      </c>
      <c r="E208" s="11">
        <v>4.8</v>
      </c>
      <c r="F208" s="11">
        <v>5.8</v>
      </c>
      <c r="G208" s="11">
        <v>6.4</v>
      </c>
    </row>
    <row r="209" spans="1:7" x14ac:dyDescent="0.3">
      <c r="A209" s="1">
        <v>45993.583345081017</v>
      </c>
      <c r="B209" s="5">
        <v>1.08</v>
      </c>
      <c r="C209" s="7">
        <f t="shared" si="3"/>
        <v>31.836214508789663</v>
      </c>
      <c r="D209" s="9">
        <v>0</v>
      </c>
      <c r="E209" s="11">
        <v>4.8</v>
      </c>
      <c r="F209" s="11">
        <v>5.8</v>
      </c>
      <c r="G209" s="11">
        <v>6.4</v>
      </c>
    </row>
    <row r="210" spans="1:7" x14ac:dyDescent="0.3">
      <c r="A210" s="1">
        <v>45993.625011805554</v>
      </c>
      <c r="B210" s="5">
        <v>1.07</v>
      </c>
      <c r="C210" s="7">
        <f t="shared" si="3"/>
        <v>31.429024461786675</v>
      </c>
      <c r="D210" s="9">
        <v>0</v>
      </c>
      <c r="E210" s="11">
        <v>4.8</v>
      </c>
      <c r="F210" s="11">
        <v>5.8</v>
      </c>
      <c r="G210" s="11">
        <v>6.4</v>
      </c>
    </row>
    <row r="211" spans="1:7" x14ac:dyDescent="0.3">
      <c r="A211" s="1">
        <v>45993.666678530091</v>
      </c>
      <c r="B211" s="5">
        <v>1.07</v>
      </c>
      <c r="C211" s="7">
        <f t="shared" si="3"/>
        <v>31.429024461786675</v>
      </c>
      <c r="D211" s="9">
        <v>0</v>
      </c>
      <c r="E211" s="11">
        <v>4.8</v>
      </c>
      <c r="F211" s="11">
        <v>5.8</v>
      </c>
      <c r="G211" s="11">
        <v>6.4</v>
      </c>
    </row>
    <row r="212" spans="1:7" x14ac:dyDescent="0.3">
      <c r="A212" s="1">
        <v>45993.708345254629</v>
      </c>
      <c r="B212" s="5">
        <v>1.06</v>
      </c>
      <c r="C212" s="7">
        <f t="shared" si="3"/>
        <v>31.023292372035812</v>
      </c>
      <c r="D212" s="9">
        <v>0</v>
      </c>
      <c r="E212" s="11">
        <v>4.8</v>
      </c>
      <c r="F212" s="11">
        <v>5.8</v>
      </c>
      <c r="G212" s="11">
        <v>6.4</v>
      </c>
    </row>
    <row r="213" spans="1:7" x14ac:dyDescent="0.3">
      <c r="A213" s="1">
        <v>45993.750011979166</v>
      </c>
      <c r="B213" s="12">
        <v>1.05</v>
      </c>
      <c r="C213" s="7">
        <f t="shared" si="3"/>
        <v>30.619026699869394</v>
      </c>
      <c r="D213" s="9">
        <v>0</v>
      </c>
      <c r="E213" s="11">
        <v>4.8</v>
      </c>
      <c r="F213" s="11">
        <v>5.8</v>
      </c>
      <c r="G213" s="11">
        <v>6.4</v>
      </c>
    </row>
    <row r="214" spans="1:7" x14ac:dyDescent="0.3">
      <c r="A214" s="1">
        <v>45993.791678703703</v>
      </c>
      <c r="B214" s="12">
        <v>1.05</v>
      </c>
      <c r="C214" s="7">
        <f t="shared" si="3"/>
        <v>30.619026699869394</v>
      </c>
      <c r="D214" s="9">
        <v>0</v>
      </c>
      <c r="E214" s="11">
        <v>4.8</v>
      </c>
      <c r="F214" s="11">
        <v>5.8</v>
      </c>
      <c r="G214" s="11">
        <v>6.4</v>
      </c>
    </row>
    <row r="215" spans="1:7" x14ac:dyDescent="0.3">
      <c r="A215" s="1">
        <v>45993.83334542824</v>
      </c>
      <c r="B215" s="12">
        <v>1.04</v>
      </c>
      <c r="C215" s="7">
        <f t="shared" si="3"/>
        <v>30.216236035612905</v>
      </c>
      <c r="D215" s="9">
        <v>0</v>
      </c>
      <c r="E215" s="11">
        <v>4.8</v>
      </c>
      <c r="F215" s="11">
        <v>5.8</v>
      </c>
      <c r="G215" s="11">
        <v>6.4</v>
      </c>
    </row>
    <row r="216" spans="1:7" x14ac:dyDescent="0.3">
      <c r="A216" s="1">
        <v>45993.875012152777</v>
      </c>
      <c r="B216" s="12">
        <v>1.03</v>
      </c>
      <c r="C216" s="7">
        <f t="shared" si="3"/>
        <v>29.814929102849248</v>
      </c>
      <c r="D216" s="9">
        <v>0</v>
      </c>
      <c r="E216" s="11">
        <v>4.8</v>
      </c>
      <c r="F216" s="11">
        <v>5.8</v>
      </c>
      <c r="G216" s="11">
        <v>6.4</v>
      </c>
    </row>
    <row r="217" spans="1:7" x14ac:dyDescent="0.3">
      <c r="A217" s="1">
        <v>45993.916678877315</v>
      </c>
      <c r="B217" s="12">
        <v>1.03</v>
      </c>
      <c r="C217" s="7">
        <f t="shared" si="3"/>
        <v>29.814929102849248</v>
      </c>
      <c r="D217" s="9">
        <v>0</v>
      </c>
      <c r="E217" s="11">
        <v>4.8</v>
      </c>
      <c r="F217" s="11">
        <v>5.8</v>
      </c>
      <c r="G217" s="11">
        <v>6.4</v>
      </c>
    </row>
    <row r="218" spans="1:7" x14ac:dyDescent="0.3">
      <c r="A218" s="1">
        <v>45993.958345601852</v>
      </c>
      <c r="B218" s="12">
        <v>1.04</v>
      </c>
      <c r="C218" s="7">
        <f t="shared" si="3"/>
        <v>30.216236035612905</v>
      </c>
      <c r="D218" s="9">
        <v>0</v>
      </c>
      <c r="E218" s="11">
        <v>4.8</v>
      </c>
      <c r="F218" s="11">
        <v>5.8</v>
      </c>
      <c r="G218" s="11">
        <v>6.4</v>
      </c>
    </row>
    <row r="219" spans="1:7" x14ac:dyDescent="0.3">
      <c r="A219" s="1">
        <v>45994.000012326389</v>
      </c>
      <c r="B219" s="12">
        <v>1.06</v>
      </c>
      <c r="C219" s="7">
        <f t="shared" si="3"/>
        <v>31.023292372035812</v>
      </c>
      <c r="D219" s="9">
        <v>0</v>
      </c>
      <c r="E219" s="11">
        <v>4.8</v>
      </c>
      <c r="F219" s="11">
        <v>5.8</v>
      </c>
      <c r="G219" s="11">
        <v>6.4</v>
      </c>
    </row>
    <row r="220" spans="1:7" x14ac:dyDescent="0.3">
      <c r="A220" s="1">
        <v>45994.041679108799</v>
      </c>
      <c r="B220" s="12">
        <v>1.04</v>
      </c>
      <c r="C220" s="7">
        <f t="shared" si="3"/>
        <v>30.216236035612905</v>
      </c>
      <c r="D220" s="9">
        <v>0</v>
      </c>
      <c r="E220" s="11">
        <v>4.8</v>
      </c>
      <c r="F220" s="11">
        <v>5.8</v>
      </c>
      <c r="G220" s="11">
        <v>6.4</v>
      </c>
    </row>
    <row r="221" spans="1:7" x14ac:dyDescent="0.3">
      <c r="A221" s="1">
        <v>45994.083345891202</v>
      </c>
      <c r="B221" s="12">
        <v>1.02</v>
      </c>
      <c r="C221" s="7">
        <f t="shared" si="3"/>
        <v>29.415114761797401</v>
      </c>
      <c r="D221" s="9">
        <v>0</v>
      </c>
      <c r="E221" s="11">
        <v>4.8</v>
      </c>
      <c r="F221" s="11">
        <v>5.8</v>
      </c>
      <c r="G221" s="11">
        <v>6.4</v>
      </c>
    </row>
    <row r="222" spans="1:7" x14ac:dyDescent="0.3">
      <c r="A222" s="1">
        <v>45994.125012673612</v>
      </c>
      <c r="B222" s="12">
        <v>1</v>
      </c>
      <c r="C222" s="7">
        <f t="shared" si="3"/>
        <v>28.62</v>
      </c>
      <c r="D222" s="9">
        <v>0</v>
      </c>
      <c r="E222" s="11">
        <v>4.8</v>
      </c>
      <c r="F222" s="11">
        <v>5.8</v>
      </c>
      <c r="G222" s="11">
        <v>6.4</v>
      </c>
    </row>
    <row r="223" spans="1:7" x14ac:dyDescent="0.3">
      <c r="A223" s="1">
        <v>45994.166679456015</v>
      </c>
      <c r="B223" s="12">
        <v>0.98</v>
      </c>
      <c r="C223" s="7">
        <f t="shared" si="3"/>
        <v>27.830965500799426</v>
      </c>
      <c r="D223" s="9">
        <v>0</v>
      </c>
      <c r="E223" s="11">
        <v>4.8</v>
      </c>
      <c r="F223" s="11">
        <v>5.8</v>
      </c>
      <c r="G223" s="11">
        <v>6.4</v>
      </c>
    </row>
    <row r="224" spans="1:7" x14ac:dyDescent="0.3">
      <c r="A224" s="1">
        <v>45994.208346238425</v>
      </c>
      <c r="B224" s="12">
        <v>0.98</v>
      </c>
      <c r="C224" s="7">
        <f t="shared" si="3"/>
        <v>27.830965500799426</v>
      </c>
      <c r="D224" s="9">
        <v>0</v>
      </c>
      <c r="E224" s="11">
        <v>4.8</v>
      </c>
      <c r="F224" s="11">
        <v>5.8</v>
      </c>
      <c r="G224" s="11">
        <v>6.4</v>
      </c>
    </row>
    <row r="225" spans="1:7" x14ac:dyDescent="0.3">
      <c r="A225" s="1">
        <v>45994.250013020835</v>
      </c>
      <c r="B225" s="12">
        <v>0.97</v>
      </c>
      <c r="C225" s="7">
        <f t="shared" si="3"/>
        <v>27.438752055896515</v>
      </c>
      <c r="D225" s="9">
        <v>0</v>
      </c>
      <c r="E225" s="11">
        <v>4.8</v>
      </c>
      <c r="F225" s="11">
        <v>5.8</v>
      </c>
      <c r="G225" s="11">
        <v>6.4</v>
      </c>
    </row>
    <row r="226" spans="1:7" x14ac:dyDescent="0.3">
      <c r="A226" s="1">
        <v>45994.291679803238</v>
      </c>
      <c r="B226" s="12">
        <v>0.99</v>
      </c>
      <c r="C226" s="7">
        <f t="shared" si="3"/>
        <v>28.224718014987882</v>
      </c>
      <c r="D226" s="9">
        <v>0</v>
      </c>
      <c r="E226" s="11">
        <v>4.8</v>
      </c>
      <c r="F226" s="11">
        <v>5.8</v>
      </c>
      <c r="G226" s="11">
        <v>6.4</v>
      </c>
    </row>
    <row r="227" spans="1:7" x14ac:dyDescent="0.3">
      <c r="A227" s="1">
        <v>45994.333346585649</v>
      </c>
      <c r="B227" s="12">
        <v>0.98</v>
      </c>
      <c r="C227" s="7">
        <f t="shared" si="3"/>
        <v>27.830965500799426</v>
      </c>
      <c r="D227" s="9">
        <v>0</v>
      </c>
      <c r="E227" s="11">
        <v>4.8</v>
      </c>
      <c r="F227" s="11">
        <v>5.8</v>
      </c>
      <c r="G227" s="11">
        <v>6.4</v>
      </c>
    </row>
    <row r="228" spans="1:7" x14ac:dyDescent="0.3">
      <c r="A228" s="1">
        <v>45994.375013368059</v>
      </c>
      <c r="B228" s="12">
        <v>0.92</v>
      </c>
      <c r="C228" s="7">
        <f t="shared" si="3"/>
        <v>25.501118238126711</v>
      </c>
      <c r="D228" s="9">
        <v>0</v>
      </c>
      <c r="E228" s="11">
        <v>4.8</v>
      </c>
      <c r="F228" s="11">
        <v>5.8</v>
      </c>
      <c r="G228" s="11">
        <v>6.4</v>
      </c>
    </row>
    <row r="229" spans="1:7" x14ac:dyDescent="0.3">
      <c r="A229" s="1">
        <v>45994.416680150462</v>
      </c>
      <c r="B229" s="12">
        <v>0.97</v>
      </c>
      <c r="C229" s="7">
        <f t="shared" si="3"/>
        <v>27.438752055896515</v>
      </c>
      <c r="D229" s="9">
        <v>0</v>
      </c>
      <c r="E229" s="11">
        <v>4.8</v>
      </c>
      <c r="F229" s="11">
        <v>5.8</v>
      </c>
      <c r="G229" s="11">
        <v>6.4</v>
      </c>
    </row>
    <row r="230" spans="1:7" x14ac:dyDescent="0.3">
      <c r="A230" s="1">
        <v>45994.458346932872</v>
      </c>
      <c r="B230" s="12">
        <v>0.98</v>
      </c>
      <c r="C230" s="7">
        <f t="shared" si="3"/>
        <v>27.830965500799426</v>
      </c>
      <c r="D230" s="9">
        <v>0</v>
      </c>
      <c r="E230" s="11">
        <v>4.8</v>
      </c>
      <c r="F230" s="11">
        <v>5.8</v>
      </c>
      <c r="G230" s="11">
        <v>6.4</v>
      </c>
    </row>
    <row r="231" spans="1:7" x14ac:dyDescent="0.3">
      <c r="A231" s="1">
        <v>45994.500013715275</v>
      </c>
      <c r="B231" s="12">
        <v>0.93</v>
      </c>
      <c r="C231" s="7">
        <f t="shared" si="3"/>
        <v>25.885486617455022</v>
      </c>
      <c r="D231" s="9">
        <v>0</v>
      </c>
      <c r="E231" s="11">
        <v>4.8</v>
      </c>
      <c r="F231" s="11">
        <v>5.8</v>
      </c>
      <c r="G231" s="11">
        <v>6.4</v>
      </c>
    </row>
    <row r="232" spans="1:7" x14ac:dyDescent="0.3">
      <c r="A232" s="1">
        <v>45994.541680497685</v>
      </c>
      <c r="B232" s="12">
        <v>0.91</v>
      </c>
      <c r="C232" s="7">
        <f t="shared" si="3"/>
        <v>25.118350028803569</v>
      </c>
      <c r="D232" s="9">
        <v>0</v>
      </c>
      <c r="E232" s="11">
        <v>4.8</v>
      </c>
      <c r="F232" s="11">
        <v>5.8</v>
      </c>
      <c r="G232" s="11">
        <v>6.4</v>
      </c>
    </row>
    <row r="233" spans="1:7" x14ac:dyDescent="0.3">
      <c r="A233" s="1">
        <v>45994.583347280095</v>
      </c>
      <c r="B233" s="12">
        <v>0.91</v>
      </c>
      <c r="C233" s="7">
        <f t="shared" si="3"/>
        <v>25.118350028803569</v>
      </c>
      <c r="D233" s="9">
        <v>0</v>
      </c>
      <c r="E233" s="11">
        <v>4.8</v>
      </c>
      <c r="F233" s="11">
        <v>5.8</v>
      </c>
      <c r="G233" s="11">
        <v>6.4</v>
      </c>
    </row>
    <row r="234" spans="1:7" x14ac:dyDescent="0.3">
      <c r="A234" s="1">
        <v>45994.625014062498</v>
      </c>
      <c r="B234" s="12">
        <v>0.93</v>
      </c>
      <c r="C234" s="7">
        <f t="shared" si="3"/>
        <v>25.885486617455022</v>
      </c>
      <c r="D234" s="9">
        <v>0</v>
      </c>
      <c r="E234" s="11">
        <v>4.8</v>
      </c>
      <c r="F234" s="11">
        <v>5.8</v>
      </c>
      <c r="G234" s="11">
        <v>6.4</v>
      </c>
    </row>
    <row r="235" spans="1:7" x14ac:dyDescent="0.3">
      <c r="A235" s="1">
        <v>45994.666680844908</v>
      </c>
      <c r="B235" s="12">
        <v>0.91</v>
      </c>
      <c r="C235" s="7">
        <f t="shared" si="3"/>
        <v>25.118350028803569</v>
      </c>
      <c r="D235" s="9">
        <v>0</v>
      </c>
      <c r="E235" s="11">
        <v>4.8</v>
      </c>
      <c r="F235" s="11">
        <v>5.8</v>
      </c>
      <c r="G235" s="11">
        <v>6.4</v>
      </c>
    </row>
    <row r="236" spans="1:7" x14ac:dyDescent="0.3">
      <c r="A236" s="1">
        <v>45994.708347627318</v>
      </c>
      <c r="B236" s="12">
        <v>0.87</v>
      </c>
      <c r="C236" s="7">
        <f t="shared" si="3"/>
        <v>23.60349809359256</v>
      </c>
      <c r="D236" s="9">
        <v>0</v>
      </c>
      <c r="E236" s="11">
        <v>4.8</v>
      </c>
      <c r="F236" s="11">
        <v>5.8</v>
      </c>
      <c r="G236" s="11">
        <v>6.4</v>
      </c>
    </row>
    <row r="237" spans="1:7" x14ac:dyDescent="0.3">
      <c r="A237" s="1">
        <v>45994.750014409721</v>
      </c>
      <c r="B237" s="12">
        <v>0.95</v>
      </c>
      <c r="C237" s="7">
        <f t="shared" si="3"/>
        <v>26.658981570242144</v>
      </c>
      <c r="D237" s="9">
        <v>0</v>
      </c>
      <c r="E237" s="11">
        <v>4.8</v>
      </c>
      <c r="F237" s="11">
        <v>5.8</v>
      </c>
      <c r="G237" s="11">
        <v>6.4</v>
      </c>
    </row>
    <row r="238" spans="1:7" x14ac:dyDescent="0.3">
      <c r="A238" s="1">
        <v>45994.791681192131</v>
      </c>
      <c r="B238" s="12">
        <v>0.91</v>
      </c>
      <c r="C238" s="7">
        <f t="shared" si="3"/>
        <v>25.118350028803569</v>
      </c>
      <c r="D238" s="9">
        <v>0</v>
      </c>
      <c r="E238" s="11">
        <v>4.8</v>
      </c>
      <c r="F238" s="11">
        <v>5.8</v>
      </c>
      <c r="G238" s="11">
        <v>6.4</v>
      </c>
    </row>
    <row r="239" spans="1:7" x14ac:dyDescent="0.3">
      <c r="A239" s="1">
        <v>45994.833347974534</v>
      </c>
      <c r="B239" s="12">
        <v>0.91</v>
      </c>
      <c r="C239" s="7">
        <f t="shared" si="3"/>
        <v>25.118350028803569</v>
      </c>
      <c r="D239" s="9">
        <v>0</v>
      </c>
      <c r="E239" s="11">
        <v>4.8</v>
      </c>
      <c r="F239" s="11">
        <v>5.8</v>
      </c>
      <c r="G239" s="11">
        <v>6.4</v>
      </c>
    </row>
    <row r="240" spans="1:7" x14ac:dyDescent="0.3">
      <c r="A240" s="1">
        <v>45994.875014756944</v>
      </c>
      <c r="B240" s="12">
        <v>0.87</v>
      </c>
      <c r="C240" s="7">
        <f t="shared" si="3"/>
        <v>23.60349809359256</v>
      </c>
      <c r="D240" s="9">
        <v>0</v>
      </c>
      <c r="E240" s="11">
        <v>4.8</v>
      </c>
      <c r="F240" s="11">
        <v>5.8</v>
      </c>
      <c r="G240" s="11">
        <v>6.4</v>
      </c>
    </row>
    <row r="241" spans="1:7" x14ac:dyDescent="0.3">
      <c r="A241" s="1">
        <v>45994.916681539355</v>
      </c>
      <c r="B241" s="12">
        <v>0.87</v>
      </c>
      <c r="C241" s="7">
        <f t="shared" si="3"/>
        <v>23.60349809359256</v>
      </c>
      <c r="D241" s="9">
        <v>0</v>
      </c>
      <c r="E241" s="11">
        <v>4.8</v>
      </c>
      <c r="F241" s="11">
        <v>5.8</v>
      </c>
      <c r="G241" s="11">
        <v>6.4</v>
      </c>
    </row>
    <row r="242" spans="1:7" x14ac:dyDescent="0.3">
      <c r="A242" s="1">
        <v>45994.958348321758</v>
      </c>
      <c r="B242" s="12">
        <v>0.87</v>
      </c>
      <c r="C242" s="7">
        <f t="shared" si="3"/>
        <v>23.60349809359256</v>
      </c>
      <c r="D242" s="9">
        <v>0</v>
      </c>
      <c r="E242" s="11">
        <v>4.8</v>
      </c>
      <c r="F242" s="11">
        <v>5.8</v>
      </c>
      <c r="G242" s="11">
        <v>6.4</v>
      </c>
    </row>
    <row r="243" spans="1:7" x14ac:dyDescent="0.3">
      <c r="A243" s="1">
        <v>45995.000015104168</v>
      </c>
      <c r="B243" s="12">
        <v>0.95</v>
      </c>
      <c r="C243" s="7">
        <f t="shared" si="3"/>
        <v>26.658981570242144</v>
      </c>
      <c r="D243" s="9">
        <v>0</v>
      </c>
      <c r="E243" s="11">
        <v>4.8</v>
      </c>
      <c r="F243" s="11">
        <v>5.8</v>
      </c>
      <c r="G243" s="11">
        <v>6.4</v>
      </c>
    </row>
    <row r="244" spans="1:7" x14ac:dyDescent="0.3">
      <c r="A244" s="1">
        <v>45995.041681886571</v>
      </c>
      <c r="B244" s="12">
        <v>0.91</v>
      </c>
      <c r="C244" s="7">
        <f t="shared" si="3"/>
        <v>25.118350028803569</v>
      </c>
      <c r="D244" s="9">
        <v>0</v>
      </c>
      <c r="E244" s="11">
        <v>4.8</v>
      </c>
      <c r="F244" s="11">
        <v>5.8</v>
      </c>
      <c r="G244" s="11">
        <v>6.4</v>
      </c>
    </row>
    <row r="245" spans="1:7" x14ac:dyDescent="0.3">
      <c r="A245" s="1">
        <v>45995.083348668981</v>
      </c>
      <c r="B245" s="12">
        <v>0.9</v>
      </c>
      <c r="C245" s="7">
        <f t="shared" si="3"/>
        <v>24.737192802536985</v>
      </c>
      <c r="D245" s="9">
        <v>0</v>
      </c>
      <c r="E245" s="11">
        <v>4.8</v>
      </c>
      <c r="F245" s="11">
        <v>5.8</v>
      </c>
      <c r="G245" s="11">
        <v>6.4</v>
      </c>
    </row>
    <row r="246" spans="1:7" x14ac:dyDescent="0.3">
      <c r="A246" s="1">
        <v>45995.125015451391</v>
      </c>
      <c r="B246" s="12">
        <v>0.9</v>
      </c>
      <c r="C246" s="7">
        <f t="shared" si="3"/>
        <v>24.737192802536985</v>
      </c>
      <c r="D246" s="9">
        <v>0</v>
      </c>
      <c r="E246" s="11">
        <v>4.8</v>
      </c>
      <c r="F246" s="11">
        <v>5.8</v>
      </c>
      <c r="G246" s="11">
        <v>6.4</v>
      </c>
    </row>
    <row r="247" spans="1:7" x14ac:dyDescent="0.3">
      <c r="A247" s="1">
        <v>45995.166682233794</v>
      </c>
      <c r="B247" s="12">
        <v>0.88</v>
      </c>
      <c r="C247" s="7">
        <f t="shared" si="3"/>
        <v>23.979755525950928</v>
      </c>
      <c r="D247" s="9">
        <v>0</v>
      </c>
      <c r="E247" s="11">
        <v>4.8</v>
      </c>
      <c r="F247" s="11">
        <v>5.8</v>
      </c>
      <c r="G247" s="11">
        <v>6.4</v>
      </c>
    </row>
    <row r="248" spans="1:7" x14ac:dyDescent="0.3">
      <c r="A248" s="1">
        <v>45995.208349016204</v>
      </c>
      <c r="B248" s="12">
        <v>0.87</v>
      </c>
      <c r="C248" s="7">
        <f t="shared" si="3"/>
        <v>23.60349809359256</v>
      </c>
      <c r="D248" s="9">
        <v>0</v>
      </c>
      <c r="E248" s="11">
        <v>4.8</v>
      </c>
      <c r="F248" s="11">
        <v>5.8</v>
      </c>
      <c r="G248" s="11">
        <v>6.4</v>
      </c>
    </row>
    <row r="249" spans="1:7" x14ac:dyDescent="0.3">
      <c r="A249" s="1">
        <v>45995.250015798614</v>
      </c>
      <c r="B249" s="12">
        <v>0.87</v>
      </c>
      <c r="C249" s="7">
        <f t="shared" si="3"/>
        <v>23.60349809359256</v>
      </c>
      <c r="D249" s="9">
        <v>0</v>
      </c>
      <c r="E249" s="11">
        <v>4.8</v>
      </c>
      <c r="F249" s="11">
        <v>5.8</v>
      </c>
      <c r="G249" s="11">
        <v>6.4</v>
      </c>
    </row>
    <row r="250" spans="1:7" x14ac:dyDescent="0.3">
      <c r="A250" s="1">
        <v>45995.291682581017</v>
      </c>
      <c r="B250" s="12">
        <v>0.89</v>
      </c>
      <c r="C250" s="7">
        <f t="shared" si="3"/>
        <v>24.357657566155829</v>
      </c>
      <c r="D250" s="9">
        <v>0</v>
      </c>
      <c r="E250" s="11">
        <v>4.8</v>
      </c>
      <c r="F250" s="11">
        <v>5.8</v>
      </c>
      <c r="G250" s="11">
        <v>6.4</v>
      </c>
    </row>
    <row r="251" spans="1:7" x14ac:dyDescent="0.3">
      <c r="A251" s="1">
        <v>45995.333349363427</v>
      </c>
      <c r="B251" s="12">
        <v>0.87</v>
      </c>
      <c r="C251" s="7">
        <f t="shared" si="3"/>
        <v>23.60349809359256</v>
      </c>
      <c r="D251" s="9">
        <v>0</v>
      </c>
      <c r="E251" s="11">
        <v>4.8</v>
      </c>
      <c r="F251" s="11">
        <v>5.8</v>
      </c>
      <c r="G251" s="11">
        <v>6.4</v>
      </c>
    </row>
    <row r="252" spans="1:7" x14ac:dyDescent="0.3">
      <c r="A252" s="1">
        <v>45995.37501614583</v>
      </c>
      <c r="B252" s="12">
        <v>0.87</v>
      </c>
      <c r="C252" s="7">
        <f t="shared" si="3"/>
        <v>23.60349809359256</v>
      </c>
      <c r="D252" s="9">
        <v>0</v>
      </c>
      <c r="E252" s="11">
        <v>4.8</v>
      </c>
      <c r="F252" s="11">
        <v>5.8</v>
      </c>
      <c r="G252" s="11">
        <v>6.4</v>
      </c>
    </row>
    <row r="253" spans="1:7" x14ac:dyDescent="0.3">
      <c r="A253" s="1">
        <v>45995.41668292824</v>
      </c>
      <c r="B253" s="12">
        <v>0.85</v>
      </c>
      <c r="C253" s="7">
        <f t="shared" si="3"/>
        <v>22.855963763230644</v>
      </c>
      <c r="D253" s="9">
        <v>0</v>
      </c>
      <c r="E253" s="11">
        <v>4.8</v>
      </c>
      <c r="F253" s="11">
        <v>5.8</v>
      </c>
      <c r="G253" s="11">
        <v>6.4</v>
      </c>
    </row>
    <row r="254" spans="1:7" x14ac:dyDescent="0.3">
      <c r="A254" s="1">
        <v>45995.458349710651</v>
      </c>
      <c r="B254" s="12">
        <v>0.86</v>
      </c>
      <c r="C254" s="7">
        <f t="shared" si="3"/>
        <v>23.228896892293509</v>
      </c>
      <c r="D254" s="9">
        <v>0</v>
      </c>
      <c r="E254" s="11">
        <v>4.8</v>
      </c>
      <c r="F254" s="11">
        <v>5.8</v>
      </c>
      <c r="G254" s="11">
        <v>6.4</v>
      </c>
    </row>
    <row r="255" spans="1:7" x14ac:dyDescent="0.3">
      <c r="A255" s="1">
        <v>45995.500016493053</v>
      </c>
      <c r="B255" s="12">
        <v>0.76</v>
      </c>
      <c r="C255" s="7">
        <f t="shared" si="3"/>
        <v>19.576699676476153</v>
      </c>
      <c r="D255" s="9">
        <v>0</v>
      </c>
      <c r="E255" s="11">
        <v>4.8</v>
      </c>
      <c r="F255" s="11">
        <v>5.8</v>
      </c>
      <c r="G255" s="11">
        <v>6.4</v>
      </c>
    </row>
    <row r="256" spans="1:7" x14ac:dyDescent="0.3">
      <c r="A256" s="1">
        <v>45995.541683275464</v>
      </c>
      <c r="B256" s="12">
        <v>0.63</v>
      </c>
      <c r="C256" s="7">
        <f t="shared" si="3"/>
        <v>15.100700072125402</v>
      </c>
      <c r="D256" s="9">
        <v>0</v>
      </c>
      <c r="E256" s="11">
        <v>4.8</v>
      </c>
      <c r="F256" s="11">
        <v>5.8</v>
      </c>
      <c r="G256" s="11">
        <v>6.4</v>
      </c>
    </row>
    <row r="257" spans="1:7" x14ac:dyDescent="0.3">
      <c r="A257" s="1">
        <v>45995.583350057874</v>
      </c>
      <c r="B257" s="12">
        <v>0.59</v>
      </c>
      <c r="C257" s="7">
        <f t="shared" si="3"/>
        <v>13.790329499845408</v>
      </c>
      <c r="D257" s="9">
        <v>0</v>
      </c>
      <c r="E257" s="11">
        <v>4.8</v>
      </c>
      <c r="F257" s="11">
        <v>5.8</v>
      </c>
      <c r="G257" s="11">
        <v>6.4</v>
      </c>
    </row>
    <row r="258" spans="1:7" x14ac:dyDescent="0.3">
      <c r="A258" s="1">
        <v>45995.625016840277</v>
      </c>
      <c r="B258" s="12">
        <v>0.75</v>
      </c>
      <c r="C258" s="7">
        <f t="shared" si="3"/>
        <v>19.221151672443352</v>
      </c>
      <c r="D258" s="9">
        <v>0</v>
      </c>
      <c r="E258" s="11">
        <v>4.8</v>
      </c>
      <c r="F258" s="11">
        <v>5.8</v>
      </c>
      <c r="G258" s="11">
        <v>6.4</v>
      </c>
    </row>
    <row r="259" spans="1:7" x14ac:dyDescent="0.3">
      <c r="A259" s="1">
        <v>45995.666683622687</v>
      </c>
      <c r="B259" s="12">
        <v>0.81</v>
      </c>
      <c r="C259" s="7">
        <f t="shared" si="3"/>
        <v>21.381156804678113</v>
      </c>
      <c r="D259" s="9">
        <v>0</v>
      </c>
      <c r="E259" s="11">
        <v>4.8</v>
      </c>
      <c r="F259" s="11">
        <v>5.8</v>
      </c>
      <c r="G259" s="11">
        <v>6.4</v>
      </c>
    </row>
    <row r="260" spans="1:7" x14ac:dyDescent="0.3">
      <c r="A260" s="1">
        <v>45995.70835040509</v>
      </c>
      <c r="B260" s="12">
        <v>1</v>
      </c>
      <c r="C260" s="7">
        <f t="shared" si="3"/>
        <v>28.62</v>
      </c>
      <c r="D260" s="9">
        <v>10.199999999999999</v>
      </c>
      <c r="E260" s="11">
        <v>4.8</v>
      </c>
      <c r="F260" s="11">
        <v>5.8</v>
      </c>
      <c r="G260" s="11">
        <v>6.4</v>
      </c>
    </row>
    <row r="261" spans="1:7" x14ac:dyDescent="0.3">
      <c r="A261" s="1">
        <v>45995.7500171875</v>
      </c>
      <c r="B261" s="12">
        <v>1.53</v>
      </c>
      <c r="C261" s="7">
        <f t="shared" ref="C261:C267" si="4">IF(B261="","",28.62*(B261)^1.3838)</f>
        <v>51.552013371882843</v>
      </c>
      <c r="D261" s="9">
        <v>6.6</v>
      </c>
      <c r="E261" s="11">
        <v>4.8</v>
      </c>
      <c r="F261" s="11">
        <v>5.8</v>
      </c>
      <c r="G261" s="11">
        <v>6.4</v>
      </c>
    </row>
    <row r="262" spans="1:7" x14ac:dyDescent="0.3">
      <c r="A262" s="1">
        <v>45995.79168396991</v>
      </c>
      <c r="B262" s="12">
        <v>1.64</v>
      </c>
      <c r="C262" s="7">
        <f t="shared" si="4"/>
        <v>56.750611610507896</v>
      </c>
      <c r="D262" s="9">
        <v>0</v>
      </c>
      <c r="E262" s="11">
        <v>4.8</v>
      </c>
      <c r="F262" s="11">
        <v>5.8</v>
      </c>
      <c r="G262" s="11">
        <v>6.4</v>
      </c>
    </row>
    <row r="263" spans="1:7" x14ac:dyDescent="0.3">
      <c r="A263" s="1">
        <v>45995.833350752313</v>
      </c>
      <c r="B263" s="12">
        <v>1.4</v>
      </c>
      <c r="C263" s="7">
        <f t="shared" si="4"/>
        <v>45.591261079668001</v>
      </c>
      <c r="D263" s="9">
        <v>0</v>
      </c>
      <c r="E263" s="11">
        <v>4.8</v>
      </c>
      <c r="F263" s="11">
        <v>5.8</v>
      </c>
      <c r="G263" s="11">
        <v>6.4</v>
      </c>
    </row>
    <row r="264" spans="1:7" x14ac:dyDescent="0.3">
      <c r="A264" s="1">
        <v>45995.875017534723</v>
      </c>
      <c r="B264" s="12">
        <v>1.23</v>
      </c>
      <c r="C264" s="7">
        <f t="shared" si="4"/>
        <v>38.113630792085843</v>
      </c>
      <c r="D264" s="9">
        <v>0</v>
      </c>
      <c r="E264" s="11">
        <v>4.8</v>
      </c>
      <c r="F264" s="11">
        <v>5.8</v>
      </c>
      <c r="G264" s="11">
        <v>6.4</v>
      </c>
    </row>
    <row r="265" spans="1:7" x14ac:dyDescent="0.3">
      <c r="A265" s="1">
        <v>45995.916684317126</v>
      </c>
      <c r="B265" s="12">
        <v>1.19</v>
      </c>
      <c r="C265" s="7">
        <f t="shared" si="4"/>
        <v>36.409231696606547</v>
      </c>
      <c r="D265" s="9">
        <v>0</v>
      </c>
      <c r="E265" s="11">
        <v>4.8</v>
      </c>
      <c r="F265" s="11">
        <v>5.8</v>
      </c>
      <c r="G265" s="11">
        <v>6.4</v>
      </c>
    </row>
    <row r="266" spans="1:7" x14ac:dyDescent="0.3">
      <c r="A266" s="1">
        <v>45995.958351099536</v>
      </c>
      <c r="B266" s="12">
        <v>1.18</v>
      </c>
      <c r="C266" s="7">
        <f t="shared" si="4"/>
        <v>35.986528284232129</v>
      </c>
      <c r="D266" s="9">
        <v>0</v>
      </c>
      <c r="E266" s="11">
        <v>4.8</v>
      </c>
      <c r="F266" s="11">
        <v>5.8</v>
      </c>
      <c r="G266" s="11">
        <v>6.4</v>
      </c>
    </row>
    <row r="267" spans="1:7" x14ac:dyDescent="0.3">
      <c r="A267" s="1">
        <v>45996.000017881946</v>
      </c>
      <c r="B267" s="12">
        <v>1.1299999999999999</v>
      </c>
      <c r="C267" s="7">
        <f t="shared" si="4"/>
        <v>33.89374670162605</v>
      </c>
      <c r="D267" s="9">
        <v>0</v>
      </c>
      <c r="E267" s="11">
        <v>4.8</v>
      </c>
      <c r="F267" s="11">
        <v>5.8</v>
      </c>
      <c r="G267" s="11">
        <v>6.4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40B5-84D5-4883-8BF4-2F2B5EDEE0AC}">
  <dimension ref="A1:Q267"/>
  <sheetViews>
    <sheetView topLeftCell="A30" workbookViewId="0">
      <selection activeCell="B1" sqref="B1:B1048576"/>
    </sheetView>
  </sheetViews>
  <sheetFormatPr defaultRowHeight="14.4" x14ac:dyDescent="0.3"/>
  <cols>
    <col min="1" max="1" width="17.88671875" customWidth="1"/>
    <col min="2" max="3" width="7.6640625" style="4" customWidth="1"/>
    <col min="4" max="4" width="7.88671875" style="9" customWidth="1"/>
    <col min="5" max="7" width="5.6640625" style="11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">
        <v>10</v>
      </c>
    </row>
    <row r="2" spans="1:17" x14ac:dyDescent="0.3">
      <c r="A2" s="15" t="s">
        <v>6</v>
      </c>
      <c r="C2" s="15"/>
      <c r="I2" s="23" t="s">
        <v>26</v>
      </c>
      <c r="J2" s="22" t="s">
        <v>22</v>
      </c>
      <c r="K2" s="22" t="s">
        <v>23</v>
      </c>
      <c r="L2" s="22" t="s">
        <v>24</v>
      </c>
      <c r="M2" s="22" t="s">
        <v>25</v>
      </c>
    </row>
    <row r="3" spans="1:17" ht="16.2" x14ac:dyDescent="0.3">
      <c r="B3" s="4" t="s">
        <v>8</v>
      </c>
      <c r="C3" s="4" t="s">
        <v>9</v>
      </c>
      <c r="D3" s="9" t="s">
        <v>11</v>
      </c>
      <c r="E3" s="11" t="s">
        <v>19</v>
      </c>
      <c r="F3" s="11" t="s">
        <v>20</v>
      </c>
      <c r="G3" s="11" t="s">
        <v>21</v>
      </c>
      <c r="I3" s="23">
        <v>0</v>
      </c>
      <c r="J3" s="24">
        <v>45988.125</v>
      </c>
      <c r="K3" s="21">
        <v>45988.895833333336</v>
      </c>
      <c r="L3" s="21">
        <v>45989.541666666664</v>
      </c>
      <c r="M3" s="21">
        <v>45991.75</v>
      </c>
      <c r="Q3" s="25"/>
    </row>
    <row r="4" spans="1:17" x14ac:dyDescent="0.3">
      <c r="A4" s="1">
        <v>45985.041666666664</v>
      </c>
      <c r="B4" s="5">
        <v>1.7</v>
      </c>
      <c r="C4" s="7">
        <f>IF(B4="","",IF(B4&gt;2.5,19.135*(B4+0.5)^2-29.477*(B4+0.5)+32.54,3.0494*((B4+0.5)^2.8875)))</f>
        <v>29.713915695331163</v>
      </c>
      <c r="D4" s="9">
        <v>0</v>
      </c>
      <c r="E4" s="11">
        <v>1.5</v>
      </c>
      <c r="F4" s="11">
        <v>3</v>
      </c>
      <c r="G4" s="11">
        <v>4.5</v>
      </c>
      <c r="I4" s="23">
        <v>5</v>
      </c>
      <c r="J4" s="24">
        <v>45988.125</v>
      </c>
      <c r="K4" s="21">
        <v>45988.895833333336</v>
      </c>
      <c r="L4" s="21">
        <v>45989.541666666664</v>
      </c>
      <c r="M4" s="21">
        <v>45991.75</v>
      </c>
      <c r="Q4" s="25"/>
    </row>
    <row r="5" spans="1:17" x14ac:dyDescent="0.3">
      <c r="A5" s="1">
        <v>45985.083333333336</v>
      </c>
      <c r="B5" s="5">
        <v>1.62</v>
      </c>
      <c r="C5" s="7">
        <f t="shared" ref="C5:C68" si="0">IF(B5="","",IF(B5&gt;2.5,19.135*(B5+0.5)^2-29.477*(B5+0.5)+32.54,3.0494*((B5+0.5)^2.8875)))</f>
        <v>26.699872924970897</v>
      </c>
      <c r="D5" s="9">
        <v>0</v>
      </c>
      <c r="E5" s="11">
        <v>1.5</v>
      </c>
      <c r="F5" s="11">
        <v>3</v>
      </c>
      <c r="G5" s="11">
        <v>4.5</v>
      </c>
      <c r="K5" s="1"/>
      <c r="Q5" s="25"/>
    </row>
    <row r="6" spans="1:17" x14ac:dyDescent="0.3">
      <c r="A6" s="1">
        <v>45985.125000057873</v>
      </c>
      <c r="B6" s="5">
        <v>1.6</v>
      </c>
      <c r="C6" s="7">
        <f t="shared" si="0"/>
        <v>25.979010742504016</v>
      </c>
      <c r="D6" s="9">
        <v>0</v>
      </c>
      <c r="E6" s="11">
        <v>1.5</v>
      </c>
      <c r="F6" s="11">
        <v>3</v>
      </c>
      <c r="G6" s="11">
        <v>4.5</v>
      </c>
      <c r="K6" s="1"/>
      <c r="M6" s="1"/>
    </row>
    <row r="7" spans="1:17" x14ac:dyDescent="0.3">
      <c r="A7" s="1">
        <v>45985.16666678241</v>
      </c>
      <c r="B7" s="5">
        <v>1.55</v>
      </c>
      <c r="C7" s="7">
        <f t="shared" si="0"/>
        <v>24.23280400570944</v>
      </c>
      <c r="D7" s="9">
        <v>0</v>
      </c>
      <c r="E7" s="11">
        <v>1.5</v>
      </c>
      <c r="F7" s="11">
        <v>3</v>
      </c>
      <c r="G7" s="11">
        <v>4.5</v>
      </c>
    </row>
    <row r="8" spans="1:17" x14ac:dyDescent="0.3">
      <c r="A8" s="1">
        <v>45985.208333506947</v>
      </c>
      <c r="B8" s="5">
        <v>1.51</v>
      </c>
      <c r="C8" s="7">
        <f t="shared" si="0"/>
        <v>22.892488872779989</v>
      </c>
      <c r="D8" s="9">
        <v>0</v>
      </c>
      <c r="E8" s="11">
        <v>1.5</v>
      </c>
      <c r="F8" s="11">
        <v>3</v>
      </c>
      <c r="G8" s="11">
        <v>4.5</v>
      </c>
    </row>
    <row r="9" spans="1:17" x14ac:dyDescent="0.3">
      <c r="A9" s="1">
        <v>45985.250000231485</v>
      </c>
      <c r="B9" s="5">
        <v>1.48</v>
      </c>
      <c r="C9" s="7">
        <f t="shared" si="0"/>
        <v>21.919726592793509</v>
      </c>
      <c r="D9" s="9">
        <v>0</v>
      </c>
      <c r="E9" s="11">
        <v>1.5</v>
      </c>
      <c r="F9" s="11">
        <v>3</v>
      </c>
      <c r="G9" s="11">
        <v>4.5</v>
      </c>
    </row>
    <row r="10" spans="1:17" x14ac:dyDescent="0.3">
      <c r="A10" s="1">
        <v>45985.291666956022</v>
      </c>
      <c r="B10" s="5">
        <v>1.45</v>
      </c>
      <c r="C10" s="7">
        <f t="shared" si="0"/>
        <v>20.974389865308012</v>
      </c>
      <c r="D10" s="9">
        <v>0</v>
      </c>
      <c r="E10" s="11">
        <v>1.5</v>
      </c>
      <c r="F10" s="11">
        <v>3</v>
      </c>
      <c r="G10" s="11">
        <v>4.5</v>
      </c>
    </row>
    <row r="11" spans="1:17" x14ac:dyDescent="0.3">
      <c r="A11" s="1">
        <v>45985.333333680559</v>
      </c>
      <c r="B11" s="5">
        <v>1.32</v>
      </c>
      <c r="C11" s="7">
        <f t="shared" si="0"/>
        <v>17.185830683644909</v>
      </c>
      <c r="D11" s="9">
        <v>0</v>
      </c>
      <c r="E11" s="11">
        <v>1.5</v>
      </c>
      <c r="F11" s="11">
        <v>3</v>
      </c>
      <c r="G11" s="11">
        <v>4.5</v>
      </c>
    </row>
    <row r="12" spans="1:17" x14ac:dyDescent="0.3">
      <c r="A12" s="1">
        <v>45985.375000405096</v>
      </c>
      <c r="B12" s="5">
        <v>1.25</v>
      </c>
      <c r="C12" s="7">
        <f t="shared" si="0"/>
        <v>15.345702042865385</v>
      </c>
      <c r="D12" s="9">
        <v>0</v>
      </c>
      <c r="E12" s="11">
        <v>1.5</v>
      </c>
      <c r="F12" s="11">
        <v>3</v>
      </c>
      <c r="G12" s="11">
        <v>4.5</v>
      </c>
    </row>
    <row r="13" spans="1:17" x14ac:dyDescent="0.3">
      <c r="A13" s="1">
        <v>45985.416667129626</v>
      </c>
      <c r="B13" s="5">
        <v>1.22</v>
      </c>
      <c r="C13" s="7">
        <f t="shared" si="0"/>
        <v>14.598316877618933</v>
      </c>
      <c r="D13" s="9">
        <v>0</v>
      </c>
      <c r="E13" s="11">
        <v>1.5</v>
      </c>
      <c r="F13" s="11">
        <v>3</v>
      </c>
      <c r="G13" s="11">
        <v>4.5</v>
      </c>
    </row>
    <row r="14" spans="1:17" x14ac:dyDescent="0.3">
      <c r="A14" s="1">
        <v>45985.458333854163</v>
      </c>
      <c r="B14" s="5">
        <v>1.18</v>
      </c>
      <c r="C14" s="7">
        <f t="shared" si="0"/>
        <v>13.639389978644896</v>
      </c>
      <c r="D14" s="9">
        <v>0</v>
      </c>
      <c r="E14" s="11">
        <v>1.5</v>
      </c>
      <c r="F14" s="11">
        <v>3</v>
      </c>
      <c r="G14" s="11">
        <v>4.5</v>
      </c>
    </row>
    <row r="15" spans="1:17" x14ac:dyDescent="0.3">
      <c r="A15" s="1">
        <v>45985.500000578701</v>
      </c>
      <c r="B15" s="5">
        <v>1.1599999999999999</v>
      </c>
      <c r="C15" s="7">
        <f t="shared" si="0"/>
        <v>13.175785021073656</v>
      </c>
      <c r="D15" s="9">
        <v>0</v>
      </c>
      <c r="E15" s="11">
        <v>1.5</v>
      </c>
      <c r="F15" s="11">
        <v>3</v>
      </c>
      <c r="G15" s="11">
        <v>4.5</v>
      </c>
    </row>
    <row r="16" spans="1:17" x14ac:dyDescent="0.3">
      <c r="A16" s="1">
        <v>45985.541667303238</v>
      </c>
      <c r="B16" s="5">
        <v>1.17</v>
      </c>
      <c r="C16" s="7">
        <f t="shared" si="0"/>
        <v>13.406277551750891</v>
      </c>
      <c r="D16" s="9">
        <v>0</v>
      </c>
      <c r="E16" s="11">
        <v>1.5</v>
      </c>
      <c r="F16" s="11">
        <v>3</v>
      </c>
      <c r="G16" s="11">
        <v>4.5</v>
      </c>
    </row>
    <row r="17" spans="1:7" x14ac:dyDescent="0.3">
      <c r="A17" s="1">
        <v>45985.583334027775</v>
      </c>
      <c r="B17" s="5">
        <v>1.02</v>
      </c>
      <c r="C17" s="7">
        <f t="shared" si="0"/>
        <v>10.216161650359053</v>
      </c>
      <c r="D17" s="9">
        <v>0</v>
      </c>
      <c r="E17" s="11">
        <v>1.5</v>
      </c>
      <c r="F17" s="11">
        <v>3</v>
      </c>
      <c r="G17" s="11">
        <v>4.5</v>
      </c>
    </row>
    <row r="18" spans="1:7" x14ac:dyDescent="0.3">
      <c r="A18" s="1">
        <v>45985.625000752312</v>
      </c>
      <c r="B18" s="5">
        <v>1.1100000000000001</v>
      </c>
      <c r="C18" s="7">
        <f t="shared" si="0"/>
        <v>12.062133005740378</v>
      </c>
      <c r="D18" s="9">
        <v>5.9</v>
      </c>
      <c r="E18" s="11">
        <v>1.5</v>
      </c>
      <c r="F18" s="11">
        <v>3</v>
      </c>
      <c r="G18" s="11">
        <v>4.5</v>
      </c>
    </row>
    <row r="19" spans="1:7" x14ac:dyDescent="0.3">
      <c r="A19" s="1">
        <v>45985.666667476849</v>
      </c>
      <c r="B19" s="5">
        <v>1.1000000000000001</v>
      </c>
      <c r="C19" s="7">
        <f t="shared" si="0"/>
        <v>11.847067035611163</v>
      </c>
      <c r="D19" s="9">
        <v>0.6</v>
      </c>
      <c r="E19" s="11">
        <v>1.5</v>
      </c>
      <c r="F19" s="11">
        <v>3</v>
      </c>
      <c r="G19" s="11">
        <v>4.5</v>
      </c>
    </row>
    <row r="20" spans="1:7" x14ac:dyDescent="0.3">
      <c r="A20" s="1">
        <v>45985.708334201387</v>
      </c>
      <c r="B20" s="5">
        <v>1.1299999999999999</v>
      </c>
      <c r="C20" s="7">
        <f t="shared" si="0"/>
        <v>12.499887480960505</v>
      </c>
      <c r="D20" s="9">
        <v>0.8</v>
      </c>
      <c r="E20" s="11">
        <v>1.5</v>
      </c>
      <c r="F20" s="11">
        <v>3</v>
      </c>
      <c r="G20" s="11">
        <v>4.5</v>
      </c>
    </row>
    <row r="21" spans="1:7" x14ac:dyDescent="0.3">
      <c r="A21" s="1">
        <v>45985.750000925924</v>
      </c>
      <c r="B21" s="5">
        <v>1.19</v>
      </c>
      <c r="C21" s="7">
        <f t="shared" si="0"/>
        <v>13.875136220186866</v>
      </c>
      <c r="D21" s="9">
        <v>2.5</v>
      </c>
      <c r="E21" s="11">
        <v>1.5</v>
      </c>
      <c r="F21" s="11">
        <v>3</v>
      </c>
      <c r="G21" s="11">
        <v>4.5</v>
      </c>
    </row>
    <row r="22" spans="1:7" x14ac:dyDescent="0.3">
      <c r="A22" s="1">
        <v>45985.791667650461</v>
      </c>
      <c r="B22" s="5">
        <v>1.26</v>
      </c>
      <c r="C22" s="7">
        <f t="shared" si="0"/>
        <v>15.600273927987743</v>
      </c>
      <c r="D22" s="9">
        <v>2.2999999999999998</v>
      </c>
      <c r="E22" s="11">
        <v>1.5</v>
      </c>
      <c r="F22" s="11">
        <v>3</v>
      </c>
      <c r="G22" s="11">
        <v>4.5</v>
      </c>
    </row>
    <row r="23" spans="1:7" x14ac:dyDescent="0.3">
      <c r="A23" s="1">
        <v>45985.833334374998</v>
      </c>
      <c r="B23" s="5">
        <v>1.3</v>
      </c>
      <c r="C23" s="7">
        <f t="shared" si="0"/>
        <v>16.64614810905373</v>
      </c>
      <c r="D23" s="9">
        <v>3.3</v>
      </c>
      <c r="E23" s="11">
        <v>1.5</v>
      </c>
      <c r="F23" s="11">
        <v>3</v>
      </c>
      <c r="G23" s="11">
        <v>4.5</v>
      </c>
    </row>
    <row r="24" spans="1:7" x14ac:dyDescent="0.3">
      <c r="A24" s="1">
        <v>45985.875001099535</v>
      </c>
      <c r="B24" s="5">
        <v>1.37</v>
      </c>
      <c r="C24" s="7">
        <f t="shared" si="0"/>
        <v>18.58476332772932</v>
      </c>
      <c r="D24" s="9">
        <v>0</v>
      </c>
      <c r="E24" s="11">
        <v>1.5</v>
      </c>
      <c r="F24" s="11">
        <v>3</v>
      </c>
      <c r="G24" s="11">
        <v>4.5</v>
      </c>
    </row>
    <row r="25" spans="1:7" x14ac:dyDescent="0.3">
      <c r="A25" s="1">
        <v>45985.916667824073</v>
      </c>
      <c r="B25" s="5">
        <v>1.38</v>
      </c>
      <c r="C25" s="7">
        <f t="shared" si="0"/>
        <v>18.87318450958804</v>
      </c>
      <c r="D25" s="9">
        <v>0</v>
      </c>
      <c r="E25" s="11">
        <v>1.5</v>
      </c>
      <c r="F25" s="11">
        <v>3</v>
      </c>
      <c r="G25" s="11">
        <v>4.5</v>
      </c>
    </row>
    <row r="26" spans="1:7" x14ac:dyDescent="0.3">
      <c r="A26" s="1">
        <v>45985.95833454861</v>
      </c>
      <c r="B26" s="5">
        <v>1.36</v>
      </c>
      <c r="C26" s="7">
        <f t="shared" si="0"/>
        <v>18.299238706821864</v>
      </c>
      <c r="D26" s="9">
        <v>0</v>
      </c>
      <c r="E26" s="11">
        <v>1.5</v>
      </c>
      <c r="F26" s="11">
        <v>3</v>
      </c>
      <c r="G26" s="11">
        <v>4.5</v>
      </c>
    </row>
    <row r="27" spans="1:7" x14ac:dyDescent="0.3">
      <c r="A27" s="1">
        <v>45986.000001273147</v>
      </c>
      <c r="B27" s="5">
        <v>1.38</v>
      </c>
      <c r="C27" s="7">
        <f t="shared" si="0"/>
        <v>18.87318450958804</v>
      </c>
      <c r="D27" s="9">
        <v>0</v>
      </c>
      <c r="E27" s="11">
        <v>1.5</v>
      </c>
      <c r="F27" s="11">
        <v>3</v>
      </c>
      <c r="G27" s="11">
        <v>4.5</v>
      </c>
    </row>
    <row r="28" spans="1:7" x14ac:dyDescent="0.3">
      <c r="A28" s="1">
        <v>45986.041667997684</v>
      </c>
      <c r="B28" s="5">
        <v>1.37</v>
      </c>
      <c r="C28" s="7">
        <f t="shared" si="0"/>
        <v>18.58476332772932</v>
      </c>
      <c r="D28" s="9">
        <v>0</v>
      </c>
      <c r="E28" s="11">
        <v>1.5</v>
      </c>
      <c r="F28" s="11">
        <v>3</v>
      </c>
      <c r="G28" s="11">
        <v>4.5</v>
      </c>
    </row>
    <row r="29" spans="1:7" x14ac:dyDescent="0.3">
      <c r="A29" s="1">
        <v>45986.083334722221</v>
      </c>
      <c r="B29" s="5">
        <v>1.4</v>
      </c>
      <c r="C29" s="7">
        <f t="shared" si="0"/>
        <v>19.458771519648565</v>
      </c>
      <c r="D29" s="9">
        <v>0</v>
      </c>
      <c r="E29" s="11">
        <v>1.5</v>
      </c>
      <c r="F29" s="11">
        <v>3</v>
      </c>
      <c r="G29" s="11">
        <v>4.5</v>
      </c>
    </row>
    <row r="30" spans="1:7" x14ac:dyDescent="0.3">
      <c r="A30" s="1">
        <v>45986.125001446759</v>
      </c>
      <c r="B30" s="5">
        <v>1.45</v>
      </c>
      <c r="C30" s="7">
        <f t="shared" si="0"/>
        <v>20.974389865308012</v>
      </c>
      <c r="D30" s="9">
        <v>0</v>
      </c>
      <c r="E30" s="11">
        <v>1.5</v>
      </c>
      <c r="F30" s="11">
        <v>3</v>
      </c>
      <c r="G30" s="11">
        <v>4.5</v>
      </c>
    </row>
    <row r="31" spans="1:7" x14ac:dyDescent="0.3">
      <c r="A31" s="1">
        <v>45986.166668171296</v>
      </c>
      <c r="B31" s="5">
        <v>1.46</v>
      </c>
      <c r="C31" s="7">
        <f t="shared" si="0"/>
        <v>21.286477595600353</v>
      </c>
      <c r="D31" s="9">
        <v>0</v>
      </c>
      <c r="E31" s="11">
        <v>1.5</v>
      </c>
      <c r="F31" s="11">
        <v>3</v>
      </c>
      <c r="G31" s="11">
        <v>4.5</v>
      </c>
    </row>
    <row r="32" spans="1:7" x14ac:dyDescent="0.3">
      <c r="A32" s="1">
        <v>45986.208334895833</v>
      </c>
      <c r="B32" s="5">
        <v>1.41</v>
      </c>
      <c r="C32" s="7">
        <f t="shared" si="0"/>
        <v>19.755964809089757</v>
      </c>
      <c r="D32" s="9">
        <v>0</v>
      </c>
      <c r="E32" s="11">
        <v>1.5</v>
      </c>
      <c r="F32" s="11">
        <v>3</v>
      </c>
      <c r="G32" s="11">
        <v>4.5</v>
      </c>
    </row>
    <row r="33" spans="1:7" x14ac:dyDescent="0.3">
      <c r="A33" s="1">
        <v>45986.25000162037</v>
      </c>
      <c r="B33" s="5">
        <v>1.37</v>
      </c>
      <c r="C33" s="7">
        <f t="shared" si="0"/>
        <v>18.58476332772932</v>
      </c>
      <c r="D33" s="9">
        <v>0</v>
      </c>
      <c r="E33" s="11">
        <v>1.5</v>
      </c>
      <c r="F33" s="11">
        <v>3</v>
      </c>
      <c r="G33" s="11">
        <v>4.5</v>
      </c>
    </row>
    <row r="34" spans="1:7" x14ac:dyDescent="0.3">
      <c r="A34" s="1">
        <v>45986.291668344908</v>
      </c>
      <c r="B34" s="5">
        <v>1.35</v>
      </c>
      <c r="C34" s="7">
        <f t="shared" si="0"/>
        <v>18.016596895667625</v>
      </c>
      <c r="D34" s="9">
        <v>2.1</v>
      </c>
      <c r="E34" s="11">
        <v>1.5</v>
      </c>
      <c r="F34" s="11">
        <v>3</v>
      </c>
      <c r="G34" s="11">
        <v>4.5</v>
      </c>
    </row>
    <row r="35" spans="1:7" x14ac:dyDescent="0.3">
      <c r="A35" s="1">
        <v>45986.333335069445</v>
      </c>
      <c r="B35" s="5">
        <v>1.32</v>
      </c>
      <c r="C35" s="7">
        <f t="shared" si="0"/>
        <v>17.185830683644909</v>
      </c>
      <c r="D35" s="9">
        <v>1.1000000000000001</v>
      </c>
      <c r="E35" s="11">
        <v>1.5</v>
      </c>
      <c r="F35" s="11">
        <v>3</v>
      </c>
      <c r="G35" s="11">
        <v>4.5</v>
      </c>
    </row>
    <row r="36" spans="1:7" x14ac:dyDescent="0.3">
      <c r="A36" s="1">
        <v>45986.375001793982</v>
      </c>
      <c r="B36" s="5">
        <v>1.31</v>
      </c>
      <c r="C36" s="7">
        <f t="shared" si="0"/>
        <v>16.914582432371613</v>
      </c>
      <c r="D36" s="9">
        <v>0</v>
      </c>
      <c r="E36" s="11">
        <v>1.5</v>
      </c>
      <c r="F36" s="11">
        <v>3</v>
      </c>
      <c r="G36" s="11">
        <v>4.5</v>
      </c>
    </row>
    <row r="37" spans="1:7" x14ac:dyDescent="0.3">
      <c r="A37" s="1">
        <v>45986.416668518519</v>
      </c>
      <c r="B37" s="5">
        <v>1.3</v>
      </c>
      <c r="C37" s="7">
        <f t="shared" si="0"/>
        <v>16.64614810905373</v>
      </c>
      <c r="D37" s="9">
        <v>0</v>
      </c>
      <c r="E37" s="11">
        <v>1.5</v>
      </c>
      <c r="F37" s="11">
        <v>3</v>
      </c>
      <c r="G37" s="11">
        <v>4.5</v>
      </c>
    </row>
    <row r="38" spans="1:7" x14ac:dyDescent="0.3">
      <c r="A38" s="1">
        <v>45986.458335243056</v>
      </c>
      <c r="B38" s="5">
        <v>1.28</v>
      </c>
      <c r="C38" s="7">
        <f t="shared" si="0"/>
        <v>16.117666030136917</v>
      </c>
      <c r="D38" s="9">
        <v>1.7</v>
      </c>
      <c r="E38" s="11">
        <v>1.5</v>
      </c>
      <c r="F38" s="11">
        <v>3</v>
      </c>
      <c r="G38" s="11">
        <v>4.5</v>
      </c>
    </row>
    <row r="39" spans="1:7" x14ac:dyDescent="0.3">
      <c r="A39" s="1">
        <v>45986.500001967594</v>
      </c>
      <c r="B39" s="5">
        <v>1.23</v>
      </c>
      <c r="C39" s="7">
        <f t="shared" si="0"/>
        <v>14.844737376632303</v>
      </c>
      <c r="D39" s="9">
        <v>0.9</v>
      </c>
      <c r="E39" s="11">
        <v>1.5</v>
      </c>
      <c r="F39" s="11">
        <v>3</v>
      </c>
      <c r="G39" s="11">
        <v>4.5</v>
      </c>
    </row>
    <row r="40" spans="1:7" x14ac:dyDescent="0.3">
      <c r="A40" s="1">
        <v>45986.541668692131</v>
      </c>
      <c r="B40" s="5">
        <v>1.21</v>
      </c>
      <c r="C40" s="7">
        <f t="shared" si="0"/>
        <v>14.354585774413879</v>
      </c>
      <c r="D40" s="9">
        <v>0</v>
      </c>
      <c r="E40" s="11">
        <v>1.5</v>
      </c>
      <c r="F40" s="11">
        <v>3</v>
      </c>
      <c r="G40" s="11">
        <v>4.5</v>
      </c>
    </row>
    <row r="41" spans="1:7" x14ac:dyDescent="0.3">
      <c r="A41" s="1">
        <v>45986.583335416668</v>
      </c>
      <c r="B41" s="5">
        <v>1.2</v>
      </c>
      <c r="C41" s="7">
        <f t="shared" si="0"/>
        <v>14.113530185490607</v>
      </c>
      <c r="D41" s="9">
        <v>0</v>
      </c>
      <c r="E41" s="11">
        <v>1.5</v>
      </c>
      <c r="F41" s="11">
        <v>3</v>
      </c>
      <c r="G41" s="11">
        <v>4.5</v>
      </c>
    </row>
    <row r="42" spans="1:7" x14ac:dyDescent="0.3">
      <c r="A42" s="1">
        <v>45986.625002141205</v>
      </c>
      <c r="B42" s="5">
        <v>1.18</v>
      </c>
      <c r="C42" s="7">
        <f t="shared" si="0"/>
        <v>13.639389978644896</v>
      </c>
      <c r="D42" s="9">
        <v>0</v>
      </c>
      <c r="E42" s="11">
        <v>1.5</v>
      </c>
      <c r="F42" s="11">
        <v>3</v>
      </c>
      <c r="G42" s="11">
        <v>4.5</v>
      </c>
    </row>
    <row r="43" spans="1:7" x14ac:dyDescent="0.3">
      <c r="A43" s="1">
        <v>45986.666668865742</v>
      </c>
      <c r="B43" s="5">
        <v>1.1599999999999999</v>
      </c>
      <c r="C43" s="7">
        <f t="shared" si="0"/>
        <v>13.175785021073656</v>
      </c>
      <c r="D43" s="9">
        <v>0</v>
      </c>
      <c r="E43" s="11">
        <v>1.5</v>
      </c>
      <c r="F43" s="11">
        <v>3</v>
      </c>
      <c r="G43" s="11">
        <v>4.5</v>
      </c>
    </row>
    <row r="44" spans="1:7" x14ac:dyDescent="0.3">
      <c r="A44" s="1">
        <v>45986.70833559028</v>
      </c>
      <c r="B44" s="5">
        <v>1.1399999999999999</v>
      </c>
      <c r="C44" s="7">
        <f t="shared" si="0"/>
        <v>12.722603927684492</v>
      </c>
      <c r="D44" s="9">
        <v>0</v>
      </c>
      <c r="E44" s="11">
        <v>1.5</v>
      </c>
      <c r="F44" s="11">
        <v>3</v>
      </c>
      <c r="G44" s="11">
        <v>4.5</v>
      </c>
    </row>
    <row r="45" spans="1:7" x14ac:dyDescent="0.3">
      <c r="A45" s="1">
        <v>45986.750002314817</v>
      </c>
      <c r="B45" s="5">
        <v>1.1399999999999999</v>
      </c>
      <c r="C45" s="7">
        <f t="shared" si="0"/>
        <v>12.722603927684492</v>
      </c>
      <c r="D45" s="9">
        <v>0</v>
      </c>
      <c r="E45" s="11">
        <v>1.5</v>
      </c>
      <c r="F45" s="11">
        <v>3</v>
      </c>
      <c r="G45" s="11">
        <v>4.5</v>
      </c>
    </row>
    <row r="46" spans="1:7" x14ac:dyDescent="0.3">
      <c r="A46" s="1">
        <v>45986.791669039354</v>
      </c>
      <c r="B46" s="5">
        <v>1.1299999999999999</v>
      </c>
      <c r="C46" s="7">
        <f t="shared" si="0"/>
        <v>12.499887480960505</v>
      </c>
      <c r="D46" s="9">
        <v>0</v>
      </c>
      <c r="E46" s="11">
        <v>1.5</v>
      </c>
      <c r="F46" s="11">
        <v>3</v>
      </c>
      <c r="G46" s="11">
        <v>4.5</v>
      </c>
    </row>
    <row r="47" spans="1:7" x14ac:dyDescent="0.3">
      <c r="A47" s="1">
        <v>45986.833335763891</v>
      </c>
      <c r="B47" s="5">
        <v>1.1299999999999999</v>
      </c>
      <c r="C47" s="7">
        <f t="shared" si="0"/>
        <v>12.499887480960505</v>
      </c>
      <c r="D47" s="9">
        <v>0</v>
      </c>
      <c r="E47" s="11">
        <v>1.5</v>
      </c>
      <c r="F47" s="11">
        <v>3</v>
      </c>
      <c r="G47" s="11">
        <v>4.5</v>
      </c>
    </row>
    <row r="48" spans="1:7" x14ac:dyDescent="0.3">
      <c r="A48" s="1">
        <v>45986.875002488428</v>
      </c>
      <c r="B48" s="5">
        <v>1.1100000000000001</v>
      </c>
      <c r="C48" s="7">
        <f t="shared" si="0"/>
        <v>12.062133005740378</v>
      </c>
      <c r="D48" s="9">
        <v>0</v>
      </c>
      <c r="E48" s="11">
        <v>1.5</v>
      </c>
      <c r="F48" s="11">
        <v>3</v>
      </c>
      <c r="G48" s="11">
        <v>4.5</v>
      </c>
    </row>
    <row r="49" spans="1:7" x14ac:dyDescent="0.3">
      <c r="A49" s="1">
        <v>45986.916669212966</v>
      </c>
      <c r="B49" s="5">
        <v>1.1000000000000001</v>
      </c>
      <c r="C49" s="7">
        <f t="shared" si="0"/>
        <v>11.847067035611163</v>
      </c>
      <c r="D49" s="9">
        <v>0.6</v>
      </c>
      <c r="E49" s="11">
        <v>1.5</v>
      </c>
      <c r="F49" s="11">
        <v>3</v>
      </c>
      <c r="G49" s="11">
        <v>4.5</v>
      </c>
    </row>
    <row r="50" spans="1:7" x14ac:dyDescent="0.3">
      <c r="A50" s="1">
        <v>45986.958335937503</v>
      </c>
      <c r="B50" s="5">
        <v>1.1100000000000001</v>
      </c>
      <c r="C50" s="7">
        <f t="shared" si="0"/>
        <v>12.062133005740378</v>
      </c>
      <c r="D50" s="9">
        <v>2.1</v>
      </c>
      <c r="E50" s="11">
        <v>1.5</v>
      </c>
      <c r="F50" s="11">
        <v>3</v>
      </c>
      <c r="G50" s="11">
        <v>4.5</v>
      </c>
    </row>
    <row r="51" spans="1:7" x14ac:dyDescent="0.3">
      <c r="A51" s="1">
        <v>45987.00000266204</v>
      </c>
      <c r="B51" s="5">
        <v>1.1200000000000001</v>
      </c>
      <c r="C51" s="7">
        <f t="shared" si="0"/>
        <v>12.279735162300968</v>
      </c>
      <c r="D51" s="9">
        <v>3.1</v>
      </c>
      <c r="E51" s="11">
        <v>1.5</v>
      </c>
      <c r="F51" s="11">
        <v>3</v>
      </c>
      <c r="G51" s="11">
        <v>4.5</v>
      </c>
    </row>
    <row r="52" spans="1:7" x14ac:dyDescent="0.3">
      <c r="A52" s="1">
        <v>45987.041669386577</v>
      </c>
      <c r="B52" s="5">
        <v>1.1399999999999999</v>
      </c>
      <c r="C52" s="7">
        <f t="shared" si="0"/>
        <v>12.722603927684492</v>
      </c>
      <c r="D52" s="9">
        <v>0</v>
      </c>
      <c r="E52" s="11">
        <v>1.5</v>
      </c>
      <c r="F52" s="11">
        <v>3</v>
      </c>
      <c r="G52" s="11">
        <v>4.5</v>
      </c>
    </row>
    <row r="53" spans="1:7" x14ac:dyDescent="0.3">
      <c r="A53" s="1">
        <v>45987.083336111114</v>
      </c>
      <c r="B53" s="5">
        <v>1.1499999999999999</v>
      </c>
      <c r="C53" s="7">
        <f t="shared" si="0"/>
        <v>12.947898458802527</v>
      </c>
      <c r="D53" s="9">
        <v>0</v>
      </c>
      <c r="E53" s="11">
        <v>1.5</v>
      </c>
      <c r="F53" s="11">
        <v>3</v>
      </c>
      <c r="G53" s="11">
        <v>4.5</v>
      </c>
    </row>
    <row r="54" spans="1:7" x14ac:dyDescent="0.3">
      <c r="A54" s="1">
        <v>45987.125002835652</v>
      </c>
      <c r="B54" s="5">
        <v>1.1299999999999999</v>
      </c>
      <c r="C54" s="7">
        <f t="shared" si="0"/>
        <v>12.499887480960505</v>
      </c>
      <c r="D54" s="9">
        <v>0</v>
      </c>
      <c r="E54" s="11">
        <v>1.5</v>
      </c>
      <c r="F54" s="11">
        <v>3</v>
      </c>
      <c r="G54" s="11">
        <v>4.5</v>
      </c>
    </row>
    <row r="55" spans="1:7" x14ac:dyDescent="0.3">
      <c r="A55" s="1">
        <v>45987.166669560182</v>
      </c>
      <c r="B55" s="5">
        <v>1.1299999999999999</v>
      </c>
      <c r="C55" s="7">
        <f t="shared" si="0"/>
        <v>12.499887480960505</v>
      </c>
      <c r="D55" s="9">
        <v>0</v>
      </c>
      <c r="E55" s="11">
        <v>1.5</v>
      </c>
      <c r="F55" s="11">
        <v>3</v>
      </c>
      <c r="G55" s="11">
        <v>4.5</v>
      </c>
    </row>
    <row r="56" spans="1:7" x14ac:dyDescent="0.3">
      <c r="A56" s="1">
        <v>45987.208336284719</v>
      </c>
      <c r="B56" s="5">
        <v>1.1200000000000001</v>
      </c>
      <c r="C56" s="7">
        <f t="shared" si="0"/>
        <v>12.279735162300968</v>
      </c>
      <c r="D56" s="9">
        <v>0</v>
      </c>
      <c r="E56" s="11">
        <v>1.5</v>
      </c>
      <c r="F56" s="11">
        <v>3</v>
      </c>
      <c r="G56" s="11">
        <v>4.5</v>
      </c>
    </row>
    <row r="57" spans="1:7" x14ac:dyDescent="0.3">
      <c r="A57" s="1">
        <v>45987.250003009256</v>
      </c>
      <c r="B57" s="5">
        <v>1.1100000000000001</v>
      </c>
      <c r="C57" s="7">
        <f t="shared" si="0"/>
        <v>12.062133005740378</v>
      </c>
      <c r="D57" s="9">
        <v>0</v>
      </c>
      <c r="E57" s="11">
        <v>1.5</v>
      </c>
      <c r="F57" s="11">
        <v>3</v>
      </c>
      <c r="G57" s="11">
        <v>4.5</v>
      </c>
    </row>
    <row r="58" spans="1:7" x14ac:dyDescent="0.3">
      <c r="A58" s="1">
        <v>45987.291669733793</v>
      </c>
      <c r="B58" s="5">
        <v>1.1000000000000001</v>
      </c>
      <c r="C58" s="7">
        <f t="shared" si="0"/>
        <v>11.847067035611163</v>
      </c>
      <c r="D58" s="9">
        <v>0</v>
      </c>
      <c r="E58" s="11">
        <v>1.5</v>
      </c>
      <c r="F58" s="11">
        <v>3</v>
      </c>
      <c r="G58" s="11">
        <v>4.5</v>
      </c>
    </row>
    <row r="59" spans="1:7" x14ac:dyDescent="0.3">
      <c r="A59" s="1">
        <v>45987.33333645833</v>
      </c>
      <c r="B59" s="5">
        <v>1.0900000000000001</v>
      </c>
      <c r="C59" s="7">
        <f t="shared" si="0"/>
        <v>11.634523266476585</v>
      </c>
      <c r="D59" s="9">
        <v>3.5</v>
      </c>
      <c r="E59" s="11">
        <v>1.5</v>
      </c>
      <c r="F59" s="11">
        <v>3</v>
      </c>
      <c r="G59" s="11">
        <v>4.5</v>
      </c>
    </row>
    <row r="60" spans="1:7" x14ac:dyDescent="0.3">
      <c r="A60" s="1">
        <v>45987.375003182868</v>
      </c>
      <c r="B60" s="5">
        <v>1.1000000000000001</v>
      </c>
      <c r="C60" s="7">
        <f t="shared" si="0"/>
        <v>11.847067035611163</v>
      </c>
      <c r="D60" s="9">
        <v>4.0999999999999996</v>
      </c>
      <c r="E60" s="11">
        <v>1.5</v>
      </c>
      <c r="F60" s="11">
        <v>3</v>
      </c>
      <c r="G60" s="11">
        <v>4.5</v>
      </c>
    </row>
    <row r="61" spans="1:7" x14ac:dyDescent="0.3">
      <c r="A61" s="1">
        <v>45987.416669907405</v>
      </c>
      <c r="B61" s="5">
        <v>1.1100000000000001</v>
      </c>
      <c r="C61" s="7">
        <f t="shared" si="0"/>
        <v>12.062133005740378</v>
      </c>
      <c r="D61" s="9">
        <v>0.6</v>
      </c>
      <c r="E61" s="11">
        <v>1.5</v>
      </c>
      <c r="F61" s="11">
        <v>3</v>
      </c>
      <c r="G61" s="11">
        <v>4.5</v>
      </c>
    </row>
    <row r="62" spans="1:7" x14ac:dyDescent="0.3">
      <c r="A62" s="1">
        <v>45987.458336631942</v>
      </c>
      <c r="B62" s="5">
        <v>1.1200000000000001</v>
      </c>
      <c r="C62" s="7">
        <f t="shared" si="0"/>
        <v>12.279735162300968</v>
      </c>
      <c r="D62" s="9">
        <v>0.4</v>
      </c>
      <c r="E62" s="11">
        <v>1.5</v>
      </c>
      <c r="F62" s="11">
        <v>3</v>
      </c>
      <c r="G62" s="11">
        <v>4.5</v>
      </c>
    </row>
    <row r="63" spans="1:7" x14ac:dyDescent="0.3">
      <c r="A63" s="1">
        <v>45987.500003356479</v>
      </c>
      <c r="B63" s="5">
        <v>1.1200000000000001</v>
      </c>
      <c r="C63" s="7">
        <f t="shared" si="0"/>
        <v>12.279735162300968</v>
      </c>
      <c r="D63" s="9">
        <v>0</v>
      </c>
      <c r="E63" s="11">
        <v>1.5</v>
      </c>
      <c r="F63" s="11">
        <v>3</v>
      </c>
      <c r="G63" s="11">
        <v>4.5</v>
      </c>
    </row>
    <row r="64" spans="1:7" x14ac:dyDescent="0.3">
      <c r="A64" s="1">
        <v>45987.541670081016</v>
      </c>
      <c r="B64" s="5">
        <v>1.1100000000000001</v>
      </c>
      <c r="C64" s="7">
        <f t="shared" si="0"/>
        <v>12.062133005740378</v>
      </c>
      <c r="D64" s="9">
        <v>0</v>
      </c>
      <c r="E64" s="11">
        <v>1.5</v>
      </c>
      <c r="F64" s="11">
        <v>3</v>
      </c>
      <c r="G64" s="11">
        <v>4.5</v>
      </c>
    </row>
    <row r="65" spans="1:7" x14ac:dyDescent="0.3">
      <c r="A65" s="1">
        <v>45987.583336805554</v>
      </c>
      <c r="B65" s="5">
        <v>1.1100000000000001</v>
      </c>
      <c r="C65" s="7">
        <f t="shared" si="0"/>
        <v>12.062133005740378</v>
      </c>
      <c r="D65" s="9">
        <v>0</v>
      </c>
      <c r="E65" s="11">
        <v>1.5</v>
      </c>
      <c r="F65" s="11">
        <v>3</v>
      </c>
      <c r="G65" s="11">
        <v>4.5</v>
      </c>
    </row>
    <row r="66" spans="1:7" x14ac:dyDescent="0.3">
      <c r="A66" s="1">
        <v>45987.625003530091</v>
      </c>
      <c r="B66" s="5">
        <v>1.1100000000000001</v>
      </c>
      <c r="C66" s="7">
        <f t="shared" si="0"/>
        <v>12.062133005740378</v>
      </c>
      <c r="D66" s="9">
        <v>4.2</v>
      </c>
      <c r="E66" s="11">
        <v>1.5</v>
      </c>
      <c r="F66" s="11">
        <v>3</v>
      </c>
      <c r="G66" s="11">
        <v>4.5</v>
      </c>
    </row>
    <row r="67" spans="1:7" x14ac:dyDescent="0.3">
      <c r="A67" s="1">
        <v>45987.666670254628</v>
      </c>
      <c r="B67" s="5">
        <v>1.1200000000000001</v>
      </c>
      <c r="C67" s="7">
        <f t="shared" si="0"/>
        <v>12.279735162300968</v>
      </c>
      <c r="D67" s="9">
        <v>3.4</v>
      </c>
      <c r="E67" s="11">
        <v>1.5</v>
      </c>
      <c r="F67" s="11">
        <v>3</v>
      </c>
      <c r="G67" s="11">
        <v>4.5</v>
      </c>
    </row>
    <row r="68" spans="1:7" x14ac:dyDescent="0.3">
      <c r="A68" s="1">
        <v>45987.708336979165</v>
      </c>
      <c r="B68" s="5">
        <v>1.2</v>
      </c>
      <c r="C68" s="7">
        <f t="shared" si="0"/>
        <v>14.113530185490607</v>
      </c>
      <c r="D68" s="9">
        <v>6.2</v>
      </c>
      <c r="E68" s="11">
        <v>1.5</v>
      </c>
      <c r="F68" s="11">
        <v>3</v>
      </c>
      <c r="G68" s="11">
        <v>4.5</v>
      </c>
    </row>
    <row r="69" spans="1:7" x14ac:dyDescent="0.3">
      <c r="A69" s="1">
        <v>45987.750003703703</v>
      </c>
      <c r="B69" s="5">
        <v>1.28</v>
      </c>
      <c r="C69" s="7">
        <f t="shared" ref="C69:C132" si="1">IF(B69="","",IF(B69&gt;2.5,19.135*(B69+0.5)^2-29.477*(B69+0.5)+32.54,3.0494*((B69+0.5)^2.8875)))</f>
        <v>16.117666030136917</v>
      </c>
      <c r="D69" s="9">
        <v>3.1</v>
      </c>
      <c r="E69" s="11">
        <v>1.5</v>
      </c>
      <c r="F69" s="11">
        <v>3</v>
      </c>
      <c r="G69" s="11">
        <v>4.5</v>
      </c>
    </row>
    <row r="70" spans="1:7" x14ac:dyDescent="0.3">
      <c r="A70" s="1">
        <v>45987.79167042824</v>
      </c>
      <c r="B70" s="5">
        <v>1.35</v>
      </c>
      <c r="C70" s="7">
        <f t="shared" si="1"/>
        <v>18.016596895667625</v>
      </c>
      <c r="D70" s="9">
        <v>1.5</v>
      </c>
      <c r="E70" s="11">
        <v>1.5</v>
      </c>
      <c r="F70" s="11">
        <v>3</v>
      </c>
      <c r="G70" s="11">
        <v>4.5</v>
      </c>
    </row>
    <row r="71" spans="1:7" x14ac:dyDescent="0.3">
      <c r="A71" s="1">
        <v>45987.833337152777</v>
      </c>
      <c r="B71" s="5">
        <v>1.46</v>
      </c>
      <c r="C71" s="7">
        <f t="shared" si="1"/>
        <v>21.286477595600353</v>
      </c>
      <c r="D71" s="9">
        <v>2.1</v>
      </c>
      <c r="E71" s="11">
        <v>1.5</v>
      </c>
      <c r="F71" s="11">
        <v>3</v>
      </c>
      <c r="G71" s="11">
        <v>4.5</v>
      </c>
    </row>
    <row r="72" spans="1:7" x14ac:dyDescent="0.3">
      <c r="A72" s="1">
        <v>45987.875003877314</v>
      </c>
      <c r="B72" s="5">
        <v>1.45</v>
      </c>
      <c r="C72" s="7">
        <f t="shared" si="1"/>
        <v>20.974389865308012</v>
      </c>
      <c r="D72" s="9">
        <v>1.3</v>
      </c>
      <c r="E72" s="11">
        <v>1.5</v>
      </c>
      <c r="F72" s="11">
        <v>3</v>
      </c>
      <c r="G72" s="11">
        <v>4.5</v>
      </c>
    </row>
    <row r="73" spans="1:7" x14ac:dyDescent="0.3">
      <c r="A73" s="1">
        <v>45987.916670601851</v>
      </c>
      <c r="B73" s="5">
        <v>1.44</v>
      </c>
      <c r="C73" s="7">
        <f t="shared" si="1"/>
        <v>20.665308411859872</v>
      </c>
      <c r="D73" s="9">
        <v>5.9</v>
      </c>
      <c r="E73" s="11">
        <v>1.5</v>
      </c>
      <c r="F73" s="11">
        <v>3</v>
      </c>
      <c r="G73" s="11">
        <v>4.5</v>
      </c>
    </row>
    <row r="74" spans="1:7" x14ac:dyDescent="0.3">
      <c r="A74" s="1">
        <v>45987.958337326389</v>
      </c>
      <c r="B74" s="5">
        <v>1.41</v>
      </c>
      <c r="C74" s="7">
        <f t="shared" si="1"/>
        <v>19.755964809089757</v>
      </c>
      <c r="D74" s="9">
        <v>8.5</v>
      </c>
      <c r="E74" s="11">
        <v>1.5</v>
      </c>
      <c r="F74" s="11">
        <v>3</v>
      </c>
      <c r="G74" s="11">
        <v>4.5</v>
      </c>
    </row>
    <row r="75" spans="1:7" x14ac:dyDescent="0.3">
      <c r="A75" s="1">
        <v>45988.000004050926</v>
      </c>
      <c r="B75" s="5">
        <v>1.55</v>
      </c>
      <c r="C75" s="7">
        <f t="shared" si="1"/>
        <v>24.23280400570944</v>
      </c>
      <c r="D75" s="9">
        <v>5.4</v>
      </c>
      <c r="E75" s="11">
        <v>1.5</v>
      </c>
      <c r="F75" s="11">
        <v>3</v>
      </c>
      <c r="G75" s="11">
        <v>4.5</v>
      </c>
    </row>
    <row r="76" spans="1:7" x14ac:dyDescent="0.3">
      <c r="A76" s="1">
        <v>45988.041670775463</v>
      </c>
      <c r="B76" s="5">
        <v>1.61</v>
      </c>
      <c r="C76" s="7">
        <f t="shared" si="1"/>
        <v>26.33782972641206</v>
      </c>
      <c r="D76" s="9">
        <v>3.6</v>
      </c>
      <c r="E76" s="11">
        <v>1.5</v>
      </c>
      <c r="F76" s="11">
        <v>3</v>
      </c>
      <c r="G76" s="11">
        <v>4.5</v>
      </c>
    </row>
    <row r="77" spans="1:7" x14ac:dyDescent="0.3">
      <c r="A77" s="1">
        <v>45988.0833375</v>
      </c>
      <c r="B77" s="5">
        <v>1.73</v>
      </c>
      <c r="C77" s="7">
        <f t="shared" si="1"/>
        <v>30.899018758345857</v>
      </c>
      <c r="D77" s="9">
        <v>7.9</v>
      </c>
      <c r="E77" s="11">
        <v>1.5</v>
      </c>
      <c r="F77" s="11">
        <v>3</v>
      </c>
      <c r="G77" s="11">
        <v>4.5</v>
      </c>
    </row>
    <row r="78" spans="1:7" x14ac:dyDescent="0.3">
      <c r="A78" s="1">
        <v>45988.125004224537</v>
      </c>
      <c r="B78" s="5">
        <v>1.8</v>
      </c>
      <c r="C78" s="7">
        <f t="shared" si="1"/>
        <v>33.783413001313761</v>
      </c>
      <c r="D78" s="9">
        <v>8.3000000000000007</v>
      </c>
      <c r="E78" s="11">
        <v>1.5</v>
      </c>
      <c r="F78" s="11">
        <v>3</v>
      </c>
      <c r="G78" s="11">
        <v>4.5</v>
      </c>
    </row>
    <row r="79" spans="1:7" x14ac:dyDescent="0.3">
      <c r="A79" s="1">
        <v>45988.166670949075</v>
      </c>
      <c r="B79" s="5">
        <v>1.91</v>
      </c>
      <c r="C79" s="7">
        <f t="shared" si="1"/>
        <v>38.662381900089237</v>
      </c>
      <c r="D79" s="9">
        <v>4.0999999999999996</v>
      </c>
      <c r="E79" s="11">
        <v>1.5</v>
      </c>
      <c r="F79" s="11">
        <v>3</v>
      </c>
      <c r="G79" s="11">
        <v>4.5</v>
      </c>
    </row>
    <row r="80" spans="1:7" x14ac:dyDescent="0.3">
      <c r="A80" s="1">
        <v>45988.208337673612</v>
      </c>
      <c r="B80" s="5">
        <v>1.95</v>
      </c>
      <c r="C80" s="7">
        <f t="shared" si="1"/>
        <v>40.544454773417584</v>
      </c>
      <c r="D80" s="9">
        <v>0</v>
      </c>
      <c r="E80" s="11">
        <v>1.5</v>
      </c>
      <c r="F80" s="11">
        <v>3</v>
      </c>
      <c r="G80" s="11">
        <v>4.5</v>
      </c>
    </row>
    <row r="81" spans="1:7" x14ac:dyDescent="0.3">
      <c r="A81" s="1">
        <v>45988.250004398149</v>
      </c>
      <c r="B81" s="5">
        <v>1.89</v>
      </c>
      <c r="C81" s="7">
        <f t="shared" si="1"/>
        <v>37.743166676482609</v>
      </c>
      <c r="D81" s="9">
        <v>3.9</v>
      </c>
      <c r="E81" s="11">
        <v>1.5</v>
      </c>
      <c r="F81" s="11">
        <v>3</v>
      </c>
      <c r="G81" s="11">
        <v>4.5</v>
      </c>
    </row>
    <row r="82" spans="1:7" x14ac:dyDescent="0.3">
      <c r="A82" s="1">
        <v>45988.291671122686</v>
      </c>
      <c r="B82" s="5">
        <v>1.81</v>
      </c>
      <c r="C82" s="7">
        <f t="shared" si="1"/>
        <v>34.209284267824827</v>
      </c>
      <c r="D82" s="9">
        <v>6.2</v>
      </c>
      <c r="E82" s="11">
        <v>1.5</v>
      </c>
      <c r="F82" s="11">
        <v>3</v>
      </c>
      <c r="G82" s="11">
        <v>4.5</v>
      </c>
    </row>
    <row r="83" spans="1:7" x14ac:dyDescent="0.3">
      <c r="A83" s="1">
        <v>45988.333337847223</v>
      </c>
      <c r="B83" s="5">
        <v>1.94</v>
      </c>
      <c r="C83" s="7">
        <f t="shared" si="1"/>
        <v>40.068447870572989</v>
      </c>
      <c r="D83" s="9">
        <v>7.1</v>
      </c>
      <c r="E83" s="11">
        <v>1.5</v>
      </c>
      <c r="F83" s="11">
        <v>3</v>
      </c>
      <c r="G83" s="11">
        <v>4.5</v>
      </c>
    </row>
    <row r="84" spans="1:7" x14ac:dyDescent="0.3">
      <c r="A84" s="1">
        <v>45988.375004571761</v>
      </c>
      <c r="B84" s="5">
        <v>2.2000000000000002</v>
      </c>
      <c r="C84" s="7">
        <f t="shared" si="1"/>
        <v>53.675644144551732</v>
      </c>
      <c r="D84" s="9">
        <v>8.9</v>
      </c>
      <c r="E84" s="11">
        <v>1.5</v>
      </c>
      <c r="F84" s="11">
        <v>3</v>
      </c>
      <c r="G84" s="11">
        <v>4.5</v>
      </c>
    </row>
    <row r="85" spans="1:7" x14ac:dyDescent="0.3">
      <c r="A85" s="1">
        <v>45988.416671296298</v>
      </c>
      <c r="B85" s="5">
        <v>2.52</v>
      </c>
      <c r="C85" s="7">
        <f t="shared" si="1"/>
        <v>118.03831400000001</v>
      </c>
      <c r="D85" s="9">
        <v>4.8</v>
      </c>
      <c r="E85" s="11">
        <v>1.5</v>
      </c>
      <c r="F85" s="11">
        <v>3</v>
      </c>
      <c r="G85" s="11">
        <v>4.5</v>
      </c>
    </row>
    <row r="86" spans="1:7" x14ac:dyDescent="0.3">
      <c r="A86" s="1">
        <v>45988.458338020835</v>
      </c>
      <c r="B86" s="5">
        <v>2.4500000000000002</v>
      </c>
      <c r="C86" s="7">
        <f t="shared" si="1"/>
        <v>69.314719022231884</v>
      </c>
      <c r="D86" s="9">
        <v>3.2</v>
      </c>
      <c r="E86" s="11">
        <v>1.5</v>
      </c>
      <c r="F86" s="11">
        <v>3</v>
      </c>
      <c r="G86" s="11">
        <v>4.5</v>
      </c>
    </row>
    <row r="87" spans="1:7" x14ac:dyDescent="0.3">
      <c r="A87" s="1">
        <v>45988.500004745372</v>
      </c>
      <c r="B87" s="5">
        <v>2.5299999999999998</v>
      </c>
      <c r="C87" s="7">
        <f t="shared" si="1"/>
        <v>118.90121150000002</v>
      </c>
      <c r="D87" s="9">
        <v>1.2</v>
      </c>
      <c r="E87" s="11">
        <v>1.5</v>
      </c>
      <c r="F87" s="11">
        <v>3</v>
      </c>
      <c r="G87" s="11">
        <v>4.5</v>
      </c>
    </row>
    <row r="88" spans="1:7" x14ac:dyDescent="0.3">
      <c r="A88" s="1">
        <v>45988.541671469909</v>
      </c>
      <c r="B88" s="5">
        <v>2.6</v>
      </c>
      <c r="C88" s="7">
        <f t="shared" si="1"/>
        <v>125.04865000000001</v>
      </c>
      <c r="D88" s="9">
        <v>0.4</v>
      </c>
      <c r="E88" s="11">
        <v>1.5</v>
      </c>
      <c r="F88" s="11">
        <v>3</v>
      </c>
      <c r="G88" s="11">
        <v>4.5</v>
      </c>
    </row>
    <row r="89" spans="1:7" x14ac:dyDescent="0.3">
      <c r="A89" s="1">
        <v>45988.583338194447</v>
      </c>
      <c r="B89" s="5">
        <v>2.57</v>
      </c>
      <c r="C89" s="7">
        <f t="shared" si="1"/>
        <v>122.39107150000001</v>
      </c>
      <c r="D89" s="9">
        <v>0</v>
      </c>
      <c r="E89" s="11">
        <v>1.5</v>
      </c>
      <c r="F89" s="11">
        <v>3</v>
      </c>
      <c r="G89" s="11">
        <v>4.5</v>
      </c>
    </row>
    <row r="90" spans="1:7" x14ac:dyDescent="0.3">
      <c r="A90" s="1">
        <v>45988.625004918984</v>
      </c>
      <c r="B90" s="5">
        <v>2.5</v>
      </c>
      <c r="C90" s="7">
        <f t="shared" si="1"/>
        <v>72.761562889573682</v>
      </c>
      <c r="D90" s="9">
        <v>3.1</v>
      </c>
      <c r="E90" s="11">
        <v>1.5</v>
      </c>
      <c r="F90" s="11">
        <v>3</v>
      </c>
      <c r="G90" s="11">
        <v>4.5</v>
      </c>
    </row>
    <row r="91" spans="1:7" x14ac:dyDescent="0.3">
      <c r="A91" s="1">
        <v>45988.666671643521</v>
      </c>
      <c r="B91" s="5">
        <v>2.4700000000000002</v>
      </c>
      <c r="C91" s="7">
        <f t="shared" si="1"/>
        <v>70.680342180827509</v>
      </c>
      <c r="D91" s="9">
        <v>30.2</v>
      </c>
      <c r="E91" s="11">
        <v>1.5</v>
      </c>
      <c r="F91" s="11">
        <v>3</v>
      </c>
      <c r="G91" s="11">
        <v>4.5</v>
      </c>
    </row>
    <row r="92" spans="1:7" x14ac:dyDescent="0.3">
      <c r="A92" s="1">
        <v>45988.708338368058</v>
      </c>
      <c r="B92" s="5">
        <v>2.68</v>
      </c>
      <c r="C92" s="7">
        <f t="shared" si="1"/>
        <v>132.30391400000002</v>
      </c>
      <c r="D92" s="9">
        <v>11</v>
      </c>
      <c r="E92" s="11">
        <v>1.5</v>
      </c>
      <c r="F92" s="11">
        <v>3</v>
      </c>
      <c r="G92" s="11">
        <v>4.5</v>
      </c>
    </row>
    <row r="93" spans="1:7" x14ac:dyDescent="0.3">
      <c r="A93" s="1">
        <v>45988.750005092596</v>
      </c>
      <c r="B93" s="5">
        <v>2.87</v>
      </c>
      <c r="C93" s="7">
        <f t="shared" si="1"/>
        <v>150.51679150000004</v>
      </c>
      <c r="D93" s="9">
        <v>8.9</v>
      </c>
      <c r="E93" s="11">
        <v>1.5</v>
      </c>
      <c r="F93" s="11">
        <v>3</v>
      </c>
      <c r="G93" s="11">
        <v>4.5</v>
      </c>
    </row>
    <row r="94" spans="1:7" x14ac:dyDescent="0.3">
      <c r="A94" s="1">
        <v>45988.791671817133</v>
      </c>
      <c r="B94" s="5">
        <v>3.02</v>
      </c>
      <c r="C94" s="7">
        <f t="shared" si="1"/>
        <v>165.871264</v>
      </c>
      <c r="D94" s="9">
        <v>6.7</v>
      </c>
      <c r="E94" s="11">
        <v>1.5</v>
      </c>
      <c r="F94" s="11">
        <v>3</v>
      </c>
      <c r="G94" s="11">
        <v>4.5</v>
      </c>
    </row>
    <row r="95" spans="1:7" x14ac:dyDescent="0.3">
      <c r="A95" s="1">
        <v>45988.83333854167</v>
      </c>
      <c r="B95" s="5">
        <v>3.18</v>
      </c>
      <c r="C95" s="7">
        <f t="shared" si="1"/>
        <v>183.19846400000003</v>
      </c>
      <c r="D95" s="9">
        <v>5.8</v>
      </c>
      <c r="E95" s="11">
        <v>1.5</v>
      </c>
      <c r="F95" s="11">
        <v>3</v>
      </c>
      <c r="G95" s="11">
        <v>4.5</v>
      </c>
    </row>
    <row r="96" spans="1:7" x14ac:dyDescent="0.3">
      <c r="A96" s="1">
        <v>45988.875005266207</v>
      </c>
      <c r="B96" s="5">
        <v>3.4</v>
      </c>
      <c r="C96" s="7">
        <f t="shared" si="1"/>
        <v>208.62305000000001</v>
      </c>
      <c r="D96" s="9">
        <v>14.5</v>
      </c>
      <c r="E96" s="11">
        <v>1.5</v>
      </c>
      <c r="F96" s="11">
        <v>3</v>
      </c>
      <c r="G96" s="11">
        <v>4.5</v>
      </c>
    </row>
    <row r="97" spans="1:7" x14ac:dyDescent="0.3">
      <c r="A97" s="1">
        <v>45988.916671990744</v>
      </c>
      <c r="B97" s="5">
        <v>3.6</v>
      </c>
      <c r="C97" s="7">
        <f t="shared" si="1"/>
        <v>233.34365000000003</v>
      </c>
      <c r="D97" s="9">
        <v>8.5</v>
      </c>
      <c r="E97" s="11">
        <v>1.5</v>
      </c>
      <c r="F97" s="11">
        <v>3</v>
      </c>
      <c r="G97" s="11">
        <v>4.5</v>
      </c>
    </row>
    <row r="98" spans="1:7" x14ac:dyDescent="0.3">
      <c r="A98" s="1">
        <v>45988.958338715274</v>
      </c>
      <c r="B98" s="5">
        <v>3.72</v>
      </c>
      <c r="C98" s="7">
        <f t="shared" si="1"/>
        <v>248.91079400000015</v>
      </c>
      <c r="D98" s="9">
        <v>2.6</v>
      </c>
      <c r="E98" s="11">
        <v>1.5</v>
      </c>
      <c r="F98" s="11">
        <v>3</v>
      </c>
      <c r="G98" s="11">
        <v>4.5</v>
      </c>
    </row>
    <row r="99" spans="1:7" x14ac:dyDescent="0.3">
      <c r="A99" s="1">
        <v>45989.000005439812</v>
      </c>
      <c r="B99" s="5">
        <v>3.8</v>
      </c>
      <c r="C99" s="7">
        <f t="shared" si="1"/>
        <v>259.59505000000001</v>
      </c>
      <c r="D99" s="9">
        <v>21.2</v>
      </c>
      <c r="E99" s="11">
        <v>1.5</v>
      </c>
      <c r="F99" s="11">
        <v>3</v>
      </c>
      <c r="G99" s="11">
        <v>4.5</v>
      </c>
    </row>
    <row r="100" spans="1:7" x14ac:dyDescent="0.3">
      <c r="A100" s="1">
        <v>45989.041672164349</v>
      </c>
      <c r="B100" s="5">
        <v>3.83</v>
      </c>
      <c r="C100" s="7">
        <f t="shared" si="1"/>
        <v>263.66479149999998</v>
      </c>
      <c r="D100" s="9">
        <v>4.5</v>
      </c>
      <c r="E100" s="11">
        <v>1.5</v>
      </c>
      <c r="F100" s="11">
        <v>3</v>
      </c>
      <c r="G100" s="11">
        <v>4.5</v>
      </c>
    </row>
    <row r="101" spans="1:7" x14ac:dyDescent="0.3">
      <c r="A101" s="1">
        <v>45989.083338888886</v>
      </c>
      <c r="B101" s="5">
        <v>3.75</v>
      </c>
      <c r="C101" s="7">
        <f t="shared" si="1"/>
        <v>252.88868750000003</v>
      </c>
      <c r="D101" s="9">
        <v>2.1</v>
      </c>
      <c r="E101" s="11">
        <v>1.5</v>
      </c>
      <c r="F101" s="11">
        <v>3</v>
      </c>
      <c r="G101" s="11">
        <v>4.5</v>
      </c>
    </row>
    <row r="102" spans="1:7" x14ac:dyDescent="0.3">
      <c r="A102" s="1">
        <v>45989.125005613423</v>
      </c>
      <c r="B102" s="5">
        <v>3.6</v>
      </c>
      <c r="C102" s="7">
        <f t="shared" si="1"/>
        <v>233.34365000000003</v>
      </c>
      <c r="D102" s="9">
        <v>2</v>
      </c>
      <c r="E102" s="11">
        <v>1.5</v>
      </c>
      <c r="F102" s="11">
        <v>3</v>
      </c>
      <c r="G102" s="11">
        <v>4.5</v>
      </c>
    </row>
    <row r="103" spans="1:7" x14ac:dyDescent="0.3">
      <c r="A103" s="1">
        <v>45989.16667233796</v>
      </c>
      <c r="B103" s="5">
        <v>3.53</v>
      </c>
      <c r="C103" s="7">
        <f t="shared" si="1"/>
        <v>224.51731149999998</v>
      </c>
      <c r="D103" s="9">
        <v>3.2</v>
      </c>
      <c r="E103" s="11">
        <v>1.5</v>
      </c>
      <c r="F103" s="11">
        <v>3</v>
      </c>
      <c r="G103" s="11">
        <v>4.5</v>
      </c>
    </row>
    <row r="104" spans="1:7" x14ac:dyDescent="0.3">
      <c r="A104" s="1">
        <v>45989.208339062498</v>
      </c>
      <c r="B104" s="5">
        <v>3.15</v>
      </c>
      <c r="C104" s="7">
        <f t="shared" si="1"/>
        <v>179.8749875</v>
      </c>
      <c r="D104" s="9">
        <v>17.399999999999999</v>
      </c>
      <c r="E104" s="11">
        <v>1.5</v>
      </c>
      <c r="F104" s="11">
        <v>3</v>
      </c>
      <c r="G104" s="11">
        <v>4.5</v>
      </c>
    </row>
    <row r="105" spans="1:7" x14ac:dyDescent="0.3">
      <c r="A105" s="1">
        <v>45989.250005787035</v>
      </c>
      <c r="B105" s="5">
        <v>2.88</v>
      </c>
      <c r="C105" s="7">
        <f t="shared" si="1"/>
        <v>151.51363399999997</v>
      </c>
      <c r="D105" s="9">
        <v>4.5</v>
      </c>
      <c r="E105" s="11">
        <v>1.5</v>
      </c>
      <c r="F105" s="11">
        <v>3</v>
      </c>
      <c r="G105" s="11">
        <v>4.5</v>
      </c>
    </row>
    <row r="106" spans="1:7" x14ac:dyDescent="0.3">
      <c r="A106" s="1">
        <v>45989.291672511572</v>
      </c>
      <c r="B106" s="5">
        <v>2.75</v>
      </c>
      <c r="C106" s="7">
        <f t="shared" si="1"/>
        <v>138.85318749999999</v>
      </c>
      <c r="D106" s="9">
        <v>4.2</v>
      </c>
      <c r="E106" s="11">
        <v>1.5</v>
      </c>
      <c r="F106" s="11">
        <v>3</v>
      </c>
      <c r="G106" s="11">
        <v>4.5</v>
      </c>
    </row>
    <row r="107" spans="1:7" x14ac:dyDescent="0.3">
      <c r="A107" s="1">
        <v>45989.333339236109</v>
      </c>
      <c r="B107" s="5">
        <v>2.64</v>
      </c>
      <c r="C107" s="7">
        <f t="shared" si="1"/>
        <v>128.64566600000001</v>
      </c>
      <c r="D107" s="9">
        <v>2.6</v>
      </c>
      <c r="E107" s="11">
        <v>1.5</v>
      </c>
      <c r="F107" s="11">
        <v>3</v>
      </c>
      <c r="G107" s="11">
        <v>4.5</v>
      </c>
    </row>
    <row r="108" spans="1:7" x14ac:dyDescent="0.3">
      <c r="A108" s="1">
        <v>45989.375005960646</v>
      </c>
      <c r="B108" s="5">
        <v>2.54</v>
      </c>
      <c r="C108" s="7">
        <f t="shared" si="1"/>
        <v>119.76793600000002</v>
      </c>
      <c r="D108" s="9">
        <v>1</v>
      </c>
      <c r="E108" s="11">
        <v>1.5</v>
      </c>
      <c r="F108" s="11">
        <v>3</v>
      </c>
      <c r="G108" s="11">
        <v>4.5</v>
      </c>
    </row>
    <row r="109" spans="1:7" x14ac:dyDescent="0.3">
      <c r="A109" s="1">
        <v>45989.416672685184</v>
      </c>
      <c r="B109" s="5">
        <v>2.56</v>
      </c>
      <c r="C109" s="7">
        <f t="shared" si="1"/>
        <v>121.51286600000003</v>
      </c>
      <c r="D109" s="9">
        <v>4.8</v>
      </c>
      <c r="E109" s="11">
        <v>1.5</v>
      </c>
      <c r="F109" s="11">
        <v>3</v>
      </c>
      <c r="G109" s="11">
        <v>4.5</v>
      </c>
    </row>
    <row r="110" spans="1:7" x14ac:dyDescent="0.3">
      <c r="A110" s="1">
        <v>45989.458339409721</v>
      </c>
      <c r="B110" s="5">
        <v>2.75</v>
      </c>
      <c r="C110" s="7">
        <f t="shared" si="1"/>
        <v>138.85318749999999</v>
      </c>
      <c r="D110" s="9">
        <v>23.2</v>
      </c>
      <c r="E110" s="11">
        <v>1.5</v>
      </c>
      <c r="F110" s="11">
        <v>3</v>
      </c>
      <c r="G110" s="11">
        <v>4.5</v>
      </c>
    </row>
    <row r="111" spans="1:7" x14ac:dyDescent="0.3">
      <c r="A111" s="1">
        <v>45989.500006134258</v>
      </c>
      <c r="B111" s="5">
        <v>2.89</v>
      </c>
      <c r="C111" s="7">
        <f t="shared" si="1"/>
        <v>152.51430350000001</v>
      </c>
      <c r="D111" s="9">
        <v>15.8</v>
      </c>
      <c r="E111" s="11">
        <v>1.5</v>
      </c>
      <c r="F111" s="11">
        <v>3</v>
      </c>
      <c r="G111" s="11">
        <v>4.5</v>
      </c>
    </row>
    <row r="112" spans="1:7" x14ac:dyDescent="0.3">
      <c r="A112" s="1">
        <v>45989.541672858795</v>
      </c>
      <c r="B112" s="5">
        <v>2.85</v>
      </c>
      <c r="C112" s="7">
        <f t="shared" si="1"/>
        <v>148.53458750000001</v>
      </c>
      <c r="D112" s="9">
        <v>3.1</v>
      </c>
      <c r="E112" s="11">
        <v>1.5</v>
      </c>
      <c r="F112" s="11">
        <v>3</v>
      </c>
      <c r="G112" s="11">
        <v>4.5</v>
      </c>
    </row>
    <row r="113" spans="1:7" x14ac:dyDescent="0.3">
      <c r="A113" s="1">
        <v>45989.583339583332</v>
      </c>
      <c r="B113" s="5">
        <v>2.74</v>
      </c>
      <c r="C113" s="7">
        <f t="shared" si="1"/>
        <v>137.90609600000005</v>
      </c>
      <c r="D113" s="9">
        <v>0</v>
      </c>
      <c r="E113" s="11">
        <v>1.5</v>
      </c>
      <c r="F113" s="11">
        <v>3</v>
      </c>
      <c r="G113" s="11">
        <v>4.5</v>
      </c>
    </row>
    <row r="114" spans="1:7" x14ac:dyDescent="0.3">
      <c r="A114" s="1">
        <v>45989.62500630787</v>
      </c>
      <c r="B114" s="5">
        <v>2.63</v>
      </c>
      <c r="C114" s="7">
        <f t="shared" si="1"/>
        <v>127.74067150000002</v>
      </c>
      <c r="D114" s="9">
        <v>0</v>
      </c>
      <c r="E114" s="11">
        <v>1.5</v>
      </c>
      <c r="F114" s="11">
        <v>3</v>
      </c>
      <c r="G114" s="11">
        <v>4.5</v>
      </c>
    </row>
    <row r="115" spans="1:7" x14ac:dyDescent="0.3">
      <c r="A115" s="1">
        <v>45989.666673032407</v>
      </c>
      <c r="B115" s="5">
        <v>2.52</v>
      </c>
      <c r="C115" s="7">
        <f t="shared" si="1"/>
        <v>118.03831400000001</v>
      </c>
      <c r="D115" s="9">
        <v>1.6</v>
      </c>
      <c r="E115" s="11">
        <v>1.5</v>
      </c>
      <c r="F115" s="11">
        <v>3</v>
      </c>
      <c r="G115" s="11">
        <v>4.5</v>
      </c>
    </row>
    <row r="116" spans="1:7" x14ac:dyDescent="0.3">
      <c r="A116" s="1">
        <v>45989.708339756944</v>
      </c>
      <c r="B116" s="5">
        <v>2.41</v>
      </c>
      <c r="C116" s="7">
        <f t="shared" si="1"/>
        <v>66.635460238942798</v>
      </c>
      <c r="D116" s="9">
        <v>3.2</v>
      </c>
      <c r="E116" s="11">
        <v>1.5</v>
      </c>
      <c r="F116" s="11">
        <v>3</v>
      </c>
      <c r="G116" s="11">
        <v>4.5</v>
      </c>
    </row>
    <row r="117" spans="1:7" x14ac:dyDescent="0.3">
      <c r="A117" s="1">
        <v>45989.750006481481</v>
      </c>
      <c r="B117" s="5">
        <v>2.31</v>
      </c>
      <c r="C117" s="7">
        <f t="shared" si="1"/>
        <v>60.235690712526917</v>
      </c>
      <c r="D117" s="9">
        <v>0.8</v>
      </c>
      <c r="E117" s="11">
        <v>1.5</v>
      </c>
      <c r="F117" s="11">
        <v>3</v>
      </c>
      <c r="G117" s="11">
        <v>4.5</v>
      </c>
    </row>
    <row r="118" spans="1:7" x14ac:dyDescent="0.3">
      <c r="A118" s="1">
        <v>45989.791673206018</v>
      </c>
      <c r="B118" s="5">
        <v>2.23</v>
      </c>
      <c r="C118" s="7">
        <f t="shared" si="1"/>
        <v>55.415855131201333</v>
      </c>
      <c r="D118" s="9">
        <v>1</v>
      </c>
      <c r="E118" s="11">
        <v>1.5</v>
      </c>
      <c r="F118" s="11">
        <v>3</v>
      </c>
      <c r="G118" s="11">
        <v>4.5</v>
      </c>
    </row>
    <row r="119" spans="1:7" x14ac:dyDescent="0.3">
      <c r="A119" s="1">
        <v>45989.833339930556</v>
      </c>
      <c r="B119" s="5">
        <v>2.1800000000000002</v>
      </c>
      <c r="C119" s="7">
        <f t="shared" si="1"/>
        <v>52.535589971332023</v>
      </c>
      <c r="D119" s="9">
        <v>0</v>
      </c>
      <c r="E119" s="11">
        <v>1.5</v>
      </c>
      <c r="F119" s="11">
        <v>3</v>
      </c>
      <c r="G119" s="11">
        <v>4.5</v>
      </c>
    </row>
    <row r="120" spans="1:7" x14ac:dyDescent="0.3">
      <c r="A120" s="1">
        <v>45989.875006655093</v>
      </c>
      <c r="B120" s="5">
        <v>2.12</v>
      </c>
      <c r="C120" s="7">
        <f t="shared" si="1"/>
        <v>49.210680955336834</v>
      </c>
      <c r="D120" s="9">
        <v>0</v>
      </c>
      <c r="E120" s="11">
        <v>1.5</v>
      </c>
      <c r="F120" s="11">
        <v>3</v>
      </c>
      <c r="G120" s="11">
        <v>4.5</v>
      </c>
    </row>
    <row r="121" spans="1:7" x14ac:dyDescent="0.3">
      <c r="A121" s="1">
        <v>45989.91667337963</v>
      </c>
      <c r="B121" s="5">
        <v>2.1</v>
      </c>
      <c r="C121" s="7">
        <f t="shared" si="1"/>
        <v>48.133776628057461</v>
      </c>
      <c r="D121" s="9">
        <v>0</v>
      </c>
      <c r="E121" s="11">
        <v>1.5</v>
      </c>
      <c r="F121" s="11">
        <v>3</v>
      </c>
      <c r="G121" s="11">
        <v>4.5</v>
      </c>
    </row>
    <row r="122" spans="1:7" x14ac:dyDescent="0.3">
      <c r="A122" s="1">
        <v>45989.958340104167</v>
      </c>
      <c r="B122" s="5">
        <v>2.0299999999999998</v>
      </c>
      <c r="C122" s="7">
        <f t="shared" si="1"/>
        <v>44.486158089477634</v>
      </c>
      <c r="D122" s="9">
        <v>0</v>
      </c>
      <c r="E122" s="11">
        <v>1.5</v>
      </c>
      <c r="F122" s="11">
        <v>3</v>
      </c>
      <c r="G122" s="11">
        <v>4.5</v>
      </c>
    </row>
    <row r="123" spans="1:7" x14ac:dyDescent="0.3">
      <c r="A123" s="1">
        <v>45990.000006828704</v>
      </c>
      <c r="B123" s="5">
        <v>1.97</v>
      </c>
      <c r="C123" s="7">
        <f t="shared" si="1"/>
        <v>41.507525989038321</v>
      </c>
      <c r="D123" s="9">
        <v>0</v>
      </c>
      <c r="E123" s="11">
        <v>1.5</v>
      </c>
      <c r="F123" s="11">
        <v>3</v>
      </c>
      <c r="G123" s="11">
        <v>4.5</v>
      </c>
    </row>
    <row r="124" spans="1:7" x14ac:dyDescent="0.3">
      <c r="A124" s="1">
        <v>45990.041673553242</v>
      </c>
      <c r="B124" s="5">
        <v>1.95</v>
      </c>
      <c r="C124" s="7">
        <f t="shared" si="1"/>
        <v>40.544454773417584</v>
      </c>
      <c r="D124" s="9">
        <v>0</v>
      </c>
      <c r="E124" s="11">
        <v>1.5</v>
      </c>
      <c r="F124" s="11">
        <v>3</v>
      </c>
      <c r="G124" s="11">
        <v>4.5</v>
      </c>
    </row>
    <row r="125" spans="1:7" x14ac:dyDescent="0.3">
      <c r="A125" s="1">
        <v>45990.083340277779</v>
      </c>
      <c r="B125" s="5">
        <v>1.91</v>
      </c>
      <c r="C125" s="7">
        <f t="shared" si="1"/>
        <v>38.662381900089237</v>
      </c>
      <c r="D125" s="9">
        <v>0</v>
      </c>
      <c r="E125" s="11">
        <v>1.5</v>
      </c>
      <c r="F125" s="11">
        <v>3</v>
      </c>
      <c r="G125" s="11">
        <v>4.5</v>
      </c>
    </row>
    <row r="126" spans="1:7" x14ac:dyDescent="0.3">
      <c r="A126" s="1">
        <v>45990.125007002316</v>
      </c>
      <c r="B126" s="5">
        <v>1.97</v>
      </c>
      <c r="C126" s="7">
        <f t="shared" si="1"/>
        <v>41.507525989038321</v>
      </c>
      <c r="D126" s="9">
        <v>0</v>
      </c>
      <c r="E126" s="11">
        <v>1.5</v>
      </c>
      <c r="F126" s="11">
        <v>3</v>
      </c>
      <c r="G126" s="11">
        <v>4.5</v>
      </c>
    </row>
    <row r="127" spans="1:7" x14ac:dyDescent="0.3">
      <c r="A127" s="1">
        <v>45990.166673726853</v>
      </c>
      <c r="B127" s="5">
        <v>1.88</v>
      </c>
      <c r="C127" s="7">
        <f t="shared" si="1"/>
        <v>37.288967601513541</v>
      </c>
      <c r="D127" s="9">
        <v>0</v>
      </c>
      <c r="E127" s="11">
        <v>1.5</v>
      </c>
      <c r="F127" s="11">
        <v>3</v>
      </c>
      <c r="G127" s="11">
        <v>4.5</v>
      </c>
    </row>
    <row r="128" spans="1:7" x14ac:dyDescent="0.3">
      <c r="A128" s="1">
        <v>45990.208340451391</v>
      </c>
      <c r="B128" s="5">
        <v>1.9</v>
      </c>
      <c r="C128" s="7">
        <f t="shared" si="1"/>
        <v>38.20096698612533</v>
      </c>
      <c r="D128" s="9">
        <v>0</v>
      </c>
      <c r="E128" s="11">
        <v>1.5</v>
      </c>
      <c r="F128" s="11">
        <v>3</v>
      </c>
      <c r="G128" s="11">
        <v>4.5</v>
      </c>
    </row>
    <row r="129" spans="1:7" x14ac:dyDescent="0.3">
      <c r="A129" s="1">
        <v>45990.250007175928</v>
      </c>
      <c r="B129" s="5">
        <v>1.91</v>
      </c>
      <c r="C129" s="7">
        <f t="shared" si="1"/>
        <v>38.662381900089237</v>
      </c>
      <c r="D129" s="9">
        <v>0</v>
      </c>
      <c r="E129" s="11">
        <v>1.5</v>
      </c>
      <c r="F129" s="11">
        <v>3</v>
      </c>
      <c r="G129" s="11">
        <v>4.5</v>
      </c>
    </row>
    <row r="130" spans="1:7" x14ac:dyDescent="0.3">
      <c r="A130" s="1">
        <v>45990.291673900465</v>
      </c>
      <c r="B130" s="5">
        <v>1.91</v>
      </c>
      <c r="C130" s="7">
        <f t="shared" si="1"/>
        <v>38.662381900089237</v>
      </c>
      <c r="D130" s="9">
        <v>0</v>
      </c>
      <c r="E130" s="11">
        <v>1.5</v>
      </c>
      <c r="F130" s="11">
        <v>3</v>
      </c>
      <c r="G130" s="11">
        <v>4.5</v>
      </c>
    </row>
    <row r="131" spans="1:7" x14ac:dyDescent="0.3">
      <c r="A131" s="1">
        <v>45990.333340625002</v>
      </c>
      <c r="B131" s="5">
        <v>1.88</v>
      </c>
      <c r="C131" s="7">
        <f t="shared" si="1"/>
        <v>37.288967601513541</v>
      </c>
      <c r="D131" s="9">
        <v>0</v>
      </c>
      <c r="E131" s="11">
        <v>1.5</v>
      </c>
      <c r="F131" s="11">
        <v>3</v>
      </c>
      <c r="G131" s="11">
        <v>4.5</v>
      </c>
    </row>
    <row r="132" spans="1:7" x14ac:dyDescent="0.3">
      <c r="A132" s="1">
        <v>45990.375007349539</v>
      </c>
      <c r="B132" s="5">
        <v>1.85</v>
      </c>
      <c r="C132" s="7">
        <f t="shared" si="1"/>
        <v>35.947843993574345</v>
      </c>
      <c r="D132" s="9">
        <v>0.6</v>
      </c>
      <c r="E132" s="11">
        <v>1.5</v>
      </c>
      <c r="F132" s="11">
        <v>3</v>
      </c>
      <c r="G132" s="11">
        <v>4.5</v>
      </c>
    </row>
    <row r="133" spans="1:7" x14ac:dyDescent="0.3">
      <c r="A133" s="1">
        <v>45990.416674074077</v>
      </c>
      <c r="B133" s="5">
        <v>1.82</v>
      </c>
      <c r="C133" s="7">
        <f t="shared" ref="C133:C196" si="2">IF(B133="","",IF(B133&gt;2.5,19.135*(B133+0.5)^2-29.477*(B133+0.5)+32.54,3.0494*((B133+0.5)^2.8875)))</f>
        <v>34.638649582711842</v>
      </c>
      <c r="D133" s="9">
        <v>0</v>
      </c>
      <c r="E133" s="11">
        <v>1.5</v>
      </c>
      <c r="F133" s="11">
        <v>3</v>
      </c>
      <c r="G133" s="11">
        <v>4.5</v>
      </c>
    </row>
    <row r="134" spans="1:7" x14ac:dyDescent="0.3">
      <c r="A134" s="1">
        <v>45990.458340798614</v>
      </c>
      <c r="B134" s="5">
        <v>1.8</v>
      </c>
      <c r="C134" s="7">
        <f t="shared" si="2"/>
        <v>33.783413001313761</v>
      </c>
      <c r="D134" s="9">
        <v>0.5</v>
      </c>
      <c r="E134" s="11">
        <v>1.5</v>
      </c>
      <c r="F134" s="11">
        <v>3</v>
      </c>
      <c r="G134" s="11">
        <v>4.5</v>
      </c>
    </row>
    <row r="135" spans="1:7" x14ac:dyDescent="0.3">
      <c r="A135" s="1">
        <v>45990.500007523151</v>
      </c>
      <c r="B135" s="5">
        <v>1.75</v>
      </c>
      <c r="C135" s="7">
        <f t="shared" si="2"/>
        <v>31.705997205410554</v>
      </c>
      <c r="D135" s="9">
        <v>0</v>
      </c>
      <c r="E135" s="11">
        <v>1.5</v>
      </c>
      <c r="F135" s="11">
        <v>3</v>
      </c>
      <c r="G135" s="11">
        <v>4.5</v>
      </c>
    </row>
    <row r="136" spans="1:7" x14ac:dyDescent="0.3">
      <c r="A136" s="1">
        <v>45990.541674247688</v>
      </c>
      <c r="B136" s="5">
        <v>1.74</v>
      </c>
      <c r="C136" s="7">
        <f t="shared" si="2"/>
        <v>31.30080802307133</v>
      </c>
      <c r="D136" s="9">
        <v>0</v>
      </c>
      <c r="E136" s="11">
        <v>1.5</v>
      </c>
      <c r="F136" s="11">
        <v>3</v>
      </c>
      <c r="G136" s="11">
        <v>4.5</v>
      </c>
    </row>
    <row r="137" spans="1:7" x14ac:dyDescent="0.3">
      <c r="A137" s="1">
        <v>45990.583340972225</v>
      </c>
      <c r="B137" s="5">
        <v>1.72</v>
      </c>
      <c r="C137" s="7">
        <f t="shared" si="2"/>
        <v>30.500615937185078</v>
      </c>
      <c r="D137" s="9">
        <v>0</v>
      </c>
      <c r="E137" s="11">
        <v>1.5</v>
      </c>
      <c r="F137" s="11">
        <v>3</v>
      </c>
      <c r="G137" s="11">
        <v>4.5</v>
      </c>
    </row>
    <row r="138" spans="1:7" x14ac:dyDescent="0.3">
      <c r="A138" s="1">
        <v>45990.625007696763</v>
      </c>
      <c r="B138" s="5">
        <v>1.7</v>
      </c>
      <c r="C138" s="7">
        <f t="shared" si="2"/>
        <v>29.713915695331163</v>
      </c>
      <c r="D138" s="9">
        <v>0</v>
      </c>
      <c r="E138" s="11">
        <v>1.5</v>
      </c>
      <c r="F138" s="11">
        <v>3</v>
      </c>
      <c r="G138" s="11">
        <v>4.5</v>
      </c>
    </row>
    <row r="139" spans="1:7" x14ac:dyDescent="0.3">
      <c r="A139" s="1">
        <v>45990.6666744213</v>
      </c>
      <c r="B139" s="5">
        <v>1.68</v>
      </c>
      <c r="C139" s="7">
        <f t="shared" si="2"/>
        <v>28.940599368516832</v>
      </c>
      <c r="D139" s="9">
        <v>0</v>
      </c>
      <c r="E139" s="11">
        <v>1.5</v>
      </c>
      <c r="F139" s="11">
        <v>3</v>
      </c>
      <c r="G139" s="11">
        <v>4.5</v>
      </c>
    </row>
    <row r="140" spans="1:7" x14ac:dyDescent="0.3">
      <c r="A140" s="1">
        <v>45990.70834114583</v>
      </c>
      <c r="B140" s="5">
        <v>1.67</v>
      </c>
      <c r="C140" s="7">
        <f t="shared" si="2"/>
        <v>28.558926415271152</v>
      </c>
      <c r="D140" s="9">
        <v>0</v>
      </c>
      <c r="E140" s="11">
        <v>1.5</v>
      </c>
      <c r="F140" s="11">
        <v>3</v>
      </c>
      <c r="G140" s="11">
        <v>4.5</v>
      </c>
    </row>
    <row r="141" spans="1:7" x14ac:dyDescent="0.3">
      <c r="A141" s="1">
        <v>45990.750007870367</v>
      </c>
      <c r="B141" s="5">
        <v>1.65</v>
      </c>
      <c r="C141" s="7">
        <f t="shared" si="2"/>
        <v>27.805483352256143</v>
      </c>
      <c r="D141" s="9">
        <v>0</v>
      </c>
      <c r="E141" s="11">
        <v>1.5</v>
      </c>
      <c r="F141" s="11">
        <v>3</v>
      </c>
      <c r="G141" s="11">
        <v>4.5</v>
      </c>
    </row>
    <row r="142" spans="1:7" x14ac:dyDescent="0.3">
      <c r="A142" s="1">
        <v>45990.791674594904</v>
      </c>
      <c r="B142" s="5">
        <v>1.63</v>
      </c>
      <c r="C142" s="7">
        <f t="shared" si="2"/>
        <v>27.065153896143574</v>
      </c>
      <c r="D142" s="9">
        <v>1.2</v>
      </c>
      <c r="E142" s="11">
        <v>1.5</v>
      </c>
      <c r="F142" s="11">
        <v>3</v>
      </c>
      <c r="G142" s="11">
        <v>4.5</v>
      </c>
    </row>
    <row r="143" spans="1:7" x14ac:dyDescent="0.3">
      <c r="A143" s="1">
        <v>45990.833341319441</v>
      </c>
      <c r="B143" s="5">
        <v>1.63</v>
      </c>
      <c r="C143" s="7">
        <f t="shared" si="2"/>
        <v>27.065153896143574</v>
      </c>
      <c r="D143" s="9">
        <v>0</v>
      </c>
      <c r="E143" s="11">
        <v>1.5</v>
      </c>
      <c r="F143" s="11">
        <v>3</v>
      </c>
      <c r="G143" s="11">
        <v>4.5</v>
      </c>
    </row>
    <row r="144" spans="1:7" x14ac:dyDescent="0.3">
      <c r="A144" s="1">
        <v>45990.875008043979</v>
      </c>
      <c r="B144" s="5">
        <v>1.62</v>
      </c>
      <c r="C144" s="7">
        <f t="shared" si="2"/>
        <v>26.699872924970897</v>
      </c>
      <c r="D144" s="9">
        <v>0</v>
      </c>
      <c r="E144" s="11">
        <v>1.5</v>
      </c>
      <c r="F144" s="11">
        <v>3</v>
      </c>
      <c r="G144" s="11">
        <v>4.5</v>
      </c>
    </row>
    <row r="145" spans="1:7" x14ac:dyDescent="0.3">
      <c r="A145" s="1">
        <v>45990.916674768516</v>
      </c>
      <c r="B145" s="5">
        <v>1.62</v>
      </c>
      <c r="C145" s="7">
        <f t="shared" si="2"/>
        <v>26.699872924970897</v>
      </c>
      <c r="D145" s="9">
        <v>0</v>
      </c>
      <c r="E145" s="11">
        <v>1.5</v>
      </c>
      <c r="F145" s="11">
        <v>3</v>
      </c>
      <c r="G145" s="11">
        <v>4.5</v>
      </c>
    </row>
    <row r="146" spans="1:7" x14ac:dyDescent="0.3">
      <c r="A146" s="1">
        <v>45990.958341493053</v>
      </c>
      <c r="B146" s="5">
        <v>1.6</v>
      </c>
      <c r="C146" s="7">
        <f t="shared" si="2"/>
        <v>25.979010742504016</v>
      </c>
      <c r="D146" s="9">
        <v>0</v>
      </c>
      <c r="E146" s="11">
        <v>1.5</v>
      </c>
      <c r="F146" s="11">
        <v>3</v>
      </c>
      <c r="G146" s="11">
        <v>4.5</v>
      </c>
    </row>
    <row r="147" spans="1:7" x14ac:dyDescent="0.3">
      <c r="A147" s="1">
        <v>45991.00000821759</v>
      </c>
      <c r="B147" s="5">
        <v>1.58</v>
      </c>
      <c r="C147" s="7">
        <f t="shared" si="2"/>
        <v>25.270991150596057</v>
      </c>
      <c r="D147" s="9">
        <v>0</v>
      </c>
      <c r="E147" s="11">
        <v>1.5</v>
      </c>
      <c r="F147" s="11">
        <v>3</v>
      </c>
      <c r="G147" s="11">
        <v>4.5</v>
      </c>
    </row>
    <row r="148" spans="1:7" x14ac:dyDescent="0.3">
      <c r="A148" s="1">
        <v>45991.041674942127</v>
      </c>
      <c r="B148" s="5">
        <v>1.57</v>
      </c>
      <c r="C148" s="7">
        <f t="shared" si="2"/>
        <v>24.921763390362578</v>
      </c>
      <c r="D148" s="9">
        <v>0</v>
      </c>
      <c r="E148" s="11">
        <v>1.5</v>
      </c>
      <c r="F148" s="11">
        <v>3</v>
      </c>
      <c r="G148" s="11">
        <v>4.5</v>
      </c>
    </row>
    <row r="149" spans="1:7" x14ac:dyDescent="0.3">
      <c r="A149" s="1">
        <v>45991.083341666665</v>
      </c>
      <c r="B149" s="5">
        <v>1.55</v>
      </c>
      <c r="C149" s="7">
        <f t="shared" si="2"/>
        <v>24.23280400570944</v>
      </c>
      <c r="D149" s="9">
        <v>0</v>
      </c>
      <c r="E149" s="11">
        <v>1.5</v>
      </c>
      <c r="F149" s="11">
        <v>3</v>
      </c>
      <c r="G149" s="11">
        <v>4.5</v>
      </c>
    </row>
    <row r="150" spans="1:7" x14ac:dyDescent="0.3">
      <c r="A150" s="1">
        <v>45991.125008391202</v>
      </c>
      <c r="B150" s="5">
        <v>1.55</v>
      </c>
      <c r="C150" s="7">
        <f t="shared" si="2"/>
        <v>24.23280400570944</v>
      </c>
      <c r="D150" s="9">
        <v>0</v>
      </c>
      <c r="E150" s="11">
        <v>1.5</v>
      </c>
      <c r="F150" s="11">
        <v>3</v>
      </c>
      <c r="G150" s="11">
        <v>4.5</v>
      </c>
    </row>
    <row r="151" spans="1:7" x14ac:dyDescent="0.3">
      <c r="A151" s="1">
        <v>45991.166675115739</v>
      </c>
      <c r="B151" s="5">
        <v>1.54</v>
      </c>
      <c r="C151" s="7">
        <f t="shared" si="2"/>
        <v>23.893045184855712</v>
      </c>
      <c r="D151" s="9">
        <v>0</v>
      </c>
      <c r="E151" s="11">
        <v>1.5</v>
      </c>
      <c r="F151" s="11">
        <v>3</v>
      </c>
      <c r="G151" s="11">
        <v>4.5</v>
      </c>
    </row>
    <row r="152" spans="1:7" x14ac:dyDescent="0.3">
      <c r="A152" s="1">
        <v>45991.208341840276</v>
      </c>
      <c r="B152" s="5">
        <v>1.52</v>
      </c>
      <c r="C152" s="7">
        <f t="shared" si="2"/>
        <v>23.222901239069301</v>
      </c>
      <c r="D152" s="9">
        <v>0</v>
      </c>
      <c r="E152" s="11">
        <v>1.5</v>
      </c>
      <c r="F152" s="11">
        <v>3</v>
      </c>
      <c r="G152" s="11">
        <v>4.5</v>
      </c>
    </row>
    <row r="153" spans="1:7" x14ac:dyDescent="0.3">
      <c r="A153" s="1">
        <v>45991.250008564813</v>
      </c>
      <c r="B153" s="5">
        <v>1.51</v>
      </c>
      <c r="C153" s="7">
        <f t="shared" si="2"/>
        <v>22.892488872779989</v>
      </c>
      <c r="D153" s="9">
        <v>0</v>
      </c>
      <c r="E153" s="11">
        <v>1.5</v>
      </c>
      <c r="F153" s="11">
        <v>3</v>
      </c>
      <c r="G153" s="11">
        <v>4.5</v>
      </c>
    </row>
    <row r="154" spans="1:7" x14ac:dyDescent="0.3">
      <c r="A154" s="1">
        <v>45991.291675289351</v>
      </c>
      <c r="B154" s="5">
        <v>1.49</v>
      </c>
      <c r="C154" s="7">
        <f t="shared" si="2"/>
        <v>22.240915193154063</v>
      </c>
      <c r="D154" s="9">
        <v>0</v>
      </c>
      <c r="E154" s="11">
        <v>1.5</v>
      </c>
      <c r="F154" s="11">
        <v>3</v>
      </c>
      <c r="G154" s="11">
        <v>4.5</v>
      </c>
    </row>
    <row r="155" spans="1:7" x14ac:dyDescent="0.3">
      <c r="A155" s="1">
        <v>45991.333342013888</v>
      </c>
      <c r="B155" s="5">
        <v>1.48</v>
      </c>
      <c r="C155" s="7">
        <f t="shared" si="2"/>
        <v>21.919726592793509</v>
      </c>
      <c r="D155" s="9">
        <v>0</v>
      </c>
      <c r="E155" s="11">
        <v>1.5</v>
      </c>
      <c r="F155" s="11">
        <v>3</v>
      </c>
      <c r="G155" s="11">
        <v>4.5</v>
      </c>
    </row>
    <row r="156" spans="1:7" x14ac:dyDescent="0.3">
      <c r="A156" s="1">
        <v>45991.375008738425</v>
      </c>
      <c r="B156" s="5">
        <v>1.48</v>
      </c>
      <c r="C156" s="7">
        <f t="shared" si="2"/>
        <v>21.919726592793509</v>
      </c>
      <c r="D156" s="9">
        <v>0</v>
      </c>
      <c r="E156" s="11">
        <v>1.5</v>
      </c>
      <c r="F156" s="11">
        <v>3</v>
      </c>
      <c r="G156" s="11">
        <v>4.5</v>
      </c>
    </row>
    <row r="157" spans="1:7" x14ac:dyDescent="0.3">
      <c r="A157" s="1">
        <v>45991.416675462962</v>
      </c>
      <c r="B157" s="5">
        <v>1.47</v>
      </c>
      <c r="C157" s="7">
        <f t="shared" si="2"/>
        <v>21.601585281218121</v>
      </c>
      <c r="D157" s="9">
        <v>0</v>
      </c>
      <c r="E157" s="11">
        <v>1.5</v>
      </c>
      <c r="F157" s="11">
        <v>3</v>
      </c>
      <c r="G157" s="11">
        <v>4.5</v>
      </c>
    </row>
    <row r="158" spans="1:7" x14ac:dyDescent="0.3">
      <c r="A158" s="1">
        <v>45991.4583421875</v>
      </c>
      <c r="B158" s="5">
        <v>1.45</v>
      </c>
      <c r="C158" s="7">
        <f t="shared" si="2"/>
        <v>20.974389865308012</v>
      </c>
      <c r="D158" s="9">
        <v>0</v>
      </c>
      <c r="E158" s="11">
        <v>1.5</v>
      </c>
      <c r="F158" s="11">
        <v>3</v>
      </c>
      <c r="G158" s="11">
        <v>4.5</v>
      </c>
    </row>
    <row r="159" spans="1:7" x14ac:dyDescent="0.3">
      <c r="A159" s="1">
        <v>45991.500008912037</v>
      </c>
      <c r="B159" s="5">
        <v>1.44</v>
      </c>
      <c r="C159" s="7">
        <f t="shared" si="2"/>
        <v>20.665308411859872</v>
      </c>
      <c r="D159" s="9">
        <v>0</v>
      </c>
      <c r="E159" s="11">
        <v>1.5</v>
      </c>
      <c r="F159" s="11">
        <v>3</v>
      </c>
      <c r="G159" s="11">
        <v>4.5</v>
      </c>
    </row>
    <row r="160" spans="1:7" x14ac:dyDescent="0.3">
      <c r="A160" s="1">
        <v>45991.541675636574</v>
      </c>
      <c r="B160" s="5">
        <v>1.43</v>
      </c>
      <c r="C160" s="7">
        <f t="shared" si="2"/>
        <v>20.359219548880962</v>
      </c>
      <c r="D160" s="9">
        <v>0</v>
      </c>
      <c r="E160" s="11">
        <v>1.5</v>
      </c>
      <c r="F160" s="11">
        <v>3</v>
      </c>
      <c r="G160" s="11">
        <v>4.5</v>
      </c>
    </row>
    <row r="161" spans="1:7" x14ac:dyDescent="0.3">
      <c r="A161" s="1">
        <v>45991.583342361111</v>
      </c>
      <c r="B161" s="5">
        <v>1.42</v>
      </c>
      <c r="C161" s="7">
        <f t="shared" si="2"/>
        <v>20.056109582057218</v>
      </c>
      <c r="D161" s="9">
        <v>0</v>
      </c>
      <c r="E161" s="11">
        <v>1.5</v>
      </c>
      <c r="F161" s="11">
        <v>3</v>
      </c>
      <c r="G161" s="11">
        <v>4.5</v>
      </c>
    </row>
    <row r="162" spans="1:7" x14ac:dyDescent="0.3">
      <c r="A162" s="1">
        <v>45991.625009085648</v>
      </c>
      <c r="B162" s="5">
        <v>1.42</v>
      </c>
      <c r="C162" s="7">
        <f t="shared" si="2"/>
        <v>20.056109582057218</v>
      </c>
      <c r="D162" s="9">
        <v>0</v>
      </c>
      <c r="E162" s="11">
        <v>1.5</v>
      </c>
      <c r="F162" s="11">
        <v>3</v>
      </c>
      <c r="G162" s="11">
        <v>4.5</v>
      </c>
    </row>
    <row r="163" spans="1:7" x14ac:dyDescent="0.3">
      <c r="A163" s="1">
        <v>45991.666675810186</v>
      </c>
      <c r="B163" s="5">
        <v>1.4</v>
      </c>
      <c r="C163" s="7">
        <f t="shared" si="2"/>
        <v>19.458771519648565</v>
      </c>
      <c r="D163" s="9">
        <v>0</v>
      </c>
      <c r="E163" s="11">
        <v>1.5</v>
      </c>
      <c r="F163" s="11">
        <v>3</v>
      </c>
      <c r="G163" s="11">
        <v>4.5</v>
      </c>
    </row>
    <row r="164" spans="1:7" x14ac:dyDescent="0.3">
      <c r="A164" s="1">
        <v>45991.708342534723</v>
      </c>
      <c r="B164" s="5">
        <v>1.4</v>
      </c>
      <c r="C164" s="7">
        <f t="shared" si="2"/>
        <v>19.458771519648565</v>
      </c>
      <c r="D164" s="9">
        <v>0</v>
      </c>
      <c r="E164" s="11">
        <v>1.5</v>
      </c>
      <c r="F164" s="11">
        <v>3</v>
      </c>
      <c r="G164" s="11">
        <v>4.5</v>
      </c>
    </row>
    <row r="165" spans="1:7" x14ac:dyDescent="0.3">
      <c r="A165" s="1">
        <v>45991.75000925926</v>
      </c>
      <c r="B165" s="5">
        <v>1.38</v>
      </c>
      <c r="C165" s="7">
        <f t="shared" si="2"/>
        <v>18.87318450958804</v>
      </c>
      <c r="D165" s="9">
        <v>0</v>
      </c>
      <c r="E165" s="11">
        <v>1.5</v>
      </c>
      <c r="F165" s="11">
        <v>3</v>
      </c>
      <c r="G165" s="11">
        <v>4.5</v>
      </c>
    </row>
    <row r="166" spans="1:7" x14ac:dyDescent="0.3">
      <c r="A166" s="1">
        <v>45991.791675983797</v>
      </c>
      <c r="B166" s="5">
        <v>1.38</v>
      </c>
      <c r="C166" s="7">
        <f t="shared" si="2"/>
        <v>18.87318450958804</v>
      </c>
      <c r="D166" s="9">
        <v>0</v>
      </c>
      <c r="E166" s="11">
        <v>1.5</v>
      </c>
      <c r="F166" s="11">
        <v>3</v>
      </c>
      <c r="G166" s="11">
        <v>4.5</v>
      </c>
    </row>
    <row r="167" spans="1:7" x14ac:dyDescent="0.3">
      <c r="A167" s="1">
        <v>45991.833342708334</v>
      </c>
      <c r="B167" s="5">
        <v>1.36</v>
      </c>
      <c r="C167" s="7">
        <f t="shared" si="2"/>
        <v>18.299238706821864</v>
      </c>
      <c r="D167" s="9">
        <v>0</v>
      </c>
      <c r="E167" s="11">
        <v>1.5</v>
      </c>
      <c r="F167" s="11">
        <v>3</v>
      </c>
      <c r="G167" s="11">
        <v>4.5</v>
      </c>
    </row>
    <row r="168" spans="1:7" x14ac:dyDescent="0.3">
      <c r="A168" s="1">
        <v>45991.875009432872</v>
      </c>
      <c r="B168" s="5">
        <v>1.36</v>
      </c>
      <c r="C168" s="7">
        <f t="shared" si="2"/>
        <v>18.299238706821864</v>
      </c>
      <c r="D168" s="9">
        <v>0</v>
      </c>
      <c r="E168" s="11">
        <v>1.5</v>
      </c>
      <c r="F168" s="11">
        <v>3</v>
      </c>
      <c r="G168" s="11">
        <v>4.5</v>
      </c>
    </row>
    <row r="169" spans="1:7" x14ac:dyDescent="0.3">
      <c r="A169" s="1">
        <v>45991.916676157409</v>
      </c>
      <c r="B169" s="5">
        <v>1.35</v>
      </c>
      <c r="C169" s="7">
        <f t="shared" si="2"/>
        <v>18.016596895667625</v>
      </c>
      <c r="D169" s="9">
        <v>0</v>
      </c>
      <c r="E169" s="11">
        <v>1.5</v>
      </c>
      <c r="F169" s="11">
        <v>3</v>
      </c>
      <c r="G169" s="11">
        <v>4.5</v>
      </c>
    </row>
    <row r="170" spans="1:7" x14ac:dyDescent="0.3">
      <c r="A170" s="1">
        <v>45991.958342881946</v>
      </c>
      <c r="B170" s="5">
        <v>1.35</v>
      </c>
      <c r="C170" s="7">
        <f t="shared" si="2"/>
        <v>18.016596895667625</v>
      </c>
      <c r="D170" s="9">
        <v>0</v>
      </c>
      <c r="E170" s="11">
        <v>1.5</v>
      </c>
      <c r="F170" s="11">
        <v>3</v>
      </c>
      <c r="G170" s="11">
        <v>4.5</v>
      </c>
    </row>
    <row r="171" spans="1:7" x14ac:dyDescent="0.3">
      <c r="A171" s="1">
        <v>45992.000009606483</v>
      </c>
      <c r="B171" s="5">
        <v>1.35</v>
      </c>
      <c r="C171" s="7">
        <f t="shared" si="2"/>
        <v>18.016596895667625</v>
      </c>
      <c r="D171" s="9">
        <v>0</v>
      </c>
      <c r="E171" s="11">
        <v>1.5</v>
      </c>
      <c r="F171" s="11">
        <v>3</v>
      </c>
      <c r="G171" s="11">
        <v>4.5</v>
      </c>
    </row>
    <row r="172" spans="1:7" x14ac:dyDescent="0.3">
      <c r="A172" s="1">
        <v>45992.04167633102</v>
      </c>
      <c r="B172" s="5">
        <v>1.34</v>
      </c>
      <c r="C172" s="7">
        <f t="shared" si="2"/>
        <v>17.736824134748694</v>
      </c>
      <c r="D172" s="9">
        <v>0</v>
      </c>
      <c r="E172" s="11">
        <v>1.5</v>
      </c>
      <c r="F172" s="11">
        <v>3</v>
      </c>
      <c r="G172" s="11">
        <v>4.5</v>
      </c>
    </row>
    <row r="173" spans="1:7" x14ac:dyDescent="0.3">
      <c r="A173" s="1">
        <v>45992.083343055558</v>
      </c>
      <c r="B173" s="5">
        <v>1.36</v>
      </c>
      <c r="C173" s="7">
        <f t="shared" si="2"/>
        <v>18.299238706821864</v>
      </c>
      <c r="D173" s="9">
        <v>0</v>
      </c>
      <c r="E173" s="11">
        <v>1.5</v>
      </c>
      <c r="F173" s="11">
        <v>3</v>
      </c>
      <c r="G173" s="11">
        <v>4.5</v>
      </c>
    </row>
    <row r="174" spans="1:7" x14ac:dyDescent="0.3">
      <c r="A174" s="1">
        <v>45992.125009780095</v>
      </c>
      <c r="B174" s="5">
        <v>1.33</v>
      </c>
      <c r="C174" s="7">
        <f t="shared" si="2"/>
        <v>17.459906656177232</v>
      </c>
      <c r="D174" s="9">
        <v>0</v>
      </c>
      <c r="E174" s="11">
        <v>1.5</v>
      </c>
      <c r="F174" s="11">
        <v>3</v>
      </c>
      <c r="G174" s="11">
        <v>4.5</v>
      </c>
    </row>
    <row r="175" spans="1:7" x14ac:dyDescent="0.3">
      <c r="A175" s="1">
        <v>45992.166676504632</v>
      </c>
      <c r="B175" s="5">
        <v>1.32</v>
      </c>
      <c r="C175" s="7">
        <f t="shared" si="2"/>
        <v>17.185830683644909</v>
      </c>
      <c r="D175" s="9">
        <v>0</v>
      </c>
      <c r="E175" s="11">
        <v>1.5</v>
      </c>
      <c r="F175" s="11">
        <v>3</v>
      </c>
      <c r="G175" s="11">
        <v>4.5</v>
      </c>
    </row>
    <row r="176" spans="1:7" x14ac:dyDescent="0.3">
      <c r="A176" s="1">
        <v>45992.208343229169</v>
      </c>
      <c r="B176" s="5">
        <v>1.3</v>
      </c>
      <c r="C176" s="7">
        <f t="shared" si="2"/>
        <v>16.64614810905373</v>
      </c>
      <c r="D176" s="9">
        <v>0</v>
      </c>
      <c r="E176" s="11">
        <v>1.5</v>
      </c>
      <c r="F176" s="11">
        <v>3</v>
      </c>
      <c r="G176" s="11">
        <v>4.5</v>
      </c>
    </row>
    <row r="177" spans="1:7" x14ac:dyDescent="0.3">
      <c r="A177" s="1">
        <v>45992.250009953706</v>
      </c>
      <c r="B177" s="5">
        <v>1.29</v>
      </c>
      <c r="C177" s="7">
        <f t="shared" si="2"/>
        <v>16.380513911811676</v>
      </c>
      <c r="D177" s="9">
        <v>0</v>
      </c>
      <c r="E177" s="11">
        <v>1.5</v>
      </c>
      <c r="F177" s="11">
        <v>3</v>
      </c>
      <c r="G177" s="11">
        <v>4.5</v>
      </c>
    </row>
    <row r="178" spans="1:7" x14ac:dyDescent="0.3">
      <c r="A178" s="1">
        <v>45992.291676678244</v>
      </c>
      <c r="B178" s="5">
        <v>1.28</v>
      </c>
      <c r="C178" s="7">
        <f t="shared" si="2"/>
        <v>16.117666030136917</v>
      </c>
      <c r="D178" s="9">
        <v>0</v>
      </c>
      <c r="E178" s="11">
        <v>1.5</v>
      </c>
      <c r="F178" s="11">
        <v>3</v>
      </c>
      <c r="G178" s="11">
        <v>4.5</v>
      </c>
    </row>
    <row r="179" spans="1:7" x14ac:dyDescent="0.3">
      <c r="A179" s="1">
        <v>45992.333343402781</v>
      </c>
      <c r="B179" s="5">
        <v>1.28</v>
      </c>
      <c r="C179" s="7">
        <f t="shared" si="2"/>
        <v>16.117666030136917</v>
      </c>
      <c r="D179" s="9">
        <v>0</v>
      </c>
      <c r="E179" s="11">
        <v>1.5</v>
      </c>
      <c r="F179" s="11">
        <v>3</v>
      </c>
      <c r="G179" s="11">
        <v>4.5</v>
      </c>
    </row>
    <row r="180" spans="1:7" x14ac:dyDescent="0.3">
      <c r="A180" s="1">
        <v>45992.375010127318</v>
      </c>
      <c r="B180" s="5">
        <v>1.27</v>
      </c>
      <c r="C180" s="7">
        <f t="shared" si="2"/>
        <v>15.85759064483829</v>
      </c>
      <c r="D180" s="9">
        <v>0</v>
      </c>
      <c r="E180" s="11">
        <v>1.5</v>
      </c>
      <c r="F180" s="11">
        <v>3</v>
      </c>
      <c r="G180" s="11">
        <v>4.5</v>
      </c>
    </row>
    <row r="181" spans="1:7" x14ac:dyDescent="0.3">
      <c r="A181" s="1">
        <v>45992.416676851855</v>
      </c>
      <c r="B181" s="5">
        <v>1.27</v>
      </c>
      <c r="C181" s="7">
        <f t="shared" si="2"/>
        <v>15.85759064483829</v>
      </c>
      <c r="D181" s="9">
        <v>0</v>
      </c>
      <c r="E181" s="11">
        <v>1.5</v>
      </c>
      <c r="F181" s="11">
        <v>3</v>
      </c>
      <c r="G181" s="11">
        <v>4.5</v>
      </c>
    </row>
    <row r="182" spans="1:7" x14ac:dyDescent="0.3">
      <c r="A182" s="1">
        <v>45992.458343576393</v>
      </c>
      <c r="B182" s="5">
        <v>1.26</v>
      </c>
      <c r="C182" s="7">
        <f t="shared" si="2"/>
        <v>15.600273927987743</v>
      </c>
      <c r="D182" s="9">
        <v>0</v>
      </c>
      <c r="E182" s="11">
        <v>1.5</v>
      </c>
      <c r="F182" s="11">
        <v>3</v>
      </c>
      <c r="G182" s="11">
        <v>4.5</v>
      </c>
    </row>
    <row r="183" spans="1:7" x14ac:dyDescent="0.3">
      <c r="A183" s="1">
        <v>45992.500010300922</v>
      </c>
      <c r="B183" s="5">
        <v>1.26</v>
      </c>
      <c r="C183" s="7">
        <f t="shared" si="2"/>
        <v>15.600273927987743</v>
      </c>
      <c r="D183" s="9">
        <v>0</v>
      </c>
      <c r="E183" s="11">
        <v>1.5</v>
      </c>
      <c r="F183" s="11">
        <v>3</v>
      </c>
      <c r="G183" s="11">
        <v>4.5</v>
      </c>
    </row>
    <row r="184" spans="1:7" x14ac:dyDescent="0.3">
      <c r="A184" s="1">
        <v>45992.54167702546</v>
      </c>
      <c r="B184" s="5">
        <v>1.24</v>
      </c>
      <c r="C184" s="7">
        <f t="shared" si="2"/>
        <v>15.093861143903904</v>
      </c>
      <c r="D184" s="9">
        <v>0</v>
      </c>
      <c r="E184" s="11">
        <v>1.5</v>
      </c>
      <c r="F184" s="11">
        <v>3</v>
      </c>
      <c r="G184" s="11">
        <v>4.5</v>
      </c>
    </row>
    <row r="185" spans="1:7" x14ac:dyDescent="0.3">
      <c r="A185" s="1">
        <v>45992.583343749997</v>
      </c>
      <c r="B185" s="5">
        <v>1.24</v>
      </c>
      <c r="C185" s="7">
        <f t="shared" si="2"/>
        <v>15.093861143903904</v>
      </c>
      <c r="D185" s="9">
        <v>0</v>
      </c>
      <c r="E185" s="11">
        <v>1.5</v>
      </c>
      <c r="F185" s="11">
        <v>3</v>
      </c>
      <c r="G185" s="11">
        <v>4.5</v>
      </c>
    </row>
    <row r="186" spans="1:7" x14ac:dyDescent="0.3">
      <c r="A186" s="1">
        <v>45992.625010474534</v>
      </c>
      <c r="B186" s="5">
        <v>1.23</v>
      </c>
      <c r="C186" s="7">
        <f t="shared" si="2"/>
        <v>14.844737376632303</v>
      </c>
      <c r="D186" s="9">
        <v>0</v>
      </c>
      <c r="E186" s="11">
        <v>1.5</v>
      </c>
      <c r="F186" s="11">
        <v>3</v>
      </c>
      <c r="G186" s="11">
        <v>4.5</v>
      </c>
    </row>
    <row r="187" spans="1:7" x14ac:dyDescent="0.3">
      <c r="A187" s="1">
        <v>45992.666677199071</v>
      </c>
      <c r="B187" s="5">
        <v>1.22</v>
      </c>
      <c r="C187" s="7">
        <f t="shared" si="2"/>
        <v>14.598316877618933</v>
      </c>
      <c r="D187" s="9">
        <v>0</v>
      </c>
      <c r="E187" s="11">
        <v>1.5</v>
      </c>
      <c r="F187" s="11">
        <v>3</v>
      </c>
      <c r="G187" s="11">
        <v>4.5</v>
      </c>
    </row>
    <row r="188" spans="1:7" x14ac:dyDescent="0.3">
      <c r="A188" s="1">
        <v>45992.708343923608</v>
      </c>
      <c r="B188" s="5">
        <v>1.22</v>
      </c>
      <c r="C188" s="7">
        <f t="shared" si="2"/>
        <v>14.598316877618933</v>
      </c>
      <c r="D188" s="9">
        <v>0</v>
      </c>
      <c r="E188" s="11">
        <v>1.5</v>
      </c>
      <c r="F188" s="11">
        <v>3</v>
      </c>
      <c r="G188" s="11">
        <v>4.5</v>
      </c>
    </row>
    <row r="189" spans="1:7" x14ac:dyDescent="0.3">
      <c r="A189" s="1">
        <v>45992.750010648146</v>
      </c>
      <c r="B189" s="5">
        <v>1.22</v>
      </c>
      <c r="C189" s="7">
        <f t="shared" si="2"/>
        <v>14.598316877618933</v>
      </c>
      <c r="D189" s="9">
        <v>0</v>
      </c>
      <c r="E189" s="11">
        <v>1.5</v>
      </c>
      <c r="F189" s="11">
        <v>3</v>
      </c>
      <c r="G189" s="11">
        <v>4.5</v>
      </c>
    </row>
    <row r="190" spans="1:7" x14ac:dyDescent="0.3">
      <c r="A190" s="1">
        <v>45992.791677372683</v>
      </c>
      <c r="B190" s="5">
        <v>1.25</v>
      </c>
      <c r="C190" s="7">
        <f t="shared" si="2"/>
        <v>15.345702042865385</v>
      </c>
      <c r="D190" s="9">
        <v>0</v>
      </c>
      <c r="E190" s="11">
        <v>1.5</v>
      </c>
      <c r="F190" s="11">
        <v>3</v>
      </c>
      <c r="G190" s="11">
        <v>4.5</v>
      </c>
    </row>
    <row r="191" spans="1:7" x14ac:dyDescent="0.3">
      <c r="A191" s="1">
        <v>45992.83334409722</v>
      </c>
      <c r="B191" s="5">
        <v>1.23</v>
      </c>
      <c r="C191" s="7">
        <f t="shared" si="2"/>
        <v>14.844737376632303</v>
      </c>
      <c r="D191" s="9">
        <v>0</v>
      </c>
      <c r="E191" s="11">
        <v>1.5</v>
      </c>
      <c r="F191" s="11">
        <v>3</v>
      </c>
      <c r="G191" s="11">
        <v>4.5</v>
      </c>
    </row>
    <row r="192" spans="1:7" x14ac:dyDescent="0.3">
      <c r="A192" s="1">
        <v>45992.875010821757</v>
      </c>
      <c r="B192" s="5">
        <v>1.22</v>
      </c>
      <c r="C192" s="7">
        <f t="shared" si="2"/>
        <v>14.598316877618933</v>
      </c>
      <c r="D192" s="9">
        <v>0</v>
      </c>
      <c r="E192" s="11">
        <v>1.5</v>
      </c>
      <c r="F192" s="11">
        <v>3</v>
      </c>
      <c r="G192" s="11">
        <v>4.5</v>
      </c>
    </row>
    <row r="193" spans="1:7" x14ac:dyDescent="0.3">
      <c r="A193" s="1">
        <v>45992.916677546295</v>
      </c>
      <c r="B193" s="5">
        <v>1.22</v>
      </c>
      <c r="C193" s="7">
        <f t="shared" si="2"/>
        <v>14.598316877618933</v>
      </c>
      <c r="D193" s="9">
        <v>0</v>
      </c>
      <c r="E193" s="11">
        <v>1.5</v>
      </c>
      <c r="F193" s="11">
        <v>3</v>
      </c>
      <c r="G193" s="11">
        <v>4.5</v>
      </c>
    </row>
    <row r="194" spans="1:7" x14ac:dyDescent="0.3">
      <c r="A194" s="1">
        <v>45992.958344270832</v>
      </c>
      <c r="B194" s="5">
        <v>1.21</v>
      </c>
      <c r="C194" s="7">
        <f t="shared" si="2"/>
        <v>14.354585774413879</v>
      </c>
      <c r="D194" s="9">
        <v>0</v>
      </c>
      <c r="E194" s="11">
        <v>1.5</v>
      </c>
      <c r="F194" s="11">
        <v>3</v>
      </c>
      <c r="G194" s="11">
        <v>4.5</v>
      </c>
    </row>
    <row r="195" spans="1:7" x14ac:dyDescent="0.3">
      <c r="A195" s="1">
        <v>45993.000010995369</v>
      </c>
      <c r="B195" s="5">
        <v>1.21</v>
      </c>
      <c r="C195" s="7">
        <f t="shared" si="2"/>
        <v>14.354585774413879</v>
      </c>
      <c r="D195" s="9">
        <v>0</v>
      </c>
      <c r="E195" s="11">
        <v>1.5</v>
      </c>
      <c r="F195" s="11">
        <v>3</v>
      </c>
      <c r="G195" s="11">
        <v>4.5</v>
      </c>
    </row>
    <row r="196" spans="1:7" x14ac:dyDescent="0.3">
      <c r="A196" s="1">
        <v>45993.041677719906</v>
      </c>
      <c r="B196" s="5">
        <v>1.2</v>
      </c>
      <c r="C196" s="7">
        <f t="shared" si="2"/>
        <v>14.113530185490607</v>
      </c>
      <c r="D196" s="9">
        <v>0</v>
      </c>
      <c r="E196" s="11">
        <v>1.5</v>
      </c>
      <c r="F196" s="11">
        <v>3</v>
      </c>
      <c r="G196" s="11">
        <v>4.5</v>
      </c>
    </row>
    <row r="197" spans="1:7" x14ac:dyDescent="0.3">
      <c r="A197" s="1">
        <v>45993.083344444443</v>
      </c>
      <c r="B197" s="5">
        <v>1.2</v>
      </c>
      <c r="C197" s="7">
        <f t="shared" ref="C197:C260" si="3">IF(B197="","",IF(B197&gt;2.5,19.135*(B197+0.5)^2-29.477*(B197+0.5)+32.54,3.0494*((B197+0.5)^2.8875)))</f>
        <v>14.113530185490607</v>
      </c>
      <c r="D197" s="9">
        <v>0</v>
      </c>
      <c r="E197" s="11">
        <v>1.5</v>
      </c>
      <c r="F197" s="11">
        <v>3</v>
      </c>
      <c r="G197" s="11">
        <v>4.5</v>
      </c>
    </row>
    <row r="198" spans="1:7" x14ac:dyDescent="0.3">
      <c r="A198" s="1">
        <v>45993.125011168981</v>
      </c>
      <c r="B198" s="5">
        <v>1.19</v>
      </c>
      <c r="C198" s="7">
        <f t="shared" si="3"/>
        <v>13.875136220186866</v>
      </c>
      <c r="D198" s="9">
        <v>0</v>
      </c>
      <c r="E198" s="11">
        <v>1.5</v>
      </c>
      <c r="F198" s="11">
        <v>3</v>
      </c>
      <c r="G198" s="11">
        <v>4.5</v>
      </c>
    </row>
    <row r="199" spans="1:7" x14ac:dyDescent="0.3">
      <c r="A199" s="1">
        <v>45993.166677893518</v>
      </c>
      <c r="B199" s="5">
        <v>1.18</v>
      </c>
      <c r="C199" s="7">
        <f t="shared" si="3"/>
        <v>13.639389978644896</v>
      </c>
      <c r="D199" s="9">
        <v>0</v>
      </c>
      <c r="E199" s="11">
        <v>1.5</v>
      </c>
      <c r="F199" s="11">
        <v>3</v>
      </c>
      <c r="G199" s="11">
        <v>4.5</v>
      </c>
    </row>
    <row r="200" spans="1:7" x14ac:dyDescent="0.3">
      <c r="A200" s="1">
        <v>45993.208344618055</v>
      </c>
      <c r="B200" s="5">
        <v>1.18</v>
      </c>
      <c r="C200" s="7">
        <f t="shared" si="3"/>
        <v>13.639389978644896</v>
      </c>
      <c r="D200" s="9">
        <v>0</v>
      </c>
      <c r="E200" s="11">
        <v>1.5</v>
      </c>
      <c r="F200" s="11">
        <v>3</v>
      </c>
      <c r="G200" s="11">
        <v>4.5</v>
      </c>
    </row>
    <row r="201" spans="1:7" x14ac:dyDescent="0.3">
      <c r="A201" s="1">
        <v>45993.250011342592</v>
      </c>
      <c r="B201" s="5">
        <v>1.18</v>
      </c>
      <c r="C201" s="7">
        <f t="shared" si="3"/>
        <v>13.639389978644896</v>
      </c>
      <c r="D201" s="9">
        <v>0</v>
      </c>
      <c r="E201" s="11">
        <v>1.5</v>
      </c>
      <c r="F201" s="11">
        <v>3</v>
      </c>
      <c r="G201" s="11">
        <v>4.5</v>
      </c>
    </row>
    <row r="202" spans="1:7" x14ac:dyDescent="0.3">
      <c r="A202" s="1">
        <v>45993.291678067129</v>
      </c>
      <c r="B202" s="5">
        <v>1.17</v>
      </c>
      <c r="C202" s="7">
        <f t="shared" si="3"/>
        <v>13.406277551750891</v>
      </c>
      <c r="D202" s="9">
        <v>0</v>
      </c>
      <c r="E202" s="11">
        <v>1.5</v>
      </c>
      <c r="F202" s="11">
        <v>3</v>
      </c>
      <c r="G202" s="11">
        <v>4.5</v>
      </c>
    </row>
    <row r="203" spans="1:7" x14ac:dyDescent="0.3">
      <c r="A203" s="1">
        <v>45993.333344733794</v>
      </c>
      <c r="B203" s="5">
        <v>1.1599999999999999</v>
      </c>
      <c r="C203" s="7">
        <f t="shared" si="3"/>
        <v>13.175785021073656</v>
      </c>
      <c r="D203" s="9">
        <v>0</v>
      </c>
      <c r="E203" s="11">
        <v>1.5</v>
      </c>
      <c r="F203" s="11">
        <v>3</v>
      </c>
      <c r="G203" s="11">
        <v>4.5</v>
      </c>
    </row>
    <row r="204" spans="1:7" x14ac:dyDescent="0.3">
      <c r="A204" s="1">
        <v>45993.375011458331</v>
      </c>
      <c r="B204" s="5">
        <v>1.1499999999999999</v>
      </c>
      <c r="C204" s="7">
        <f t="shared" si="3"/>
        <v>12.947898458802527</v>
      </c>
      <c r="D204" s="9">
        <v>0</v>
      </c>
      <c r="E204" s="11">
        <v>1.5</v>
      </c>
      <c r="F204" s="11">
        <v>3</v>
      </c>
      <c r="G204" s="11">
        <v>4.5</v>
      </c>
    </row>
    <row r="205" spans="1:7" x14ac:dyDescent="0.3">
      <c r="A205" s="1">
        <v>45993.416678182868</v>
      </c>
      <c r="B205" s="5">
        <v>1.1499999999999999</v>
      </c>
      <c r="C205" s="7">
        <f t="shared" si="3"/>
        <v>12.947898458802527</v>
      </c>
      <c r="D205" s="9">
        <v>0</v>
      </c>
      <c r="E205" s="11">
        <v>1.5</v>
      </c>
      <c r="F205" s="11">
        <v>3</v>
      </c>
      <c r="G205" s="11">
        <v>4.5</v>
      </c>
    </row>
    <row r="206" spans="1:7" x14ac:dyDescent="0.3">
      <c r="A206" s="1">
        <v>45993.458344907405</v>
      </c>
      <c r="B206" s="5">
        <v>1.1399999999999999</v>
      </c>
      <c r="C206" s="7">
        <f t="shared" si="3"/>
        <v>12.722603927684492</v>
      </c>
      <c r="D206" s="9">
        <v>0</v>
      </c>
      <c r="E206" s="11">
        <v>1.5</v>
      </c>
      <c r="F206" s="11">
        <v>3</v>
      </c>
      <c r="G206" s="11">
        <v>4.5</v>
      </c>
    </row>
    <row r="207" spans="1:7" x14ac:dyDescent="0.3">
      <c r="A207" s="1">
        <v>45993.500011631942</v>
      </c>
      <c r="B207" s="5">
        <v>1.1299999999999999</v>
      </c>
      <c r="C207" s="7">
        <f t="shared" si="3"/>
        <v>12.499887480960505</v>
      </c>
      <c r="D207" s="9">
        <v>0</v>
      </c>
      <c r="E207" s="11">
        <v>1.5</v>
      </c>
      <c r="F207" s="11">
        <v>3</v>
      </c>
      <c r="G207" s="11">
        <v>4.5</v>
      </c>
    </row>
    <row r="208" spans="1:7" x14ac:dyDescent="0.3">
      <c r="A208" s="1">
        <v>45993.54167835648</v>
      </c>
      <c r="B208" s="5">
        <v>1.1299999999999999</v>
      </c>
      <c r="C208" s="7">
        <f t="shared" si="3"/>
        <v>12.499887480960505</v>
      </c>
      <c r="D208" s="9">
        <v>0</v>
      </c>
      <c r="E208" s="11">
        <v>1.5</v>
      </c>
      <c r="F208" s="11">
        <v>3</v>
      </c>
      <c r="G208" s="11">
        <v>4.5</v>
      </c>
    </row>
    <row r="209" spans="1:7" x14ac:dyDescent="0.3">
      <c r="A209" s="1">
        <v>45993.583345081017</v>
      </c>
      <c r="B209" s="5">
        <v>1.1200000000000001</v>
      </c>
      <c r="C209" s="7">
        <f t="shared" si="3"/>
        <v>12.279735162300968</v>
      </c>
      <c r="D209" s="9">
        <v>0</v>
      </c>
      <c r="E209" s="11">
        <v>1.5</v>
      </c>
      <c r="F209" s="11">
        <v>3</v>
      </c>
      <c r="G209" s="11">
        <v>4.5</v>
      </c>
    </row>
    <row r="210" spans="1:7" x14ac:dyDescent="0.3">
      <c r="A210" s="1">
        <v>45993.625011805554</v>
      </c>
      <c r="B210" s="5">
        <v>1.1100000000000001</v>
      </c>
      <c r="C210" s="7">
        <f t="shared" si="3"/>
        <v>12.062133005740378</v>
      </c>
      <c r="D210" s="9">
        <v>0</v>
      </c>
      <c r="E210" s="11">
        <v>1.5</v>
      </c>
      <c r="F210" s="11">
        <v>3</v>
      </c>
      <c r="G210" s="11">
        <v>4.5</v>
      </c>
    </row>
    <row r="211" spans="1:7" x14ac:dyDescent="0.3">
      <c r="A211" s="1">
        <v>45993.666678530091</v>
      </c>
      <c r="B211" s="5">
        <v>1.1000000000000001</v>
      </c>
      <c r="C211" s="7">
        <f t="shared" si="3"/>
        <v>11.847067035611163</v>
      </c>
      <c r="D211" s="9">
        <v>0</v>
      </c>
      <c r="E211" s="11">
        <v>1.5</v>
      </c>
      <c r="F211" s="11">
        <v>3</v>
      </c>
      <c r="G211" s="11">
        <v>4.5</v>
      </c>
    </row>
    <row r="212" spans="1:7" x14ac:dyDescent="0.3">
      <c r="A212" s="1">
        <v>45993.708345254629</v>
      </c>
      <c r="B212" s="5">
        <v>1.0900000000000001</v>
      </c>
      <c r="C212" s="7">
        <f t="shared" si="3"/>
        <v>11.634523266476585</v>
      </c>
      <c r="D212" s="9">
        <v>0</v>
      </c>
      <c r="E212" s="11">
        <v>1.5</v>
      </c>
      <c r="F212" s="11">
        <v>3</v>
      </c>
      <c r="G212" s="11">
        <v>4.5</v>
      </c>
    </row>
    <row r="213" spans="1:7" x14ac:dyDescent="0.3">
      <c r="A213" s="1">
        <v>45993.750011979166</v>
      </c>
      <c r="B213" s="4">
        <v>1.07</v>
      </c>
      <c r="C213" s="7">
        <f t="shared" si="3"/>
        <v>11.216946340190008</v>
      </c>
      <c r="D213" s="9">
        <v>0</v>
      </c>
      <c r="E213" s="11">
        <v>1.5</v>
      </c>
      <c r="F213" s="11">
        <v>3</v>
      </c>
      <c r="G213" s="11">
        <v>4.5</v>
      </c>
    </row>
    <row r="214" spans="1:7" x14ac:dyDescent="0.3">
      <c r="A214" s="1">
        <v>45993.791678703703</v>
      </c>
      <c r="B214" s="4">
        <v>1.06</v>
      </c>
      <c r="C214" s="7">
        <f t="shared" si="3"/>
        <v>11.011885162702667</v>
      </c>
      <c r="D214" s="9">
        <v>0</v>
      </c>
      <c r="E214" s="11">
        <v>1.5</v>
      </c>
      <c r="F214" s="11">
        <v>3</v>
      </c>
      <c r="G214" s="11">
        <v>4.5</v>
      </c>
    </row>
    <row r="215" spans="1:7" x14ac:dyDescent="0.3">
      <c r="A215" s="1">
        <v>45993.83334542824</v>
      </c>
      <c r="B215" s="4">
        <v>1.1000000000000001</v>
      </c>
      <c r="C215" s="7">
        <f t="shared" si="3"/>
        <v>11.847067035611163</v>
      </c>
      <c r="D215" s="9">
        <v>0</v>
      </c>
      <c r="E215" s="11">
        <v>1.5</v>
      </c>
      <c r="F215" s="11">
        <v>3</v>
      </c>
      <c r="G215" s="11">
        <v>4.5</v>
      </c>
    </row>
    <row r="216" spans="1:7" x14ac:dyDescent="0.3">
      <c r="A216" s="1">
        <v>45993.875012152777</v>
      </c>
      <c r="B216" s="4">
        <v>1.1000000000000001</v>
      </c>
      <c r="C216" s="7">
        <f t="shared" si="3"/>
        <v>11.847067035611163</v>
      </c>
      <c r="D216" s="9">
        <v>0</v>
      </c>
      <c r="E216" s="11">
        <v>1.5</v>
      </c>
      <c r="F216" s="11">
        <v>3</v>
      </c>
      <c r="G216" s="11">
        <v>4.5</v>
      </c>
    </row>
    <row r="217" spans="1:7" x14ac:dyDescent="0.3">
      <c r="A217" s="1">
        <v>45993.916678877315</v>
      </c>
      <c r="B217" s="4">
        <v>1.0900000000000001</v>
      </c>
      <c r="C217" s="7">
        <f t="shared" si="3"/>
        <v>11.634523266476585</v>
      </c>
      <c r="D217" s="9">
        <v>0</v>
      </c>
      <c r="E217" s="11">
        <v>1.5</v>
      </c>
      <c r="F217" s="11">
        <v>3</v>
      </c>
      <c r="G217" s="11">
        <v>4.5</v>
      </c>
    </row>
    <row r="218" spans="1:7" x14ac:dyDescent="0.3">
      <c r="A218" s="1">
        <v>45993.958345601852</v>
      </c>
      <c r="B218" s="4">
        <v>1.0900000000000001</v>
      </c>
      <c r="C218" s="7">
        <f t="shared" si="3"/>
        <v>11.634523266476585</v>
      </c>
      <c r="D218" s="9">
        <v>0</v>
      </c>
      <c r="E218" s="11">
        <v>1.5</v>
      </c>
      <c r="F218" s="11">
        <v>3</v>
      </c>
      <c r="G218" s="11">
        <v>4.5</v>
      </c>
    </row>
    <row r="219" spans="1:7" x14ac:dyDescent="0.3">
      <c r="A219" s="1">
        <v>45994.000012326389</v>
      </c>
      <c r="B219" s="4">
        <v>1.08</v>
      </c>
      <c r="C219" s="7">
        <f t="shared" si="3"/>
        <v>11.4244877030628</v>
      </c>
      <c r="D219" s="9">
        <v>0</v>
      </c>
      <c r="E219" s="11">
        <v>1.5</v>
      </c>
      <c r="F219" s="11">
        <v>3</v>
      </c>
      <c r="G219" s="11">
        <v>4.5</v>
      </c>
    </row>
    <row r="220" spans="1:7" x14ac:dyDescent="0.3">
      <c r="A220" s="1">
        <v>45994.041679108799</v>
      </c>
      <c r="B220" s="4">
        <v>1.0900000000000001</v>
      </c>
      <c r="C220" s="7">
        <f t="shared" si="3"/>
        <v>11.634523266476585</v>
      </c>
      <c r="D220" s="9">
        <v>0</v>
      </c>
      <c r="E220" s="11">
        <v>1.5</v>
      </c>
      <c r="F220" s="11">
        <v>3</v>
      </c>
      <c r="G220" s="11">
        <v>4.5</v>
      </c>
    </row>
    <row r="221" spans="1:7" x14ac:dyDescent="0.3">
      <c r="A221" s="1">
        <v>45994.083345891202</v>
      </c>
      <c r="B221" s="4">
        <v>1.07</v>
      </c>
      <c r="C221" s="7">
        <f t="shared" si="3"/>
        <v>11.216946340190008</v>
      </c>
      <c r="D221" s="9">
        <v>0</v>
      </c>
      <c r="E221" s="11">
        <v>1.5</v>
      </c>
      <c r="F221" s="11">
        <v>3</v>
      </c>
      <c r="G221" s="11">
        <v>4.5</v>
      </c>
    </row>
    <row r="222" spans="1:7" x14ac:dyDescent="0.3">
      <c r="A222" s="1">
        <v>45994.125012673612</v>
      </c>
      <c r="B222" s="4">
        <v>1.08</v>
      </c>
      <c r="C222" s="7">
        <f t="shared" si="3"/>
        <v>11.4244877030628</v>
      </c>
      <c r="D222" s="9">
        <v>0</v>
      </c>
      <c r="E222" s="11">
        <v>1.5</v>
      </c>
      <c r="F222" s="11">
        <v>3</v>
      </c>
      <c r="G222" s="11">
        <v>4.5</v>
      </c>
    </row>
    <row r="223" spans="1:7" x14ac:dyDescent="0.3">
      <c r="A223" s="1">
        <v>45994.166679456015</v>
      </c>
      <c r="B223" s="4">
        <v>1.0900000000000001</v>
      </c>
      <c r="C223" s="7">
        <f t="shared" si="3"/>
        <v>11.634523266476585</v>
      </c>
      <c r="D223" s="9">
        <v>0</v>
      </c>
      <c r="E223" s="11">
        <v>1.5</v>
      </c>
      <c r="F223" s="11">
        <v>3</v>
      </c>
      <c r="G223" s="11">
        <v>4.5</v>
      </c>
    </row>
    <row r="224" spans="1:7" x14ac:dyDescent="0.3">
      <c r="A224" s="1">
        <v>45994.208346238425</v>
      </c>
      <c r="B224" s="4">
        <v>1.07</v>
      </c>
      <c r="C224" s="7">
        <f t="shared" si="3"/>
        <v>11.216946340190008</v>
      </c>
      <c r="D224" s="9">
        <v>0</v>
      </c>
      <c r="E224" s="11">
        <v>1.5</v>
      </c>
      <c r="F224" s="11">
        <v>3</v>
      </c>
      <c r="G224" s="11">
        <v>4.5</v>
      </c>
    </row>
    <row r="225" spans="1:7" x14ac:dyDescent="0.3">
      <c r="A225" s="1">
        <v>45994.250013020835</v>
      </c>
      <c r="B225" s="4">
        <v>1.07</v>
      </c>
      <c r="C225" s="7">
        <f t="shared" si="3"/>
        <v>11.216946340190008</v>
      </c>
      <c r="D225" s="9">
        <v>0</v>
      </c>
      <c r="E225" s="11">
        <v>1.5</v>
      </c>
      <c r="F225" s="11">
        <v>3</v>
      </c>
      <c r="G225" s="11">
        <v>4.5</v>
      </c>
    </row>
    <row r="226" spans="1:7" x14ac:dyDescent="0.3">
      <c r="A226" s="1">
        <v>45994.291679803238</v>
      </c>
      <c r="B226" s="4">
        <v>1.06</v>
      </c>
      <c r="C226" s="7">
        <f t="shared" si="3"/>
        <v>11.011885162702667</v>
      </c>
      <c r="D226" s="9">
        <v>0</v>
      </c>
      <c r="E226" s="11">
        <v>1.5</v>
      </c>
      <c r="F226" s="11">
        <v>3</v>
      </c>
      <c r="G226" s="11">
        <v>4.5</v>
      </c>
    </row>
    <row r="227" spans="1:7" x14ac:dyDescent="0.3">
      <c r="A227" s="1">
        <v>45994.333346585649</v>
      </c>
      <c r="B227" s="4">
        <v>1.06</v>
      </c>
      <c r="C227" s="7">
        <f t="shared" si="3"/>
        <v>11.011885162702667</v>
      </c>
      <c r="D227" s="9">
        <v>0</v>
      </c>
      <c r="E227" s="11">
        <v>1.5</v>
      </c>
      <c r="F227" s="11">
        <v>3</v>
      </c>
      <c r="G227" s="11">
        <v>4.5</v>
      </c>
    </row>
    <row r="228" spans="1:7" x14ac:dyDescent="0.3">
      <c r="A228" s="1">
        <v>45994.375013368059</v>
      </c>
      <c r="B228" s="4">
        <v>1.06</v>
      </c>
      <c r="C228" s="7">
        <f t="shared" si="3"/>
        <v>11.011885162702667</v>
      </c>
      <c r="D228" s="9">
        <v>0</v>
      </c>
      <c r="E228" s="11">
        <v>1.5</v>
      </c>
      <c r="F228" s="11">
        <v>3</v>
      </c>
      <c r="G228" s="11">
        <v>4.5</v>
      </c>
    </row>
    <row r="229" spans="1:7" x14ac:dyDescent="0.3">
      <c r="A229" s="1">
        <v>45994.416680150462</v>
      </c>
      <c r="B229" s="4">
        <v>1.06</v>
      </c>
      <c r="C229" s="7">
        <f t="shared" si="3"/>
        <v>11.011885162702667</v>
      </c>
      <c r="D229" s="9">
        <v>0</v>
      </c>
      <c r="E229" s="11">
        <v>1.5</v>
      </c>
      <c r="F229" s="11">
        <v>3</v>
      </c>
      <c r="G229" s="11">
        <v>4.5</v>
      </c>
    </row>
    <row r="230" spans="1:7" x14ac:dyDescent="0.3">
      <c r="A230" s="1">
        <v>45994.458346932872</v>
      </c>
      <c r="B230" s="4">
        <v>1.05</v>
      </c>
      <c r="C230" s="7">
        <f t="shared" si="3"/>
        <v>10.809290145398775</v>
      </c>
      <c r="D230" s="9">
        <v>0</v>
      </c>
      <c r="E230" s="11">
        <v>1.5</v>
      </c>
      <c r="F230" s="11">
        <v>3</v>
      </c>
      <c r="G230" s="11">
        <v>4.5</v>
      </c>
    </row>
    <row r="231" spans="1:7" x14ac:dyDescent="0.3">
      <c r="A231" s="1">
        <v>45994.500013715275</v>
      </c>
      <c r="B231" s="4">
        <v>1.04</v>
      </c>
      <c r="C231" s="7">
        <f t="shared" si="3"/>
        <v>10.609147252958214</v>
      </c>
      <c r="D231" s="9">
        <v>0</v>
      </c>
      <c r="E231" s="11">
        <v>1.5</v>
      </c>
      <c r="F231" s="11">
        <v>3</v>
      </c>
      <c r="G231" s="11">
        <v>4.5</v>
      </c>
    </row>
    <row r="232" spans="1:7" x14ac:dyDescent="0.3">
      <c r="A232" s="1">
        <v>45994.541680497685</v>
      </c>
      <c r="B232" s="4">
        <v>1.04</v>
      </c>
      <c r="C232" s="7">
        <f t="shared" si="3"/>
        <v>10.609147252958214</v>
      </c>
      <c r="D232" s="9">
        <v>0</v>
      </c>
      <c r="E232" s="11">
        <v>1.5</v>
      </c>
      <c r="F232" s="11">
        <v>3</v>
      </c>
      <c r="G232" s="11">
        <v>4.5</v>
      </c>
    </row>
    <row r="233" spans="1:7" x14ac:dyDescent="0.3">
      <c r="A233" s="1">
        <v>45994.583347280095</v>
      </c>
      <c r="B233" s="4">
        <v>1.04</v>
      </c>
      <c r="C233" s="7">
        <f t="shared" si="3"/>
        <v>10.609147252958214</v>
      </c>
      <c r="D233" s="9">
        <v>0</v>
      </c>
      <c r="E233" s="11">
        <v>1.5</v>
      </c>
      <c r="F233" s="11">
        <v>3</v>
      </c>
      <c r="G233" s="11">
        <v>4.5</v>
      </c>
    </row>
    <row r="234" spans="1:7" x14ac:dyDescent="0.3">
      <c r="A234" s="1">
        <v>45994.625014062498</v>
      </c>
      <c r="B234" s="4">
        <v>1.03</v>
      </c>
      <c r="C234" s="7">
        <f t="shared" si="3"/>
        <v>10.411442439870079</v>
      </c>
      <c r="D234" s="9">
        <v>0</v>
      </c>
      <c r="E234" s="11">
        <v>1.5</v>
      </c>
      <c r="F234" s="11">
        <v>3</v>
      </c>
      <c r="G234" s="11">
        <v>4.5</v>
      </c>
    </row>
    <row r="235" spans="1:7" x14ac:dyDescent="0.3">
      <c r="A235" s="1">
        <v>45994.666680844908</v>
      </c>
      <c r="B235" s="4">
        <v>1.03</v>
      </c>
      <c r="C235" s="7">
        <f t="shared" si="3"/>
        <v>10.411442439870079</v>
      </c>
      <c r="D235" s="9">
        <v>0</v>
      </c>
      <c r="E235" s="11">
        <v>1.5</v>
      </c>
      <c r="F235" s="11">
        <v>3</v>
      </c>
      <c r="G235" s="11">
        <v>4.5</v>
      </c>
    </row>
    <row r="236" spans="1:7" x14ac:dyDescent="0.3">
      <c r="A236" s="1">
        <v>45994.708347627318</v>
      </c>
      <c r="B236" s="4">
        <v>1.03</v>
      </c>
      <c r="C236" s="7">
        <f t="shared" si="3"/>
        <v>10.411442439870079</v>
      </c>
      <c r="D236" s="9">
        <v>0</v>
      </c>
      <c r="E236" s="11">
        <v>1.5</v>
      </c>
      <c r="F236" s="11">
        <v>3</v>
      </c>
      <c r="G236" s="11">
        <v>4.5</v>
      </c>
    </row>
    <row r="237" spans="1:7" x14ac:dyDescent="0.3">
      <c r="A237" s="1">
        <v>45994.750014409721</v>
      </c>
      <c r="B237" s="4">
        <v>1.02</v>
      </c>
      <c r="C237" s="7">
        <f t="shared" si="3"/>
        <v>10.216161650359053</v>
      </c>
      <c r="D237" s="9">
        <v>0</v>
      </c>
      <c r="E237" s="11">
        <v>1.5</v>
      </c>
      <c r="F237" s="11">
        <v>3</v>
      </c>
      <c r="G237" s="11">
        <v>4.5</v>
      </c>
    </row>
    <row r="238" spans="1:7" x14ac:dyDescent="0.3">
      <c r="A238" s="1">
        <v>45994.791681192131</v>
      </c>
      <c r="B238" s="4">
        <v>1.02</v>
      </c>
      <c r="C238" s="7">
        <f t="shared" si="3"/>
        <v>10.216161650359053</v>
      </c>
      <c r="D238" s="9">
        <v>0</v>
      </c>
      <c r="E238" s="11">
        <v>1.5</v>
      </c>
      <c r="F238" s="11">
        <v>3</v>
      </c>
      <c r="G238" s="11">
        <v>4.5</v>
      </c>
    </row>
    <row r="239" spans="1:7" x14ac:dyDescent="0.3">
      <c r="A239" s="1">
        <v>45994.833347974534</v>
      </c>
      <c r="B239" s="4">
        <v>1.03</v>
      </c>
      <c r="C239" s="7">
        <f t="shared" si="3"/>
        <v>10.411442439870079</v>
      </c>
      <c r="D239" s="9">
        <v>0</v>
      </c>
      <c r="E239" s="11">
        <v>1.5</v>
      </c>
      <c r="F239" s="11">
        <v>3</v>
      </c>
      <c r="G239" s="11">
        <v>4.5</v>
      </c>
    </row>
    <row r="240" spans="1:7" x14ac:dyDescent="0.3">
      <c r="A240" s="1">
        <v>45994.875014756944</v>
      </c>
      <c r="B240" s="4">
        <v>1.03</v>
      </c>
      <c r="C240" s="7">
        <f t="shared" si="3"/>
        <v>10.411442439870079</v>
      </c>
      <c r="D240" s="9">
        <v>0</v>
      </c>
      <c r="E240" s="11">
        <v>1.5</v>
      </c>
      <c r="F240" s="11">
        <v>3</v>
      </c>
      <c r="G240" s="11">
        <v>4.5</v>
      </c>
    </row>
    <row r="241" spans="1:7" x14ac:dyDescent="0.3">
      <c r="A241" s="1">
        <v>45994.916681539355</v>
      </c>
      <c r="B241" s="4">
        <v>1.03</v>
      </c>
      <c r="C241" s="7">
        <f t="shared" si="3"/>
        <v>10.411442439870079</v>
      </c>
      <c r="D241" s="9">
        <v>0</v>
      </c>
      <c r="E241" s="11">
        <v>1.5</v>
      </c>
      <c r="F241" s="11">
        <v>3</v>
      </c>
      <c r="G241" s="11">
        <v>4.5</v>
      </c>
    </row>
    <row r="242" spans="1:7" x14ac:dyDescent="0.3">
      <c r="A242" s="1">
        <v>45994.958348321758</v>
      </c>
      <c r="B242" s="4">
        <v>1.03</v>
      </c>
      <c r="C242" s="7">
        <f t="shared" si="3"/>
        <v>10.411442439870079</v>
      </c>
      <c r="D242" s="9">
        <v>0</v>
      </c>
      <c r="E242" s="11">
        <v>1.5</v>
      </c>
      <c r="F242" s="11">
        <v>3</v>
      </c>
      <c r="G242" s="11">
        <v>4.5</v>
      </c>
    </row>
    <row r="243" spans="1:7" x14ac:dyDescent="0.3">
      <c r="A243" s="1">
        <v>45995.000015104168</v>
      </c>
      <c r="B243" s="4">
        <v>1.02</v>
      </c>
      <c r="C243" s="7">
        <f t="shared" si="3"/>
        <v>10.216161650359053</v>
      </c>
      <c r="D243" s="9">
        <v>0</v>
      </c>
      <c r="E243" s="11">
        <v>1.5</v>
      </c>
      <c r="F243" s="11">
        <v>3</v>
      </c>
      <c r="G243" s="11">
        <v>4.5</v>
      </c>
    </row>
    <row r="244" spans="1:7" x14ac:dyDescent="0.3">
      <c r="A244" s="1">
        <v>45995.041681886571</v>
      </c>
      <c r="B244" s="4">
        <v>1.03</v>
      </c>
      <c r="C244" s="7">
        <f t="shared" si="3"/>
        <v>10.411442439870079</v>
      </c>
      <c r="D244" s="9">
        <v>0</v>
      </c>
      <c r="E244" s="11">
        <v>1.5</v>
      </c>
      <c r="F244" s="11">
        <v>3</v>
      </c>
      <c r="G244" s="11">
        <v>4.5</v>
      </c>
    </row>
    <row r="245" spans="1:7" x14ac:dyDescent="0.3">
      <c r="A245" s="1">
        <v>45995.083348668981</v>
      </c>
      <c r="B245" s="4">
        <v>1.02</v>
      </c>
      <c r="C245" s="7">
        <f t="shared" si="3"/>
        <v>10.216161650359053</v>
      </c>
      <c r="D245" s="9">
        <v>0</v>
      </c>
      <c r="E245" s="11">
        <v>1.5</v>
      </c>
      <c r="F245" s="11">
        <v>3</v>
      </c>
      <c r="G245" s="11">
        <v>4.5</v>
      </c>
    </row>
    <row r="246" spans="1:7" x14ac:dyDescent="0.3">
      <c r="A246" s="1">
        <v>45995.125015451391</v>
      </c>
      <c r="B246" s="4">
        <v>1.02</v>
      </c>
      <c r="C246" s="7">
        <f t="shared" si="3"/>
        <v>10.216161650359053</v>
      </c>
      <c r="D246" s="9">
        <v>0</v>
      </c>
      <c r="E246" s="11">
        <v>1.5</v>
      </c>
      <c r="F246" s="11">
        <v>3</v>
      </c>
      <c r="G246" s="11">
        <v>4.5</v>
      </c>
    </row>
    <row r="247" spans="1:7" x14ac:dyDescent="0.3">
      <c r="A247" s="1">
        <v>45995.166682233794</v>
      </c>
      <c r="B247" s="4">
        <v>1.02</v>
      </c>
      <c r="C247" s="7">
        <f t="shared" si="3"/>
        <v>10.216161650359053</v>
      </c>
      <c r="D247" s="9">
        <v>0</v>
      </c>
      <c r="E247" s="11">
        <v>1.5</v>
      </c>
      <c r="F247" s="11">
        <v>3</v>
      </c>
      <c r="G247" s="11">
        <v>4.5</v>
      </c>
    </row>
    <row r="248" spans="1:7" x14ac:dyDescent="0.3">
      <c r="A248" s="1">
        <v>45995.208349016204</v>
      </c>
      <c r="B248" s="4">
        <v>1.01</v>
      </c>
      <c r="C248" s="7">
        <f t="shared" si="3"/>
        <v>10.023290818310722</v>
      </c>
      <c r="D248" s="9">
        <v>0</v>
      </c>
      <c r="E248" s="11">
        <v>1.5</v>
      </c>
      <c r="F248" s="11">
        <v>3</v>
      </c>
      <c r="G248" s="11">
        <v>4.5</v>
      </c>
    </row>
    <row r="249" spans="1:7" x14ac:dyDescent="0.3">
      <c r="A249" s="1">
        <v>45995.250015798614</v>
      </c>
      <c r="B249" s="4">
        <v>1.01</v>
      </c>
      <c r="C249" s="7">
        <f t="shared" si="3"/>
        <v>10.023290818310722</v>
      </c>
      <c r="D249" s="9">
        <v>0</v>
      </c>
      <c r="E249" s="11">
        <v>1.5</v>
      </c>
      <c r="F249" s="11">
        <v>3</v>
      </c>
      <c r="G249" s="11">
        <v>4.5</v>
      </c>
    </row>
    <row r="250" spans="1:7" x14ac:dyDescent="0.3">
      <c r="A250" s="1">
        <v>45995.291682581017</v>
      </c>
      <c r="B250" s="4">
        <v>1.01</v>
      </c>
      <c r="C250" s="7">
        <f t="shared" si="3"/>
        <v>10.023290818310722</v>
      </c>
      <c r="D250" s="9">
        <v>0</v>
      </c>
      <c r="E250" s="11">
        <v>1.5</v>
      </c>
      <c r="F250" s="11">
        <v>3</v>
      </c>
      <c r="G250" s="11">
        <v>4.5</v>
      </c>
    </row>
    <row r="251" spans="1:7" x14ac:dyDescent="0.3">
      <c r="A251" s="1">
        <v>45995.333349363427</v>
      </c>
      <c r="B251" s="4">
        <v>1.01</v>
      </c>
      <c r="C251" s="7">
        <f t="shared" si="3"/>
        <v>10.023290818310722</v>
      </c>
      <c r="D251" s="9">
        <v>0</v>
      </c>
      <c r="E251" s="11">
        <v>1.5</v>
      </c>
      <c r="F251" s="11">
        <v>3</v>
      </c>
      <c r="G251" s="11">
        <v>4.5</v>
      </c>
    </row>
    <row r="252" spans="1:7" x14ac:dyDescent="0.3">
      <c r="A252" s="1">
        <v>45995.37501614583</v>
      </c>
      <c r="B252" s="4">
        <v>0.99</v>
      </c>
      <c r="C252" s="7">
        <f t="shared" si="3"/>
        <v>9.6447227099937525</v>
      </c>
      <c r="D252" s="9">
        <v>0</v>
      </c>
      <c r="E252" s="11">
        <v>1.5</v>
      </c>
      <c r="F252" s="11">
        <v>3</v>
      </c>
      <c r="G252" s="11">
        <v>4.5</v>
      </c>
    </row>
    <row r="253" spans="1:7" x14ac:dyDescent="0.3">
      <c r="A253" s="1">
        <v>45995.41668292824</v>
      </c>
      <c r="B253" s="4">
        <v>0.99</v>
      </c>
      <c r="C253" s="7">
        <f t="shared" si="3"/>
        <v>9.6447227099937525</v>
      </c>
      <c r="D253" s="9">
        <v>0</v>
      </c>
      <c r="E253" s="11">
        <v>1.5</v>
      </c>
      <c r="F253" s="11">
        <v>3</v>
      </c>
      <c r="G253" s="11">
        <v>4.5</v>
      </c>
    </row>
    <row r="254" spans="1:7" x14ac:dyDescent="0.3">
      <c r="A254" s="1">
        <v>45995.458349710651</v>
      </c>
      <c r="B254" s="4">
        <v>0.99</v>
      </c>
      <c r="C254" s="7">
        <f t="shared" si="3"/>
        <v>9.6447227099937525</v>
      </c>
      <c r="D254" s="9">
        <v>0</v>
      </c>
      <c r="E254" s="11">
        <v>1.5</v>
      </c>
      <c r="F254" s="11">
        <v>3</v>
      </c>
      <c r="G254" s="11">
        <v>4.5</v>
      </c>
    </row>
    <row r="255" spans="1:7" x14ac:dyDescent="0.3">
      <c r="A255" s="1">
        <v>45995.500016493053</v>
      </c>
      <c r="B255" s="4">
        <v>1</v>
      </c>
      <c r="C255" s="7">
        <f t="shared" si="3"/>
        <v>9.8328158671958725</v>
      </c>
      <c r="D255" s="9">
        <v>0</v>
      </c>
      <c r="E255" s="11">
        <v>1.5</v>
      </c>
      <c r="F255" s="11">
        <v>3</v>
      </c>
      <c r="G255" s="11">
        <v>4.5</v>
      </c>
    </row>
    <row r="256" spans="1:7" x14ac:dyDescent="0.3">
      <c r="A256" s="1">
        <v>45995.541683275464</v>
      </c>
      <c r="B256" s="4">
        <v>0.99</v>
      </c>
      <c r="C256" s="7">
        <f t="shared" si="3"/>
        <v>9.6447227099937525</v>
      </c>
      <c r="D256" s="9">
        <v>0</v>
      </c>
      <c r="E256" s="11">
        <v>1.5</v>
      </c>
      <c r="F256" s="11">
        <v>3</v>
      </c>
      <c r="G256" s="11">
        <v>4.5</v>
      </c>
    </row>
    <row r="257" spans="1:7" x14ac:dyDescent="0.3">
      <c r="A257" s="1">
        <v>45995.583350057874</v>
      </c>
      <c r="B257" s="4">
        <v>0.99</v>
      </c>
      <c r="C257" s="7">
        <f t="shared" si="3"/>
        <v>9.6447227099937525</v>
      </c>
      <c r="D257" s="9">
        <v>1.9</v>
      </c>
      <c r="E257" s="11">
        <v>1.5</v>
      </c>
      <c r="F257" s="11">
        <v>3</v>
      </c>
      <c r="G257" s="11">
        <v>4.5</v>
      </c>
    </row>
    <row r="258" spans="1:7" x14ac:dyDescent="0.3">
      <c r="A258" s="1">
        <v>45995.625016840277</v>
      </c>
      <c r="B258" s="4">
        <v>1.03</v>
      </c>
      <c r="C258" s="7">
        <f t="shared" si="3"/>
        <v>10.411442439870079</v>
      </c>
      <c r="D258" s="9">
        <v>2.2999999999999998</v>
      </c>
      <c r="E258" s="11">
        <v>1.5</v>
      </c>
      <c r="F258" s="11">
        <v>3</v>
      </c>
      <c r="G258" s="11">
        <v>4.5</v>
      </c>
    </row>
    <row r="259" spans="1:7" x14ac:dyDescent="0.3">
      <c r="A259" s="1">
        <v>45995.666683622687</v>
      </c>
      <c r="B259" s="4">
        <v>1.07</v>
      </c>
      <c r="C259" s="7">
        <f t="shared" si="3"/>
        <v>11.216946340190008</v>
      </c>
      <c r="D259" s="9">
        <v>1.3</v>
      </c>
      <c r="E259" s="11">
        <v>1.5</v>
      </c>
      <c r="F259" s="11">
        <v>3</v>
      </c>
      <c r="G259" s="11">
        <v>4.5</v>
      </c>
    </row>
    <row r="260" spans="1:7" x14ac:dyDescent="0.3">
      <c r="A260" s="1">
        <v>45995.70835040509</v>
      </c>
      <c r="B260" s="4">
        <v>1.2</v>
      </c>
      <c r="C260" s="7">
        <f t="shared" si="3"/>
        <v>14.113530185490607</v>
      </c>
      <c r="D260" s="9">
        <v>0</v>
      </c>
      <c r="E260" s="11">
        <v>1.5</v>
      </c>
      <c r="F260" s="11">
        <v>3</v>
      </c>
      <c r="G260" s="11">
        <v>4.5</v>
      </c>
    </row>
    <row r="261" spans="1:7" x14ac:dyDescent="0.3">
      <c r="A261" s="1">
        <v>45995.7500171875</v>
      </c>
      <c r="B261" s="4">
        <v>1.1100000000000001</v>
      </c>
      <c r="C261" s="7">
        <f t="shared" ref="C261:C267" si="4">IF(B261="","",IF(B261&gt;2.5,19.135*(B261+0.5)^2-29.477*(B261+0.5)+32.54,3.0494*((B261+0.5)^2.8875)))</f>
        <v>12.062133005740378</v>
      </c>
      <c r="D261" s="9">
        <v>0</v>
      </c>
      <c r="E261" s="11">
        <v>1.5</v>
      </c>
      <c r="F261" s="11">
        <v>3</v>
      </c>
      <c r="G261" s="11">
        <v>4.5</v>
      </c>
    </row>
    <row r="262" spans="1:7" x14ac:dyDescent="0.3">
      <c r="A262" s="1">
        <v>45995.79168396991</v>
      </c>
      <c r="B262" s="4">
        <v>1.06</v>
      </c>
      <c r="C262" s="7">
        <f t="shared" si="4"/>
        <v>11.011885162702667</v>
      </c>
      <c r="D262" s="9">
        <v>0</v>
      </c>
      <c r="E262" s="11">
        <v>1.5</v>
      </c>
      <c r="F262" s="11">
        <v>3</v>
      </c>
      <c r="G262" s="11">
        <v>4.5</v>
      </c>
    </row>
    <row r="263" spans="1:7" x14ac:dyDescent="0.3">
      <c r="A263" s="1">
        <v>45995.833350752313</v>
      </c>
      <c r="B263" s="4">
        <v>1.04</v>
      </c>
      <c r="C263" s="7">
        <f t="shared" si="4"/>
        <v>10.609147252958214</v>
      </c>
      <c r="D263" s="9">
        <v>0</v>
      </c>
      <c r="E263" s="11">
        <v>1.5</v>
      </c>
      <c r="F263" s="11">
        <v>3</v>
      </c>
      <c r="G263" s="11">
        <v>4.5</v>
      </c>
    </row>
    <row r="264" spans="1:7" x14ac:dyDescent="0.3">
      <c r="A264" s="1">
        <v>45995.875017534723</v>
      </c>
      <c r="B264" s="4">
        <v>1.02</v>
      </c>
      <c r="C264" s="7">
        <f t="shared" si="4"/>
        <v>10.216161650359053</v>
      </c>
      <c r="D264" s="9">
        <v>0</v>
      </c>
      <c r="E264" s="11">
        <v>1.5</v>
      </c>
      <c r="F264" s="11">
        <v>3</v>
      </c>
      <c r="G264" s="11">
        <v>4.5</v>
      </c>
    </row>
    <row r="265" spans="1:7" x14ac:dyDescent="0.3">
      <c r="A265" s="1">
        <v>45995.916684317126</v>
      </c>
      <c r="B265" s="4">
        <v>1.01</v>
      </c>
      <c r="C265" s="7">
        <f t="shared" si="4"/>
        <v>10.023290818310722</v>
      </c>
      <c r="D265" s="9">
        <v>0</v>
      </c>
      <c r="E265" s="11">
        <v>1.5</v>
      </c>
      <c r="F265" s="11">
        <v>3</v>
      </c>
      <c r="G265" s="11">
        <v>4.5</v>
      </c>
    </row>
    <row r="266" spans="1:7" x14ac:dyDescent="0.3">
      <c r="A266" s="1">
        <v>45995.958351099536</v>
      </c>
      <c r="B266" s="4">
        <v>1</v>
      </c>
      <c r="C266" s="7">
        <f t="shared" si="4"/>
        <v>9.8328158671958725</v>
      </c>
      <c r="D266" s="9">
        <v>0</v>
      </c>
      <c r="E266" s="11">
        <v>1.5</v>
      </c>
      <c r="F266" s="11">
        <v>3</v>
      </c>
      <c r="G266" s="11">
        <v>4.5</v>
      </c>
    </row>
    <row r="267" spans="1:7" x14ac:dyDescent="0.3">
      <c r="A267" s="1">
        <v>45996.000017881946</v>
      </c>
      <c r="B267" s="4">
        <v>1</v>
      </c>
      <c r="C267" s="7">
        <f t="shared" si="4"/>
        <v>9.8328158671958725</v>
      </c>
      <c r="D267" s="9">
        <v>0</v>
      </c>
      <c r="E267" s="11">
        <v>1.5</v>
      </c>
      <c r="F267" s="11">
        <v>3</v>
      </c>
      <c r="G267" s="11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WL &amp; Q</vt:lpstr>
      <vt:lpstr>RF</vt:lpstr>
      <vt:lpstr>Daily RF</vt:lpstr>
      <vt:lpstr>Hanwella</vt:lpstr>
      <vt:lpstr>Glencourse</vt:lpstr>
      <vt:lpstr>Kithulgala</vt:lpstr>
      <vt:lpstr>Holombuwa</vt:lpstr>
      <vt:lpstr>Deraniyagala</vt:lpstr>
      <vt:lpstr>Norwood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2025-12-03T06:32:47Z</dcterms:created>
  <dcterms:modified xsi:type="dcterms:W3CDTF">2026-04-30T05:35:41Z</dcterms:modified>
</cp:coreProperties>
</file>