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ALL BASIN DATA\KELANI GANGA BASIN\KELANI RIVER FLOOD EVENTS\"/>
    </mc:Choice>
  </mc:AlternateContent>
  <xr:revisionPtr revIDLastSave="0" documentId="13_ncr:1_{A278D144-55C2-4A78-8C2F-F1024B30CD3C}" xr6:coauthVersionLast="47" xr6:coauthVersionMax="47" xr10:uidLastSave="{00000000-0000-0000-0000-000000000000}"/>
  <bookViews>
    <workbookView xWindow="-108" yWindow="-108" windowWidth="23256" windowHeight="13896" tabRatio="647" xr2:uid="{142187B3-BCA6-4A97-94FE-A3DA79FB59BF}"/>
  </bookViews>
  <sheets>
    <sheet name="WL &amp; Q" sheetId="1" r:id="rId1"/>
    <sheet name="Daily RF" sheetId="4" r:id="rId2"/>
    <sheet name="Hanwella" sheetId="3" r:id="rId3"/>
    <sheet name="Glencourse" sheetId="5" r:id="rId4"/>
    <sheet name="Kithulgala" sheetId="7" r:id="rId5"/>
    <sheet name="Holombuwa" sheetId="8" r:id="rId6"/>
    <sheet name="Deraniyagala" sheetId="9" r:id="rId7"/>
    <sheet name="Norwoo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J4" i="3"/>
  <c r="K4" i="3"/>
  <c r="K4" i="10" s="1"/>
  <c r="L4" i="3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T133" i="1"/>
  <c r="D133" i="10" s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D160" i="7"/>
  <c r="D155" i="7"/>
  <c r="D151" i="7"/>
  <c r="D150" i="7"/>
  <c r="D149" i="7"/>
  <c r="D148" i="7"/>
  <c r="D143" i="7"/>
  <c r="D139" i="7"/>
  <c r="D138" i="7"/>
  <c r="D137" i="7"/>
  <c r="D136" i="7"/>
  <c r="D131" i="7"/>
  <c r="D127" i="7"/>
  <c r="D126" i="7"/>
  <c r="D125" i="7"/>
  <c r="D124" i="7"/>
  <c r="D119" i="7"/>
  <c r="D115" i="7"/>
  <c r="D114" i="7"/>
  <c r="D113" i="7"/>
  <c r="D112" i="7"/>
  <c r="D107" i="7"/>
  <c r="D103" i="7"/>
  <c r="D102" i="7"/>
  <c r="D101" i="7"/>
  <c r="D100" i="7"/>
  <c r="D95" i="7"/>
  <c r="D91" i="7"/>
  <c r="D90" i="7"/>
  <c r="D89" i="7"/>
  <c r="D88" i="7"/>
  <c r="D83" i="7"/>
  <c r="D79" i="7"/>
  <c r="D78" i="7"/>
  <c r="D77" i="7"/>
  <c r="D76" i="7"/>
  <c r="D71" i="7"/>
  <c r="D67" i="7"/>
  <c r="D66" i="7"/>
  <c r="D65" i="7"/>
  <c r="D64" i="7"/>
  <c r="D59" i="7"/>
  <c r="D55" i="7"/>
  <c r="D54" i="7"/>
  <c r="D53" i="7"/>
  <c r="D52" i="7"/>
  <c r="D47" i="7"/>
  <c r="D43" i="7"/>
  <c r="D42" i="7"/>
  <c r="D41" i="7"/>
  <c r="D40" i="7"/>
  <c r="D35" i="7"/>
  <c r="D31" i="7"/>
  <c r="D30" i="7"/>
  <c r="D29" i="7"/>
  <c r="D28" i="7"/>
  <c r="D23" i="7"/>
  <c r="D19" i="7"/>
  <c r="D18" i="7"/>
  <c r="D17" i="7"/>
  <c r="D16" i="7"/>
  <c r="D11" i="7"/>
  <c r="D7" i="7"/>
  <c r="D6" i="7"/>
  <c r="J5" i="1"/>
  <c r="D5" i="7" s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5" i="10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5" i="9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5" i="8"/>
  <c r="D8" i="7"/>
  <c r="D9" i="7"/>
  <c r="D10" i="7"/>
  <c r="D12" i="7"/>
  <c r="D13" i="7"/>
  <c r="D14" i="7"/>
  <c r="D15" i="7"/>
  <c r="D20" i="7"/>
  <c r="D21" i="7"/>
  <c r="D22" i="7"/>
  <c r="D24" i="7"/>
  <c r="D25" i="7"/>
  <c r="D26" i="7"/>
  <c r="D27" i="7"/>
  <c r="D32" i="7"/>
  <c r="D33" i="7"/>
  <c r="D34" i="7"/>
  <c r="D36" i="7"/>
  <c r="D37" i="7"/>
  <c r="D38" i="7"/>
  <c r="D39" i="7"/>
  <c r="D44" i="7"/>
  <c r="D45" i="7"/>
  <c r="D46" i="7"/>
  <c r="D48" i="7"/>
  <c r="D49" i="7"/>
  <c r="D50" i="7"/>
  <c r="D51" i="7"/>
  <c r="D56" i="7"/>
  <c r="D57" i="7"/>
  <c r="D58" i="7"/>
  <c r="D60" i="7"/>
  <c r="D61" i="7"/>
  <c r="D62" i="7"/>
  <c r="D63" i="7"/>
  <c r="D68" i="7"/>
  <c r="D69" i="7"/>
  <c r="D70" i="7"/>
  <c r="D72" i="7"/>
  <c r="D73" i="7"/>
  <c r="D74" i="7"/>
  <c r="D75" i="7"/>
  <c r="D80" i="7"/>
  <c r="D81" i="7"/>
  <c r="D82" i="7"/>
  <c r="D84" i="7"/>
  <c r="D85" i="7"/>
  <c r="D86" i="7"/>
  <c r="D87" i="7"/>
  <c r="D92" i="7"/>
  <c r="D93" i="7"/>
  <c r="D94" i="7"/>
  <c r="D96" i="7"/>
  <c r="D97" i="7"/>
  <c r="D98" i="7"/>
  <c r="D99" i="7"/>
  <c r="D104" i="7"/>
  <c r="D105" i="7"/>
  <c r="D106" i="7"/>
  <c r="D108" i="7"/>
  <c r="D109" i="7"/>
  <c r="D110" i="7"/>
  <c r="D111" i="7"/>
  <c r="D116" i="7"/>
  <c r="D117" i="7"/>
  <c r="D118" i="7"/>
  <c r="D120" i="7"/>
  <c r="D121" i="7"/>
  <c r="D122" i="7"/>
  <c r="D123" i="7"/>
  <c r="D128" i="7"/>
  <c r="D129" i="7"/>
  <c r="D130" i="7"/>
  <c r="D132" i="7"/>
  <c r="D133" i="7"/>
  <c r="D134" i="7"/>
  <c r="D135" i="7"/>
  <c r="D140" i="7"/>
  <c r="D141" i="7"/>
  <c r="D142" i="7"/>
  <c r="D144" i="7"/>
  <c r="D145" i="7"/>
  <c r="D146" i="7"/>
  <c r="D147" i="7"/>
  <c r="D152" i="7"/>
  <c r="D153" i="7"/>
  <c r="D154" i="7"/>
  <c r="D156" i="7"/>
  <c r="D157" i="7"/>
  <c r="D158" i="7"/>
  <c r="D159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5" i="5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5" i="3"/>
  <c r="M4" i="10"/>
  <c r="L4" i="10"/>
  <c r="J4" i="10"/>
  <c r="M3" i="10"/>
  <c r="L3" i="10"/>
  <c r="K3" i="10"/>
  <c r="J3" i="10"/>
  <c r="M4" i="9"/>
  <c r="L4" i="9"/>
  <c r="K4" i="9"/>
  <c r="J4" i="9"/>
  <c r="M3" i="9"/>
  <c r="L3" i="9"/>
  <c r="K3" i="9"/>
  <c r="J3" i="9"/>
  <c r="M4" i="8"/>
  <c r="L4" i="8"/>
  <c r="J4" i="8"/>
  <c r="M3" i="8"/>
  <c r="L3" i="8"/>
  <c r="K3" i="8"/>
  <c r="J3" i="8"/>
  <c r="M4" i="7"/>
  <c r="L4" i="7"/>
  <c r="K4" i="7"/>
  <c r="J4" i="7"/>
  <c r="M3" i="7"/>
  <c r="L3" i="7"/>
  <c r="K3" i="7"/>
  <c r="J3" i="7"/>
  <c r="J4" i="5"/>
  <c r="K4" i="5"/>
  <c r="L4" i="5"/>
  <c r="M4" i="5"/>
  <c r="K3" i="5"/>
  <c r="L3" i="5"/>
  <c r="M3" i="5"/>
  <c r="J3" i="5"/>
  <c r="B5" i="3"/>
  <c r="C5" i="3" s="1"/>
  <c r="B6" i="3"/>
  <c r="C6" i="3" s="1"/>
  <c r="B7" i="3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C16" i="3" s="1"/>
  <c r="B17" i="3"/>
  <c r="C17" i="3" s="1"/>
  <c r="B18" i="3"/>
  <c r="C18" i="3" s="1"/>
  <c r="B19" i="3"/>
  <c r="B20" i="3"/>
  <c r="B21" i="3"/>
  <c r="C21" i="3" s="1"/>
  <c r="B22" i="3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B33" i="3"/>
  <c r="B34" i="3"/>
  <c r="C34" i="3" s="1"/>
  <c r="B35" i="3"/>
  <c r="C35" i="3" s="1"/>
  <c r="B36" i="3"/>
  <c r="C36" i="3" s="1"/>
  <c r="B37" i="3"/>
  <c r="C37" i="3" s="1"/>
  <c r="B38" i="3"/>
  <c r="C38" i="3" s="1"/>
  <c r="B39" i="3"/>
  <c r="C39" i="3" s="1"/>
  <c r="B40" i="3"/>
  <c r="C40" i="3" s="1"/>
  <c r="B41" i="3"/>
  <c r="C41" i="3" s="1"/>
  <c r="B42" i="3"/>
  <c r="C42" i="3" s="1"/>
  <c r="B43" i="3"/>
  <c r="B44" i="3"/>
  <c r="B45" i="3"/>
  <c r="C45" i="3" s="1"/>
  <c r="B46" i="3"/>
  <c r="C46" i="3" s="1"/>
  <c r="B47" i="3"/>
  <c r="C47" i="3" s="1"/>
  <c r="B48" i="3"/>
  <c r="C48" i="3" s="1"/>
  <c r="B49" i="3"/>
  <c r="C49" i="3" s="1"/>
  <c r="B50" i="3"/>
  <c r="C50" i="3" s="1"/>
  <c r="B51" i="3"/>
  <c r="C51" i="3" s="1"/>
  <c r="B52" i="3"/>
  <c r="C52" i="3" s="1"/>
  <c r="B53" i="3"/>
  <c r="C53" i="3" s="1"/>
  <c r="B54" i="3"/>
  <c r="C54" i="3" s="1"/>
  <c r="B55" i="3"/>
  <c r="B56" i="3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4" i="3"/>
  <c r="C64" i="3" s="1"/>
  <c r="B65" i="3"/>
  <c r="C65" i="3" s="1"/>
  <c r="B66" i="3"/>
  <c r="C66" i="3" s="1"/>
  <c r="B67" i="3"/>
  <c r="B68" i="3"/>
  <c r="C68" i="3" s="1"/>
  <c r="B69" i="3"/>
  <c r="B70" i="3"/>
  <c r="B71" i="3"/>
  <c r="C71" i="3" s="1"/>
  <c r="B72" i="3"/>
  <c r="C72" i="3" s="1"/>
  <c r="B73" i="3"/>
  <c r="C73" i="3" s="1"/>
  <c r="B74" i="3"/>
  <c r="C74" i="3" s="1"/>
  <c r="B75" i="3"/>
  <c r="C75" i="3" s="1"/>
  <c r="B76" i="3"/>
  <c r="C76" i="3" s="1"/>
  <c r="B77" i="3"/>
  <c r="C77" i="3" s="1"/>
  <c r="B78" i="3"/>
  <c r="C78" i="3" s="1"/>
  <c r="B79" i="3"/>
  <c r="C79" i="3" s="1"/>
  <c r="B80" i="3"/>
  <c r="B81" i="3"/>
  <c r="C81" i="3" s="1"/>
  <c r="B82" i="3"/>
  <c r="C82" i="3" s="1"/>
  <c r="B83" i="3"/>
  <c r="B84" i="3"/>
  <c r="C84" i="3" s="1"/>
  <c r="B85" i="3"/>
  <c r="C85" i="3" s="1"/>
  <c r="B86" i="3"/>
  <c r="C86" i="3" s="1"/>
  <c r="B87" i="3"/>
  <c r="C87" i="3" s="1"/>
  <c r="B88" i="3"/>
  <c r="C88" i="3" s="1"/>
  <c r="B89" i="3"/>
  <c r="C89" i="3" s="1"/>
  <c r="B90" i="3"/>
  <c r="C90" i="3" s="1"/>
  <c r="B91" i="3"/>
  <c r="C91" i="3" s="1"/>
  <c r="B92" i="3"/>
  <c r="C92" i="3" s="1"/>
  <c r="B93" i="3"/>
  <c r="B94" i="3"/>
  <c r="C94" i="3" s="1"/>
  <c r="B95" i="3"/>
  <c r="C95" i="3" s="1"/>
  <c r="B96" i="3"/>
  <c r="C96" i="3" s="1"/>
  <c r="B97" i="3"/>
  <c r="C97" i="3" s="1"/>
  <c r="B98" i="3"/>
  <c r="C98" i="3" s="1"/>
  <c r="B99" i="3"/>
  <c r="C99" i="3" s="1"/>
  <c r="B100" i="3"/>
  <c r="C100" i="3" s="1"/>
  <c r="B101" i="3"/>
  <c r="C101" i="3" s="1"/>
  <c r="B102" i="3"/>
  <c r="C102" i="3" s="1"/>
  <c r="B103" i="3"/>
  <c r="B104" i="3"/>
  <c r="C104" i="3" s="1"/>
  <c r="B105" i="3"/>
  <c r="C105" i="3" s="1"/>
  <c r="B106" i="3"/>
  <c r="B107" i="3"/>
  <c r="C107" i="3" s="1"/>
  <c r="B108" i="3"/>
  <c r="C108" i="3" s="1"/>
  <c r="B109" i="3"/>
  <c r="C109" i="3" s="1"/>
  <c r="B110" i="3"/>
  <c r="C110" i="3" s="1"/>
  <c r="B111" i="3"/>
  <c r="C111" i="3" s="1"/>
  <c r="B112" i="3"/>
  <c r="C112" i="3" s="1"/>
  <c r="B113" i="3"/>
  <c r="C113" i="3" s="1"/>
  <c r="B114" i="3"/>
  <c r="C114" i="3" s="1"/>
  <c r="B115" i="3"/>
  <c r="B116" i="3"/>
  <c r="B117" i="3"/>
  <c r="C117" i="3" s="1"/>
  <c r="B118" i="3"/>
  <c r="C118" i="3" s="1"/>
  <c r="B119" i="3"/>
  <c r="C119" i="3" s="1"/>
  <c r="B120" i="3"/>
  <c r="C120" i="3" s="1"/>
  <c r="B121" i="3"/>
  <c r="C121" i="3" s="1"/>
  <c r="B122" i="3"/>
  <c r="C122" i="3" s="1"/>
  <c r="B123" i="3"/>
  <c r="C123" i="3" s="1"/>
  <c r="B124" i="3"/>
  <c r="C124" i="3" s="1"/>
  <c r="B125" i="3"/>
  <c r="C125" i="3" s="1"/>
  <c r="B126" i="3"/>
  <c r="C126" i="3" s="1"/>
  <c r="B127" i="3"/>
  <c r="C127" i="3" s="1"/>
  <c r="B128" i="3"/>
  <c r="C128" i="3" s="1"/>
  <c r="B129" i="3"/>
  <c r="C129" i="3" s="1"/>
  <c r="B130" i="3"/>
  <c r="C130" i="3" s="1"/>
  <c r="B131" i="3"/>
  <c r="C131" i="3" s="1"/>
  <c r="B132" i="3"/>
  <c r="C132" i="3" s="1"/>
  <c r="B133" i="3"/>
  <c r="C133" i="3" s="1"/>
  <c r="B134" i="3"/>
  <c r="C134" i="3" s="1"/>
  <c r="B135" i="3"/>
  <c r="C135" i="3" s="1"/>
  <c r="B136" i="3"/>
  <c r="C136" i="3" s="1"/>
  <c r="B137" i="3"/>
  <c r="C137" i="3" s="1"/>
  <c r="B138" i="3"/>
  <c r="C138" i="3" s="1"/>
  <c r="B139" i="3"/>
  <c r="C139" i="3" s="1"/>
  <c r="B140" i="3"/>
  <c r="B141" i="3"/>
  <c r="C141" i="3" s="1"/>
  <c r="B142" i="3"/>
  <c r="B143" i="3"/>
  <c r="B144" i="3"/>
  <c r="C144" i="3" s="1"/>
  <c r="B145" i="3"/>
  <c r="C145" i="3" s="1"/>
  <c r="B146" i="3"/>
  <c r="C146" i="3" s="1"/>
  <c r="B147" i="3"/>
  <c r="C147" i="3" s="1"/>
  <c r="B148" i="3"/>
  <c r="C148" i="3" s="1"/>
  <c r="B149" i="3"/>
  <c r="C149" i="3" s="1"/>
  <c r="B150" i="3"/>
  <c r="C150" i="3" s="1"/>
  <c r="B151" i="3"/>
  <c r="B152" i="3"/>
  <c r="B153" i="3"/>
  <c r="B154" i="3"/>
  <c r="B155" i="3"/>
  <c r="B156" i="3"/>
  <c r="B157" i="3"/>
  <c r="C157" i="3" s="1"/>
  <c r="B158" i="3"/>
  <c r="C158" i="3" s="1"/>
  <c r="B159" i="3"/>
  <c r="C159" i="3" s="1"/>
  <c r="B160" i="3"/>
  <c r="C160" i="3" s="1"/>
  <c r="B161" i="3"/>
  <c r="C161" i="3" s="1"/>
  <c r="B162" i="3"/>
  <c r="B163" i="3"/>
  <c r="B164" i="3"/>
  <c r="B165" i="3"/>
  <c r="C165" i="3" s="1"/>
  <c r="B166" i="3"/>
  <c r="B167" i="3"/>
  <c r="C167" i="3" s="1"/>
  <c r="B168" i="3"/>
  <c r="C168" i="3" s="1"/>
  <c r="B169" i="3"/>
  <c r="C169" i="3" s="1"/>
  <c r="B170" i="3"/>
  <c r="C170" i="3" s="1"/>
  <c r="B171" i="3"/>
  <c r="C171" i="3" s="1"/>
  <c r="B172" i="3"/>
  <c r="C172" i="3" s="1"/>
  <c r="B173" i="3"/>
  <c r="C173" i="3" s="1"/>
  <c r="B174" i="3"/>
  <c r="B175" i="3"/>
  <c r="B176" i="3"/>
  <c r="B177" i="3"/>
  <c r="C177" i="3" s="1"/>
  <c r="B178" i="3"/>
  <c r="C178" i="3" s="1"/>
  <c r="B179" i="3"/>
  <c r="C179" i="3" s="1"/>
  <c r="B180" i="3"/>
  <c r="C180" i="3" s="1"/>
  <c r="B181" i="3"/>
  <c r="C181" i="3" s="1"/>
  <c r="B182" i="3"/>
  <c r="C182" i="3" s="1"/>
  <c r="B183" i="3"/>
  <c r="C183" i="3" s="1"/>
  <c r="B184" i="3"/>
  <c r="C184" i="3" s="1"/>
  <c r="B185" i="3"/>
  <c r="C185" i="3" s="1"/>
  <c r="B186" i="3"/>
  <c r="C186" i="3" s="1"/>
  <c r="B187" i="3"/>
  <c r="B188" i="3"/>
  <c r="C188" i="3" s="1"/>
  <c r="B189" i="3"/>
  <c r="B190" i="3"/>
  <c r="C190" i="3" s="1"/>
  <c r="B191" i="3"/>
  <c r="B192" i="3"/>
  <c r="B193" i="3"/>
  <c r="C193" i="3" s="1"/>
  <c r="B194" i="3"/>
  <c r="C194" i="3" s="1"/>
  <c r="B195" i="3"/>
  <c r="C195" i="3" s="1"/>
  <c r="B196" i="3"/>
  <c r="C196" i="3" s="1"/>
  <c r="B197" i="3"/>
  <c r="C197" i="3" s="1"/>
  <c r="B198" i="3"/>
  <c r="B199" i="3"/>
  <c r="B200" i="3"/>
  <c r="B201" i="3"/>
  <c r="B202" i="3"/>
  <c r="C202" i="3" s="1"/>
  <c r="B203" i="3"/>
  <c r="C203" i="3" s="1"/>
  <c r="B204" i="3"/>
  <c r="C204" i="3" s="1"/>
  <c r="B205" i="3"/>
  <c r="C205" i="3" s="1"/>
  <c r="B206" i="3"/>
  <c r="C206" i="3" s="1"/>
  <c r="B207" i="3"/>
  <c r="C207" i="3" s="1"/>
  <c r="B208" i="3"/>
  <c r="C208" i="3" s="1"/>
  <c r="B209" i="3"/>
  <c r="C209" i="3" s="1"/>
  <c r="B210" i="3"/>
  <c r="B211" i="3"/>
  <c r="B212" i="3"/>
  <c r="B213" i="3"/>
  <c r="C213" i="3" s="1"/>
  <c r="B214" i="3"/>
  <c r="C214" i="3" s="1"/>
  <c r="B215" i="3"/>
  <c r="B216" i="3"/>
  <c r="C216" i="3" s="1"/>
  <c r="B217" i="3"/>
  <c r="C217" i="3" s="1"/>
  <c r="B218" i="3"/>
  <c r="C218" i="3" s="1"/>
  <c r="B219" i="3"/>
  <c r="B220" i="3"/>
  <c r="B221" i="3"/>
  <c r="C221" i="3" s="1"/>
  <c r="B222" i="3"/>
  <c r="B223" i="3"/>
  <c r="B224" i="3"/>
  <c r="B225" i="3"/>
  <c r="B226" i="3"/>
  <c r="C226" i="3" s="1"/>
  <c r="B227" i="3"/>
  <c r="B228" i="3"/>
  <c r="C228" i="3" s="1"/>
  <c r="B229" i="3"/>
  <c r="C229" i="3" s="1"/>
  <c r="B230" i="3"/>
  <c r="C230" i="3" s="1"/>
  <c r="B231" i="3"/>
  <c r="C231" i="3" s="1"/>
  <c r="B232" i="3"/>
  <c r="C232" i="3" s="1"/>
  <c r="B233" i="3"/>
  <c r="C233" i="3" s="1"/>
  <c r="B234" i="3"/>
  <c r="C234" i="3" s="1"/>
  <c r="B235" i="3"/>
  <c r="B236" i="3"/>
  <c r="B237" i="3"/>
  <c r="B238" i="3"/>
  <c r="C238" i="3" s="1"/>
  <c r="B239" i="3"/>
  <c r="C239" i="3" s="1"/>
  <c r="B240" i="3"/>
  <c r="C240" i="3" s="1"/>
  <c r="B241" i="3"/>
  <c r="C241" i="3" s="1"/>
  <c r="B242" i="3"/>
  <c r="C242" i="3" s="1"/>
  <c r="B243" i="3"/>
  <c r="C243" i="3" s="1"/>
  <c r="B244" i="3"/>
  <c r="B245" i="3"/>
  <c r="C245" i="3" s="1"/>
  <c r="B246" i="3"/>
  <c r="C246" i="3" s="1"/>
  <c r="B247" i="3"/>
  <c r="B248" i="3"/>
  <c r="C248" i="3" s="1"/>
  <c r="B249" i="3"/>
  <c r="B250" i="3"/>
  <c r="C250" i="3" s="1"/>
  <c r="B251" i="3"/>
  <c r="C251" i="3" s="1"/>
  <c r="B252" i="3"/>
  <c r="C252" i="3" s="1"/>
  <c r="B253" i="3"/>
  <c r="C253" i="3" s="1"/>
  <c r="B254" i="3"/>
  <c r="C254" i="3" s="1"/>
  <c r="B255" i="3"/>
  <c r="C255" i="3" s="1"/>
  <c r="B256" i="3"/>
  <c r="C256" i="3" s="1"/>
  <c r="B257" i="3"/>
  <c r="C257" i="3" s="1"/>
  <c r="B258" i="3"/>
  <c r="B259" i="3"/>
  <c r="B260" i="3"/>
  <c r="B261" i="3"/>
  <c r="B262" i="3"/>
  <c r="C262" i="3" s="1"/>
  <c r="B263" i="3"/>
  <c r="C263" i="3" s="1"/>
  <c r="B264" i="3"/>
  <c r="C264" i="3" s="1"/>
  <c r="B265" i="3"/>
  <c r="C265" i="3" s="1"/>
  <c r="B266" i="3"/>
  <c r="C266" i="3" s="1"/>
  <c r="B267" i="3"/>
  <c r="C267" i="3" s="1"/>
  <c r="B268" i="3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B18" i="9"/>
  <c r="B19" i="9"/>
  <c r="C19" i="9" s="1"/>
  <c r="B20" i="9"/>
  <c r="C20" i="9" s="1"/>
  <c r="B21" i="9"/>
  <c r="C21" i="9" s="1"/>
  <c r="B22" i="9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B43" i="9"/>
  <c r="B44" i="9"/>
  <c r="C44" i="9" s="1"/>
  <c r="B45" i="9"/>
  <c r="C45" i="9" s="1"/>
  <c r="B46" i="9"/>
  <c r="B47" i="9"/>
  <c r="B48" i="9"/>
  <c r="C48" i="9" s="1"/>
  <c r="B49" i="9"/>
  <c r="C49" i="9" s="1"/>
  <c r="B50" i="9"/>
  <c r="C50" i="9" s="1"/>
  <c r="B51" i="9"/>
  <c r="C51" i="9" s="1"/>
  <c r="B52" i="9"/>
  <c r="C52" i="9" s="1"/>
  <c r="B53" i="9"/>
  <c r="B54" i="9"/>
  <c r="C54" i="9" s="1"/>
  <c r="B55" i="9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77" i="9"/>
  <c r="B78" i="9"/>
  <c r="C78" i="9" s="1"/>
  <c r="B79" i="9"/>
  <c r="C79" i="9" s="1"/>
  <c r="B80" i="9"/>
  <c r="C80" i="9" s="1"/>
  <c r="B81" i="9"/>
  <c r="C81" i="9" s="1"/>
  <c r="B82" i="9"/>
  <c r="C82" i="9" s="1"/>
  <c r="B83" i="9"/>
  <c r="C83" i="9" s="1"/>
  <c r="B84" i="9"/>
  <c r="C84" i="9" s="1"/>
  <c r="B85" i="9"/>
  <c r="C85" i="9" s="1"/>
  <c r="B86" i="9"/>
  <c r="C86" i="9" s="1"/>
  <c r="B87" i="9"/>
  <c r="C87" i="9" s="1"/>
  <c r="B88" i="9"/>
  <c r="C88" i="9" s="1"/>
  <c r="B89" i="9"/>
  <c r="C89" i="9" s="1"/>
  <c r="B90" i="9"/>
  <c r="C90" i="9" s="1"/>
  <c r="B91" i="9"/>
  <c r="C91" i="9" s="1"/>
  <c r="B92" i="9"/>
  <c r="C92" i="9" s="1"/>
  <c r="B93" i="9"/>
  <c r="C93" i="9" s="1"/>
  <c r="B94" i="9"/>
  <c r="C94" i="9" s="1"/>
  <c r="B95" i="9"/>
  <c r="C95" i="9" s="1"/>
  <c r="B96" i="9"/>
  <c r="C96" i="9" s="1"/>
  <c r="B97" i="9"/>
  <c r="C97" i="9" s="1"/>
  <c r="B98" i="9"/>
  <c r="C98" i="9" s="1"/>
  <c r="B99" i="9"/>
  <c r="C99" i="9" s="1"/>
  <c r="B100" i="9"/>
  <c r="C100" i="9" s="1"/>
  <c r="B101" i="9"/>
  <c r="C101" i="9" s="1"/>
  <c r="B102" i="9"/>
  <c r="C102" i="9" s="1"/>
  <c r="B103" i="9"/>
  <c r="C103" i="9" s="1"/>
  <c r="B104" i="9"/>
  <c r="C104" i="9" s="1"/>
  <c r="B105" i="9"/>
  <c r="C105" i="9" s="1"/>
  <c r="B106" i="9"/>
  <c r="C106" i="9" s="1"/>
  <c r="B107" i="9"/>
  <c r="C107" i="9" s="1"/>
  <c r="B108" i="9"/>
  <c r="C108" i="9" s="1"/>
  <c r="B109" i="9"/>
  <c r="C109" i="9" s="1"/>
  <c r="B110" i="9"/>
  <c r="C110" i="9" s="1"/>
  <c r="B111" i="9"/>
  <c r="C111" i="9" s="1"/>
  <c r="B112" i="9"/>
  <c r="C112" i="9" s="1"/>
  <c r="B113" i="9"/>
  <c r="C113" i="9" s="1"/>
  <c r="B114" i="9"/>
  <c r="B115" i="9"/>
  <c r="B116" i="9"/>
  <c r="C116" i="9" s="1"/>
  <c r="B117" i="9"/>
  <c r="C117" i="9" s="1"/>
  <c r="B118" i="9"/>
  <c r="C118" i="9" s="1"/>
  <c r="B119" i="9"/>
  <c r="C119" i="9" s="1"/>
  <c r="B120" i="9"/>
  <c r="C120" i="9" s="1"/>
  <c r="B121" i="9"/>
  <c r="C121" i="9" s="1"/>
  <c r="B122" i="9"/>
  <c r="C122" i="9" s="1"/>
  <c r="B123" i="9"/>
  <c r="C123" i="9" s="1"/>
  <c r="B124" i="9"/>
  <c r="C124" i="9" s="1"/>
  <c r="B125" i="9"/>
  <c r="C125" i="9" s="1"/>
  <c r="B126" i="9"/>
  <c r="C126" i="9" s="1"/>
  <c r="B127" i="9"/>
  <c r="C127" i="9" s="1"/>
  <c r="B128" i="9"/>
  <c r="C128" i="9" s="1"/>
  <c r="B129" i="9"/>
  <c r="C129" i="9" s="1"/>
  <c r="B130" i="9"/>
  <c r="B131" i="9"/>
  <c r="B132" i="9"/>
  <c r="C132" i="9" s="1"/>
  <c r="B133" i="9"/>
  <c r="C133" i="9" s="1"/>
  <c r="B134" i="9"/>
  <c r="C134" i="9" s="1"/>
  <c r="B135" i="9"/>
  <c r="C135" i="9" s="1"/>
  <c r="B136" i="9"/>
  <c r="C136" i="9" s="1"/>
  <c r="B137" i="9"/>
  <c r="B138" i="9"/>
  <c r="B139" i="9"/>
  <c r="C139" i="9" s="1"/>
  <c r="B140" i="9"/>
  <c r="B141" i="9"/>
  <c r="C141" i="9" s="1"/>
  <c r="B142" i="9"/>
  <c r="C142" i="9" s="1"/>
  <c r="B143" i="9"/>
  <c r="C143" i="9" s="1"/>
  <c r="B144" i="9"/>
  <c r="C144" i="9" s="1"/>
  <c r="B145" i="9"/>
  <c r="C145" i="9" s="1"/>
  <c r="B146" i="9"/>
  <c r="C146" i="9" s="1"/>
  <c r="B147" i="9"/>
  <c r="C147" i="9" s="1"/>
  <c r="B148" i="9"/>
  <c r="C148" i="9" s="1"/>
  <c r="B149" i="9"/>
  <c r="C149" i="9" s="1"/>
  <c r="B150" i="9"/>
  <c r="B151" i="9"/>
  <c r="C151" i="9" s="1"/>
  <c r="B152" i="9"/>
  <c r="C152" i="9" s="1"/>
  <c r="B153" i="9"/>
  <c r="C153" i="9" s="1"/>
  <c r="B154" i="9"/>
  <c r="B155" i="9"/>
  <c r="C155" i="9" s="1"/>
  <c r="B156" i="9"/>
  <c r="C156" i="9" s="1"/>
  <c r="B157" i="9"/>
  <c r="C157" i="9" s="1"/>
  <c r="B158" i="9"/>
  <c r="C158" i="9" s="1"/>
  <c r="B159" i="9"/>
  <c r="C159" i="9" s="1"/>
  <c r="B160" i="9"/>
  <c r="C160" i="9" s="1"/>
  <c r="B161" i="9"/>
  <c r="B162" i="9"/>
  <c r="B163" i="9"/>
  <c r="C163" i="9" s="1"/>
  <c r="B164" i="9"/>
  <c r="C164" i="9" s="1"/>
  <c r="B165" i="9"/>
  <c r="B166" i="9"/>
  <c r="C166" i="9" s="1"/>
  <c r="B167" i="9"/>
  <c r="C167" i="9" s="1"/>
  <c r="B168" i="9"/>
  <c r="C168" i="9" s="1"/>
  <c r="B169" i="9"/>
  <c r="C169" i="9" s="1"/>
  <c r="B170" i="9"/>
  <c r="C170" i="9" s="1"/>
  <c r="B171" i="9"/>
  <c r="C171" i="9" s="1"/>
  <c r="B172" i="9"/>
  <c r="C172" i="9" s="1"/>
  <c r="B173" i="9"/>
  <c r="C173" i="9" s="1"/>
  <c r="B174" i="9"/>
  <c r="C174" i="9" s="1"/>
  <c r="B175" i="9"/>
  <c r="C175" i="9" s="1"/>
  <c r="B176" i="9"/>
  <c r="B177" i="9"/>
  <c r="C177" i="9" s="1"/>
  <c r="B178" i="9"/>
  <c r="C178" i="9" s="1"/>
  <c r="B179" i="9"/>
  <c r="C179" i="9" s="1"/>
  <c r="B180" i="9"/>
  <c r="C180" i="9" s="1"/>
  <c r="B181" i="9"/>
  <c r="C181" i="9" s="1"/>
  <c r="B182" i="9"/>
  <c r="C182" i="9" s="1"/>
  <c r="B183" i="9"/>
  <c r="C183" i="9" s="1"/>
  <c r="B184" i="9"/>
  <c r="C184" i="9" s="1"/>
  <c r="B185" i="9"/>
  <c r="C185" i="9" s="1"/>
  <c r="B186" i="9"/>
  <c r="B187" i="9"/>
  <c r="C187" i="9" s="1"/>
  <c r="B188" i="9"/>
  <c r="B189" i="9"/>
  <c r="C189" i="9" s="1"/>
  <c r="B190" i="9"/>
  <c r="C190" i="9" s="1"/>
  <c r="B191" i="9"/>
  <c r="C191" i="9" s="1"/>
  <c r="B192" i="9"/>
  <c r="C192" i="9" s="1"/>
  <c r="B193" i="9"/>
  <c r="C193" i="9" s="1"/>
  <c r="B194" i="9"/>
  <c r="C194" i="9" s="1"/>
  <c r="B195" i="9"/>
  <c r="C195" i="9" s="1"/>
  <c r="B196" i="9"/>
  <c r="C196" i="9" s="1"/>
  <c r="B197" i="9"/>
  <c r="B198" i="9"/>
  <c r="B199" i="9"/>
  <c r="C199" i="9" s="1"/>
  <c r="B200" i="9"/>
  <c r="B201" i="9"/>
  <c r="C201" i="9" s="1"/>
  <c r="B202" i="9"/>
  <c r="C202" i="9" s="1"/>
  <c r="B203" i="9"/>
  <c r="C203" i="9" s="1"/>
  <c r="B204" i="9"/>
  <c r="C204" i="9" s="1"/>
  <c r="B205" i="9"/>
  <c r="C205" i="9" s="1"/>
  <c r="B206" i="9"/>
  <c r="C206" i="9" s="1"/>
  <c r="B207" i="9"/>
  <c r="C207" i="9" s="1"/>
  <c r="B208" i="9"/>
  <c r="C208" i="9" s="1"/>
  <c r="B209" i="9"/>
  <c r="C209" i="9" s="1"/>
  <c r="B210" i="9"/>
  <c r="B211" i="9"/>
  <c r="B212" i="9"/>
  <c r="C212" i="9" s="1"/>
  <c r="B213" i="9"/>
  <c r="C213" i="9" s="1"/>
  <c r="B214" i="9"/>
  <c r="B215" i="9"/>
  <c r="C215" i="9" s="1"/>
  <c r="B216" i="9"/>
  <c r="C216" i="9" s="1"/>
  <c r="B217" i="9"/>
  <c r="C217" i="9" s="1"/>
  <c r="B218" i="9"/>
  <c r="C218" i="9" s="1"/>
  <c r="B219" i="9"/>
  <c r="C219" i="9" s="1"/>
  <c r="B220" i="9"/>
  <c r="C220" i="9" s="1"/>
  <c r="B221" i="9"/>
  <c r="B222" i="9"/>
  <c r="C222" i="9" s="1"/>
  <c r="B223" i="9"/>
  <c r="C223" i="9" s="1"/>
  <c r="B224" i="9"/>
  <c r="B225" i="9"/>
  <c r="B226" i="9"/>
  <c r="B227" i="9"/>
  <c r="B228" i="9"/>
  <c r="C228" i="9" s="1"/>
  <c r="B229" i="9"/>
  <c r="C229" i="9" s="1"/>
  <c r="B230" i="9"/>
  <c r="C230" i="9" s="1"/>
  <c r="B231" i="9"/>
  <c r="C231" i="9" s="1"/>
  <c r="B232" i="9"/>
  <c r="C232" i="9" s="1"/>
  <c r="B233" i="9"/>
  <c r="C233" i="9" s="1"/>
  <c r="B234" i="9"/>
  <c r="C234" i="9" s="1"/>
  <c r="B235" i="9"/>
  <c r="B236" i="9"/>
  <c r="B237" i="9"/>
  <c r="B238" i="9"/>
  <c r="C238" i="9" s="1"/>
  <c r="B239" i="9"/>
  <c r="C239" i="9" s="1"/>
  <c r="B240" i="9"/>
  <c r="C240" i="9" s="1"/>
  <c r="B241" i="9"/>
  <c r="C241" i="9" s="1"/>
  <c r="B242" i="9"/>
  <c r="C242" i="9" s="1"/>
  <c r="B243" i="9"/>
  <c r="B244" i="9"/>
  <c r="C244" i="9" s="1"/>
  <c r="B245" i="9"/>
  <c r="C245" i="9" s="1"/>
  <c r="B246" i="9"/>
  <c r="C246" i="9" s="1"/>
  <c r="B247" i="9"/>
  <c r="B248" i="9"/>
  <c r="B249" i="9"/>
  <c r="C249" i="9" s="1"/>
  <c r="B250" i="9"/>
  <c r="C250" i="9" s="1"/>
  <c r="B251" i="9"/>
  <c r="C251" i="9" s="1"/>
  <c r="B252" i="9"/>
  <c r="C252" i="9" s="1"/>
  <c r="B253" i="9"/>
  <c r="C253" i="9" s="1"/>
  <c r="B254" i="9"/>
  <c r="C254" i="9" s="1"/>
  <c r="B255" i="9"/>
  <c r="C255" i="9" s="1"/>
  <c r="B256" i="9"/>
  <c r="C256" i="9" s="1"/>
  <c r="B257" i="9"/>
  <c r="C257" i="9" s="1"/>
  <c r="B258" i="9"/>
  <c r="B259" i="9"/>
  <c r="B260" i="9"/>
  <c r="C260" i="9" s="1"/>
  <c r="B261" i="9"/>
  <c r="C261" i="9" s="1"/>
  <c r="B262" i="9"/>
  <c r="C262" i="9" s="1"/>
  <c r="B263" i="9"/>
  <c r="C263" i="9" s="1"/>
  <c r="B264" i="9"/>
  <c r="C264" i="9" s="1"/>
  <c r="B265" i="9"/>
  <c r="C265" i="9" s="1"/>
  <c r="B266" i="9"/>
  <c r="C266" i="9" s="1"/>
  <c r="B267" i="9"/>
  <c r="C267" i="9" s="1"/>
  <c r="B268" i="9"/>
  <c r="C268" i="9" s="1"/>
  <c r="B5" i="9"/>
  <c r="C5" i="9" s="1"/>
  <c r="B6" i="8"/>
  <c r="B7" i="8"/>
  <c r="B8" i="8"/>
  <c r="C8" i="8" s="1"/>
  <c r="B9" i="8"/>
  <c r="C9" i="8" s="1"/>
  <c r="B10" i="8"/>
  <c r="C10" i="8" s="1"/>
  <c r="B11" i="8"/>
  <c r="C11" i="8" s="1"/>
  <c r="B12" i="8"/>
  <c r="C12" i="8" s="1"/>
  <c r="B13" i="8"/>
  <c r="C13" i="8" s="1"/>
  <c r="B14" i="8"/>
  <c r="C14" i="8" s="1"/>
  <c r="B15" i="8"/>
  <c r="B16" i="8"/>
  <c r="C16" i="8" s="1"/>
  <c r="B17" i="8"/>
  <c r="C17" i="8" s="1"/>
  <c r="B18" i="8"/>
  <c r="C18" i="8" s="1"/>
  <c r="B19" i="8"/>
  <c r="C19" i="8" s="1"/>
  <c r="B20" i="8"/>
  <c r="C20" i="8" s="1"/>
  <c r="B21" i="8"/>
  <c r="C21" i="8" s="1"/>
  <c r="B22" i="8"/>
  <c r="C22" i="8" s="1"/>
  <c r="B23" i="8"/>
  <c r="C23" i="8" s="1"/>
  <c r="B24" i="8"/>
  <c r="C24" i="8" s="1"/>
  <c r="B25" i="8"/>
  <c r="C25" i="8" s="1"/>
  <c r="B26" i="8"/>
  <c r="C26" i="8" s="1"/>
  <c r="B27" i="8"/>
  <c r="C27" i="8" s="1"/>
  <c r="B28" i="8"/>
  <c r="C28" i="8" s="1"/>
  <c r="B29" i="8"/>
  <c r="C29" i="8" s="1"/>
  <c r="B30" i="8"/>
  <c r="C30" i="8" s="1"/>
  <c r="B31" i="8"/>
  <c r="C31" i="8" s="1"/>
  <c r="B32" i="8"/>
  <c r="C32" i="8" s="1"/>
  <c r="B33" i="8"/>
  <c r="B34" i="8"/>
  <c r="C34" i="8" s="1"/>
  <c r="B35" i="8"/>
  <c r="C35" i="8" s="1"/>
  <c r="B36" i="8"/>
  <c r="C36" i="8" s="1"/>
  <c r="B37" i="8"/>
  <c r="C37" i="8" s="1"/>
  <c r="B38" i="8"/>
  <c r="C38" i="8" s="1"/>
  <c r="B39" i="8"/>
  <c r="C39" i="8" s="1"/>
  <c r="B40" i="8"/>
  <c r="C40" i="8" s="1"/>
  <c r="B41" i="8"/>
  <c r="C41" i="8" s="1"/>
  <c r="B42" i="8"/>
  <c r="B43" i="8"/>
  <c r="C43" i="8" s="1"/>
  <c r="B44" i="8"/>
  <c r="C44" i="8" s="1"/>
  <c r="B45" i="8"/>
  <c r="C45" i="8" s="1"/>
  <c r="B46" i="8"/>
  <c r="C46" i="8" s="1"/>
  <c r="B47" i="8"/>
  <c r="C47" i="8" s="1"/>
  <c r="B48" i="8"/>
  <c r="C48" i="8" s="1"/>
  <c r="B49" i="8"/>
  <c r="C49" i="8" s="1"/>
  <c r="B50" i="8"/>
  <c r="C50" i="8" s="1"/>
  <c r="B51" i="8"/>
  <c r="C51" i="8" s="1"/>
  <c r="B52" i="8"/>
  <c r="C52" i="8" s="1"/>
  <c r="B53" i="8"/>
  <c r="C53" i="8" s="1"/>
  <c r="B54" i="8"/>
  <c r="C54" i="8" s="1"/>
  <c r="B55" i="8"/>
  <c r="C55" i="8" s="1"/>
  <c r="B56" i="8"/>
  <c r="C56" i="8" s="1"/>
  <c r="B57" i="8"/>
  <c r="B58" i="8"/>
  <c r="C58" i="8" s="1"/>
  <c r="B59" i="8"/>
  <c r="C59" i="8" s="1"/>
  <c r="B60" i="8"/>
  <c r="C60" i="8" s="1"/>
  <c r="B61" i="8"/>
  <c r="C61" i="8" s="1"/>
  <c r="B62" i="8"/>
  <c r="C62" i="8" s="1"/>
  <c r="B63" i="8"/>
  <c r="C63" i="8" s="1"/>
  <c r="B64" i="8"/>
  <c r="C64" i="8" s="1"/>
  <c r="B65" i="8"/>
  <c r="C65" i="8" s="1"/>
  <c r="B66" i="8"/>
  <c r="B67" i="8"/>
  <c r="B68" i="8"/>
  <c r="B69" i="8"/>
  <c r="C69" i="8" s="1"/>
  <c r="B70" i="8"/>
  <c r="C70" i="8" s="1"/>
  <c r="B71" i="8"/>
  <c r="C71" i="8" s="1"/>
  <c r="B72" i="8"/>
  <c r="C72" i="8" s="1"/>
  <c r="B73" i="8"/>
  <c r="C73" i="8" s="1"/>
  <c r="B74" i="8"/>
  <c r="C74" i="8" s="1"/>
  <c r="B75" i="8"/>
  <c r="C75" i="8" s="1"/>
  <c r="B76" i="8"/>
  <c r="C76" i="8" s="1"/>
  <c r="B77" i="8"/>
  <c r="C77" i="8" s="1"/>
  <c r="B78" i="8"/>
  <c r="B79" i="8"/>
  <c r="C79" i="8" s="1"/>
  <c r="B80" i="8"/>
  <c r="C80" i="8" s="1"/>
  <c r="B81" i="8"/>
  <c r="C81" i="8" s="1"/>
  <c r="B82" i="8"/>
  <c r="C82" i="8" s="1"/>
  <c r="B83" i="8"/>
  <c r="C83" i="8" s="1"/>
  <c r="B84" i="8"/>
  <c r="C84" i="8" s="1"/>
  <c r="B85" i="8"/>
  <c r="C85" i="8" s="1"/>
  <c r="B86" i="8"/>
  <c r="C86" i="8" s="1"/>
  <c r="B87" i="8"/>
  <c r="C87" i="8" s="1"/>
  <c r="B88" i="8"/>
  <c r="C88" i="8" s="1"/>
  <c r="B89" i="8"/>
  <c r="C89" i="8" s="1"/>
  <c r="B90" i="8"/>
  <c r="B91" i="8"/>
  <c r="C91" i="8" s="1"/>
  <c r="B92" i="8"/>
  <c r="C92" i="8" s="1"/>
  <c r="B93" i="8"/>
  <c r="C93" i="8" s="1"/>
  <c r="B94" i="8"/>
  <c r="C94" i="8" s="1"/>
  <c r="B95" i="8"/>
  <c r="C95" i="8" s="1"/>
  <c r="B96" i="8"/>
  <c r="C96" i="8" s="1"/>
  <c r="B97" i="8"/>
  <c r="C97" i="8" s="1"/>
  <c r="B98" i="8"/>
  <c r="C98" i="8" s="1"/>
  <c r="B99" i="8"/>
  <c r="C99" i="8" s="1"/>
  <c r="B100" i="8"/>
  <c r="C100" i="8" s="1"/>
  <c r="B101" i="8"/>
  <c r="C101" i="8" s="1"/>
  <c r="B102" i="8"/>
  <c r="C102" i="8" s="1"/>
  <c r="B103" i="8"/>
  <c r="B104" i="8"/>
  <c r="B105" i="8"/>
  <c r="C105" i="8" s="1"/>
  <c r="B106" i="8"/>
  <c r="C106" i="8" s="1"/>
  <c r="B107" i="8"/>
  <c r="C107" i="8" s="1"/>
  <c r="B108" i="8"/>
  <c r="C108" i="8" s="1"/>
  <c r="B109" i="8"/>
  <c r="C109" i="8" s="1"/>
  <c r="B110" i="8"/>
  <c r="C110" i="8" s="1"/>
  <c r="B111" i="8"/>
  <c r="B112" i="8"/>
  <c r="C112" i="8" s="1"/>
  <c r="B113" i="8"/>
  <c r="C113" i="8" s="1"/>
  <c r="B114" i="8"/>
  <c r="C114" i="8" s="1"/>
  <c r="B115" i="8"/>
  <c r="C115" i="8" s="1"/>
  <c r="B116" i="8"/>
  <c r="C116" i="8" s="1"/>
  <c r="B117" i="8"/>
  <c r="C117" i="8" s="1"/>
  <c r="B118" i="8"/>
  <c r="C118" i="8" s="1"/>
  <c r="B119" i="8"/>
  <c r="C119" i="8" s="1"/>
  <c r="B120" i="8"/>
  <c r="C120" i="8" s="1"/>
  <c r="B121" i="8"/>
  <c r="C121" i="8" s="1"/>
  <c r="B122" i="8"/>
  <c r="C122" i="8" s="1"/>
  <c r="B123" i="8"/>
  <c r="C123" i="8" s="1"/>
  <c r="B124" i="8"/>
  <c r="C124" i="8" s="1"/>
  <c r="B125" i="8"/>
  <c r="C125" i="8" s="1"/>
  <c r="B126" i="8"/>
  <c r="C126" i="8" s="1"/>
  <c r="B127" i="8"/>
  <c r="C127" i="8" s="1"/>
  <c r="B128" i="8"/>
  <c r="C128" i="8" s="1"/>
  <c r="B129" i="8"/>
  <c r="C129" i="8" s="1"/>
  <c r="B130" i="8"/>
  <c r="C130" i="8" s="1"/>
  <c r="B131" i="8"/>
  <c r="C131" i="8" s="1"/>
  <c r="B132" i="8"/>
  <c r="C132" i="8" s="1"/>
  <c r="B133" i="8"/>
  <c r="C133" i="8" s="1"/>
  <c r="B134" i="8"/>
  <c r="C134" i="8" s="1"/>
  <c r="B135" i="8"/>
  <c r="C135" i="8" s="1"/>
  <c r="B136" i="8"/>
  <c r="C136" i="8" s="1"/>
  <c r="B137" i="8"/>
  <c r="C137" i="8" s="1"/>
  <c r="B138" i="8"/>
  <c r="C138" i="8" s="1"/>
  <c r="B139" i="8"/>
  <c r="C139" i="8" s="1"/>
  <c r="B140" i="8"/>
  <c r="C140" i="8" s="1"/>
  <c r="B141" i="8"/>
  <c r="C141" i="8" s="1"/>
  <c r="B142" i="8"/>
  <c r="C142" i="8" s="1"/>
  <c r="B143" i="8"/>
  <c r="C143" i="8" s="1"/>
  <c r="B144" i="8"/>
  <c r="C144" i="8" s="1"/>
  <c r="B145" i="8"/>
  <c r="C145" i="8" s="1"/>
  <c r="B146" i="8"/>
  <c r="C146" i="8" s="1"/>
  <c r="B147" i="8"/>
  <c r="C147" i="8" s="1"/>
  <c r="B148" i="8"/>
  <c r="C148" i="8" s="1"/>
  <c r="B149" i="8"/>
  <c r="C149" i="8" s="1"/>
  <c r="B150" i="8"/>
  <c r="C150" i="8" s="1"/>
  <c r="B151" i="8"/>
  <c r="B152" i="8"/>
  <c r="B153" i="8"/>
  <c r="C153" i="8" s="1"/>
  <c r="B154" i="8"/>
  <c r="C154" i="8" s="1"/>
  <c r="B155" i="8"/>
  <c r="C155" i="8" s="1"/>
  <c r="B156" i="8"/>
  <c r="C156" i="8" s="1"/>
  <c r="B157" i="8"/>
  <c r="C157" i="8" s="1"/>
  <c r="B158" i="8"/>
  <c r="C158" i="8" s="1"/>
  <c r="B159" i="8"/>
  <c r="C159" i="8" s="1"/>
  <c r="B160" i="8"/>
  <c r="C160" i="8" s="1"/>
  <c r="B161" i="8"/>
  <c r="C161" i="8" s="1"/>
  <c r="B162" i="8"/>
  <c r="B163" i="8"/>
  <c r="C163" i="8" s="1"/>
  <c r="B164" i="8"/>
  <c r="B165" i="8"/>
  <c r="B166" i="8"/>
  <c r="C166" i="8" s="1"/>
  <c r="B167" i="8"/>
  <c r="C167" i="8" s="1"/>
  <c r="B168" i="8"/>
  <c r="C168" i="8" s="1"/>
  <c r="B169" i="8"/>
  <c r="C169" i="8" s="1"/>
  <c r="B170" i="8"/>
  <c r="C170" i="8" s="1"/>
  <c r="B171" i="8"/>
  <c r="C171" i="8" s="1"/>
  <c r="B172" i="8"/>
  <c r="C172" i="8" s="1"/>
  <c r="B173" i="8"/>
  <c r="C173" i="8" s="1"/>
  <c r="B174" i="8"/>
  <c r="B175" i="8"/>
  <c r="B176" i="8"/>
  <c r="B177" i="8"/>
  <c r="C177" i="8" s="1"/>
  <c r="B178" i="8"/>
  <c r="C178" i="8" s="1"/>
  <c r="B179" i="8"/>
  <c r="C179" i="8" s="1"/>
  <c r="B180" i="8"/>
  <c r="C180" i="8" s="1"/>
  <c r="B181" i="8"/>
  <c r="C181" i="8" s="1"/>
  <c r="B182" i="8"/>
  <c r="C182" i="8" s="1"/>
  <c r="B183" i="8"/>
  <c r="C183" i="8" s="1"/>
  <c r="B184" i="8"/>
  <c r="C184" i="8" s="1"/>
  <c r="B185" i="8"/>
  <c r="C185" i="8" s="1"/>
  <c r="B186" i="8"/>
  <c r="B187" i="8"/>
  <c r="C187" i="8" s="1"/>
  <c r="B188" i="8"/>
  <c r="C188" i="8" s="1"/>
  <c r="B189" i="8"/>
  <c r="C189" i="8" s="1"/>
  <c r="B190" i="8"/>
  <c r="C190" i="8" s="1"/>
  <c r="B191" i="8"/>
  <c r="C191" i="8" s="1"/>
  <c r="B192" i="8"/>
  <c r="C192" i="8" s="1"/>
  <c r="B193" i="8"/>
  <c r="C193" i="8" s="1"/>
  <c r="B194" i="8"/>
  <c r="C194" i="8" s="1"/>
  <c r="B195" i="8"/>
  <c r="C195" i="8" s="1"/>
  <c r="B196" i="8"/>
  <c r="C196" i="8" s="1"/>
  <c r="B197" i="8"/>
  <c r="C197" i="8" s="1"/>
  <c r="B198" i="8"/>
  <c r="B199" i="8"/>
  <c r="B200" i="8"/>
  <c r="B201" i="8"/>
  <c r="B202" i="8"/>
  <c r="C202" i="8" s="1"/>
  <c r="B203" i="8"/>
  <c r="C203" i="8" s="1"/>
  <c r="B204" i="8"/>
  <c r="C204" i="8" s="1"/>
  <c r="B205" i="8"/>
  <c r="C205" i="8" s="1"/>
  <c r="B206" i="8"/>
  <c r="C206" i="8" s="1"/>
  <c r="B207" i="8"/>
  <c r="B208" i="8"/>
  <c r="B209" i="8"/>
  <c r="C209" i="8" s="1"/>
  <c r="B210" i="8"/>
  <c r="C210" i="8" s="1"/>
  <c r="B211" i="8"/>
  <c r="B212" i="8"/>
  <c r="B213" i="8"/>
  <c r="C213" i="8" s="1"/>
  <c r="B214" i="8"/>
  <c r="C214" i="8" s="1"/>
  <c r="B215" i="8"/>
  <c r="C215" i="8" s="1"/>
  <c r="B216" i="8"/>
  <c r="C216" i="8" s="1"/>
  <c r="B217" i="8"/>
  <c r="C217" i="8" s="1"/>
  <c r="B218" i="8"/>
  <c r="C218" i="8" s="1"/>
  <c r="B219" i="8"/>
  <c r="C219" i="8" s="1"/>
  <c r="B220" i="8"/>
  <c r="C220" i="8" s="1"/>
  <c r="B221" i="8"/>
  <c r="C221" i="8" s="1"/>
  <c r="B222" i="8"/>
  <c r="C222" i="8" s="1"/>
  <c r="B223" i="8"/>
  <c r="C223" i="8" s="1"/>
  <c r="B224" i="8"/>
  <c r="C224" i="8" s="1"/>
  <c r="B225" i="8"/>
  <c r="C225" i="8" s="1"/>
  <c r="B226" i="8"/>
  <c r="C226" i="8" s="1"/>
  <c r="B227" i="8"/>
  <c r="C227" i="8" s="1"/>
  <c r="B228" i="8"/>
  <c r="C228" i="8" s="1"/>
  <c r="B229" i="8"/>
  <c r="C229" i="8" s="1"/>
  <c r="B230" i="8"/>
  <c r="C230" i="8" s="1"/>
  <c r="B231" i="8"/>
  <c r="C231" i="8" s="1"/>
  <c r="B232" i="8"/>
  <c r="C232" i="8" s="1"/>
  <c r="B233" i="8"/>
  <c r="C233" i="8" s="1"/>
  <c r="B234" i="8"/>
  <c r="B235" i="8"/>
  <c r="B236" i="8"/>
  <c r="B237" i="8"/>
  <c r="C237" i="8" s="1"/>
  <c r="B238" i="8"/>
  <c r="C238" i="8" s="1"/>
  <c r="B239" i="8"/>
  <c r="B240" i="8"/>
  <c r="C240" i="8" s="1"/>
  <c r="B241" i="8"/>
  <c r="C241" i="8" s="1"/>
  <c r="B242" i="8"/>
  <c r="C242" i="8" s="1"/>
  <c r="B243" i="8"/>
  <c r="C243" i="8" s="1"/>
  <c r="B244" i="8"/>
  <c r="C244" i="8" s="1"/>
  <c r="B245" i="8"/>
  <c r="C245" i="8" s="1"/>
  <c r="B246" i="8"/>
  <c r="C246" i="8" s="1"/>
  <c r="B247" i="8"/>
  <c r="C247" i="8" s="1"/>
  <c r="B248" i="8"/>
  <c r="B249" i="8"/>
  <c r="B250" i="8"/>
  <c r="C250" i="8" s="1"/>
  <c r="B251" i="8"/>
  <c r="C251" i="8" s="1"/>
  <c r="B252" i="8"/>
  <c r="C252" i="8" s="1"/>
  <c r="B253" i="8"/>
  <c r="C253" i="8" s="1"/>
  <c r="B254" i="8"/>
  <c r="C254" i="8" s="1"/>
  <c r="B255" i="8"/>
  <c r="C255" i="8" s="1"/>
  <c r="B256" i="8"/>
  <c r="C256" i="8" s="1"/>
  <c r="B257" i="8"/>
  <c r="C257" i="8" s="1"/>
  <c r="B258" i="8"/>
  <c r="B259" i="8"/>
  <c r="B260" i="8"/>
  <c r="C260" i="8" s="1"/>
  <c r="B261" i="8"/>
  <c r="C261" i="8" s="1"/>
  <c r="B262" i="8"/>
  <c r="C262" i="8" s="1"/>
  <c r="B263" i="8"/>
  <c r="C263" i="8" s="1"/>
  <c r="B264" i="8"/>
  <c r="C264" i="8" s="1"/>
  <c r="B265" i="8"/>
  <c r="C265" i="8" s="1"/>
  <c r="B266" i="8"/>
  <c r="C266" i="8" s="1"/>
  <c r="B267" i="8"/>
  <c r="C267" i="8" s="1"/>
  <c r="B268" i="8"/>
  <c r="C268" i="8" s="1"/>
  <c r="B5" i="8"/>
  <c r="C5" i="8" s="1"/>
  <c r="B6" i="7"/>
  <c r="C6" i="7" s="1"/>
  <c r="B7" i="7"/>
  <c r="C7" i="7" s="1"/>
  <c r="B8" i="7"/>
  <c r="C8" i="7" s="1"/>
  <c r="B9" i="7"/>
  <c r="C9" i="7" s="1"/>
  <c r="B10" i="7"/>
  <c r="C10" i="7" s="1"/>
  <c r="B11" i="7"/>
  <c r="C11" i="7" s="1"/>
  <c r="B12" i="7"/>
  <c r="C12" i="7" s="1"/>
  <c r="B13" i="7"/>
  <c r="C13" i="7" s="1"/>
  <c r="B14" i="7"/>
  <c r="C14" i="7" s="1"/>
  <c r="B15" i="7"/>
  <c r="C15" i="7" s="1"/>
  <c r="B16" i="7"/>
  <c r="C16" i="7" s="1"/>
  <c r="B17" i="7"/>
  <c r="C17" i="7" s="1"/>
  <c r="B18" i="7"/>
  <c r="C18" i="7" s="1"/>
  <c r="B19" i="7"/>
  <c r="C19" i="7" s="1"/>
  <c r="B20" i="7"/>
  <c r="B21" i="7"/>
  <c r="C21" i="7" s="1"/>
  <c r="B22" i="7"/>
  <c r="C22" i="7" s="1"/>
  <c r="B23" i="7"/>
  <c r="C23" i="7" s="1"/>
  <c r="B24" i="7"/>
  <c r="C24" i="7" s="1"/>
  <c r="B25" i="7"/>
  <c r="C25" i="7" s="1"/>
  <c r="B26" i="7"/>
  <c r="C26" i="7" s="1"/>
  <c r="B27" i="7"/>
  <c r="C27" i="7" s="1"/>
  <c r="B28" i="7"/>
  <c r="C28" i="7" s="1"/>
  <c r="B29" i="7"/>
  <c r="C29" i="7" s="1"/>
  <c r="B30" i="7"/>
  <c r="B31" i="7"/>
  <c r="B32" i="7"/>
  <c r="C32" i="7" s="1"/>
  <c r="B33" i="7"/>
  <c r="C33" i="7" s="1"/>
  <c r="B34" i="7"/>
  <c r="C34" i="7" s="1"/>
  <c r="B35" i="7"/>
  <c r="C35" i="7" s="1"/>
  <c r="B36" i="7"/>
  <c r="C36" i="7" s="1"/>
  <c r="B37" i="7"/>
  <c r="C37" i="7" s="1"/>
  <c r="B38" i="7"/>
  <c r="C38" i="7" s="1"/>
  <c r="B39" i="7"/>
  <c r="C39" i="7" s="1"/>
  <c r="B40" i="7"/>
  <c r="C40" i="7" s="1"/>
  <c r="B41" i="7"/>
  <c r="C41" i="7" s="1"/>
  <c r="B42" i="7"/>
  <c r="C42" i="7" s="1"/>
  <c r="B43" i="7"/>
  <c r="C43" i="7" s="1"/>
  <c r="B44" i="7"/>
  <c r="C44" i="7" s="1"/>
  <c r="B45" i="7"/>
  <c r="C45" i="7" s="1"/>
  <c r="B46" i="7"/>
  <c r="C46" i="7" s="1"/>
  <c r="B47" i="7"/>
  <c r="C47" i="7" s="1"/>
  <c r="B48" i="7"/>
  <c r="C48" i="7" s="1"/>
  <c r="B49" i="7"/>
  <c r="C49" i="7" s="1"/>
  <c r="B50" i="7"/>
  <c r="C50" i="7" s="1"/>
  <c r="B51" i="7"/>
  <c r="C51" i="7" s="1"/>
  <c r="B52" i="7"/>
  <c r="C52" i="7" s="1"/>
  <c r="B53" i="7"/>
  <c r="C53" i="7" s="1"/>
  <c r="B54" i="7"/>
  <c r="C54" i="7" s="1"/>
  <c r="B55" i="7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B74" i="7"/>
  <c r="C74" i="7" s="1"/>
  <c r="B75" i="7"/>
  <c r="C75" i="7" s="1"/>
  <c r="B76" i="7"/>
  <c r="C76" i="7" s="1"/>
  <c r="B77" i="7"/>
  <c r="C77" i="7" s="1"/>
  <c r="B78" i="7"/>
  <c r="C78" i="7" s="1"/>
  <c r="B79" i="7"/>
  <c r="C79" i="7" s="1"/>
  <c r="B80" i="7"/>
  <c r="C80" i="7" s="1"/>
  <c r="B81" i="7"/>
  <c r="C81" i="7" s="1"/>
  <c r="B82" i="7"/>
  <c r="C82" i="7" s="1"/>
  <c r="B83" i="7"/>
  <c r="C83" i="7" s="1"/>
  <c r="B84" i="7"/>
  <c r="C84" i="7" s="1"/>
  <c r="B85" i="7"/>
  <c r="B86" i="7"/>
  <c r="C86" i="7" s="1"/>
  <c r="B87" i="7"/>
  <c r="C87" i="7" s="1"/>
  <c r="B88" i="7"/>
  <c r="C88" i="7" s="1"/>
  <c r="B89" i="7"/>
  <c r="C89" i="7" s="1"/>
  <c r="B90" i="7"/>
  <c r="B91" i="7"/>
  <c r="C91" i="7" s="1"/>
  <c r="B92" i="7"/>
  <c r="C92" i="7" s="1"/>
  <c r="B93" i="7"/>
  <c r="C93" i="7" s="1"/>
  <c r="B94" i="7"/>
  <c r="C94" i="7" s="1"/>
  <c r="B95" i="7"/>
  <c r="C95" i="7" s="1"/>
  <c r="B96" i="7"/>
  <c r="C96" i="7" s="1"/>
  <c r="B97" i="7"/>
  <c r="C97" i="7" s="1"/>
  <c r="B98" i="7"/>
  <c r="C98" i="7" s="1"/>
  <c r="B99" i="7"/>
  <c r="C99" i="7" s="1"/>
  <c r="B100" i="7"/>
  <c r="C100" i="7" s="1"/>
  <c r="B101" i="7"/>
  <c r="C101" i="7" s="1"/>
  <c r="B102" i="7"/>
  <c r="C102" i="7" s="1"/>
  <c r="B103" i="7"/>
  <c r="C103" i="7" s="1"/>
  <c r="B104" i="7"/>
  <c r="C104" i="7" s="1"/>
  <c r="B105" i="7"/>
  <c r="C105" i="7" s="1"/>
  <c r="B106" i="7"/>
  <c r="C106" i="7" s="1"/>
  <c r="B107" i="7"/>
  <c r="C107" i="7" s="1"/>
  <c r="B108" i="7"/>
  <c r="C108" i="7" s="1"/>
  <c r="B109" i="7"/>
  <c r="C109" i="7" s="1"/>
  <c r="B110" i="7"/>
  <c r="C110" i="7" s="1"/>
  <c r="B111" i="7"/>
  <c r="C111" i="7" s="1"/>
  <c r="B112" i="7"/>
  <c r="C112" i="7" s="1"/>
  <c r="B113" i="7"/>
  <c r="C113" i="7" s="1"/>
  <c r="B114" i="7"/>
  <c r="C114" i="7" s="1"/>
  <c r="B115" i="7"/>
  <c r="C115" i="7" s="1"/>
  <c r="B116" i="7"/>
  <c r="C116" i="7" s="1"/>
  <c r="B117" i="7"/>
  <c r="C117" i="7" s="1"/>
  <c r="B118" i="7"/>
  <c r="B119" i="7"/>
  <c r="B120" i="7"/>
  <c r="C120" i="7" s="1"/>
  <c r="B121" i="7"/>
  <c r="C121" i="7" s="1"/>
  <c r="B122" i="7"/>
  <c r="C122" i="7" s="1"/>
  <c r="B123" i="7"/>
  <c r="C123" i="7" s="1"/>
  <c r="B124" i="7"/>
  <c r="C124" i="7" s="1"/>
  <c r="B125" i="7"/>
  <c r="C125" i="7" s="1"/>
  <c r="B126" i="7"/>
  <c r="B127" i="7"/>
  <c r="B128" i="7"/>
  <c r="C128" i="7" s="1"/>
  <c r="B129" i="7"/>
  <c r="C129" i="7" s="1"/>
  <c r="B130" i="7"/>
  <c r="B131" i="7"/>
  <c r="B132" i="7"/>
  <c r="C132" i="7" s="1"/>
  <c r="B133" i="7"/>
  <c r="C133" i="7" s="1"/>
  <c r="B134" i="7"/>
  <c r="C134" i="7" s="1"/>
  <c r="B135" i="7"/>
  <c r="C135" i="7" s="1"/>
  <c r="B136" i="7"/>
  <c r="C136" i="7" s="1"/>
  <c r="B137" i="7"/>
  <c r="C137" i="7" s="1"/>
  <c r="B138" i="7"/>
  <c r="C138" i="7" s="1"/>
  <c r="B139" i="7"/>
  <c r="C139" i="7" s="1"/>
  <c r="B140" i="7"/>
  <c r="C140" i="7" s="1"/>
  <c r="B141" i="7"/>
  <c r="C141" i="7" s="1"/>
  <c r="B142" i="7"/>
  <c r="C142" i="7" s="1"/>
  <c r="B143" i="7"/>
  <c r="C143" i="7" s="1"/>
  <c r="B144" i="7"/>
  <c r="C144" i="7" s="1"/>
  <c r="B145" i="7"/>
  <c r="C145" i="7" s="1"/>
  <c r="B146" i="7"/>
  <c r="C146" i="7" s="1"/>
  <c r="B147" i="7"/>
  <c r="C147" i="7" s="1"/>
  <c r="B148" i="7"/>
  <c r="C148" i="7" s="1"/>
  <c r="B149" i="7"/>
  <c r="C149" i="7" s="1"/>
  <c r="B150" i="7"/>
  <c r="C150" i="7" s="1"/>
  <c r="B151" i="7"/>
  <c r="C151" i="7" s="1"/>
  <c r="B152" i="7"/>
  <c r="C152" i="7" s="1"/>
  <c r="B153" i="7"/>
  <c r="C153" i="7" s="1"/>
  <c r="B154" i="7"/>
  <c r="C154" i="7" s="1"/>
  <c r="B155" i="7"/>
  <c r="C155" i="7" s="1"/>
  <c r="B156" i="7"/>
  <c r="C156" i="7" s="1"/>
  <c r="B157" i="7"/>
  <c r="C157" i="7" s="1"/>
  <c r="B158" i="7"/>
  <c r="C158" i="7" s="1"/>
  <c r="B159" i="7"/>
  <c r="C159" i="7" s="1"/>
  <c r="B160" i="7"/>
  <c r="C160" i="7" s="1"/>
  <c r="B161" i="7"/>
  <c r="C161" i="7" s="1"/>
  <c r="B162" i="7"/>
  <c r="B163" i="7"/>
  <c r="B164" i="7"/>
  <c r="C164" i="7" s="1"/>
  <c r="B165" i="7"/>
  <c r="B166" i="7"/>
  <c r="C166" i="7" s="1"/>
  <c r="B167" i="7"/>
  <c r="C167" i="7" s="1"/>
  <c r="B168" i="7"/>
  <c r="C168" i="7" s="1"/>
  <c r="B169" i="7"/>
  <c r="C169" i="7" s="1"/>
  <c r="B170" i="7"/>
  <c r="C170" i="7" s="1"/>
  <c r="B171" i="7"/>
  <c r="C171" i="7" s="1"/>
  <c r="B172" i="7"/>
  <c r="C172" i="7" s="1"/>
  <c r="B173" i="7"/>
  <c r="C173" i="7" s="1"/>
  <c r="B174" i="7"/>
  <c r="C174" i="7" s="1"/>
  <c r="B175" i="7"/>
  <c r="B176" i="7"/>
  <c r="B177" i="7"/>
  <c r="C177" i="7" s="1"/>
  <c r="B178" i="7"/>
  <c r="C178" i="7" s="1"/>
  <c r="B179" i="7"/>
  <c r="C179" i="7" s="1"/>
  <c r="B180" i="7"/>
  <c r="C180" i="7" s="1"/>
  <c r="B181" i="7"/>
  <c r="C181" i="7" s="1"/>
  <c r="B182" i="7"/>
  <c r="C182" i="7" s="1"/>
  <c r="B183" i="7"/>
  <c r="C183" i="7" s="1"/>
  <c r="B184" i="7"/>
  <c r="C184" i="7" s="1"/>
  <c r="B185" i="7"/>
  <c r="C185" i="7" s="1"/>
  <c r="B186" i="7"/>
  <c r="B187" i="7"/>
  <c r="B188" i="7"/>
  <c r="C188" i="7" s="1"/>
  <c r="B189" i="7"/>
  <c r="C189" i="7" s="1"/>
  <c r="B190" i="7"/>
  <c r="C190" i="7" s="1"/>
  <c r="B191" i="7"/>
  <c r="C191" i="7" s="1"/>
  <c r="B192" i="7"/>
  <c r="C192" i="7" s="1"/>
  <c r="B193" i="7"/>
  <c r="C193" i="7" s="1"/>
  <c r="B194" i="7"/>
  <c r="C194" i="7" s="1"/>
  <c r="B195" i="7"/>
  <c r="B196" i="7"/>
  <c r="C196" i="7" s="1"/>
  <c r="B197" i="7"/>
  <c r="C197" i="7" s="1"/>
  <c r="B198" i="7"/>
  <c r="B199" i="7"/>
  <c r="C199" i="7" s="1"/>
  <c r="B200" i="7"/>
  <c r="C200" i="7" s="1"/>
  <c r="B201" i="7"/>
  <c r="C201" i="7" s="1"/>
  <c r="B202" i="7"/>
  <c r="C202" i="7" s="1"/>
  <c r="B203" i="7"/>
  <c r="C203" i="7" s="1"/>
  <c r="B204" i="7"/>
  <c r="C204" i="7" s="1"/>
  <c r="B205" i="7"/>
  <c r="C205" i="7" s="1"/>
  <c r="B206" i="7"/>
  <c r="C206" i="7" s="1"/>
  <c r="B207" i="7"/>
  <c r="C207" i="7" s="1"/>
  <c r="B208" i="7"/>
  <c r="C208" i="7" s="1"/>
  <c r="B209" i="7"/>
  <c r="C209" i="7" s="1"/>
  <c r="B210" i="7"/>
  <c r="B211" i="7"/>
  <c r="B212" i="7"/>
  <c r="C212" i="7" s="1"/>
  <c r="B213" i="7"/>
  <c r="C213" i="7" s="1"/>
  <c r="B214" i="7"/>
  <c r="C214" i="7" s="1"/>
  <c r="B215" i="7"/>
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<c r="B221" i="7"/>
  <c r="C221" i="7" s="1"/>
  <c r="B222" i="7"/>
  <c r="C222" i="7" s="1"/>
  <c r="B223" i="7"/>
  <c r="C223" i="7" s="1"/>
  <c r="B224" i="7"/>
  <c r="C224" i="7" s="1"/>
  <c r="B225" i="7"/>
  <c r="C225" i="7" s="1"/>
  <c r="B226" i="7"/>
  <c r="C226" i="7" s="1"/>
  <c r="B227" i="7"/>
  <c r="C227" i="7" s="1"/>
  <c r="B228" i="7"/>
  <c r="C228" i="7" s="1"/>
  <c r="B229" i="7"/>
  <c r="C229" i="7" s="1"/>
  <c r="B230" i="7"/>
  <c r="B231" i="7"/>
  <c r="B232" i="7"/>
  <c r="C232" i="7" s="1"/>
  <c r="B233" i="7"/>
  <c r="C233" i="7" s="1"/>
  <c r="B234" i="7"/>
  <c r="C234" i="7" s="1"/>
  <c r="B235" i="7"/>
  <c r="B236" i="7"/>
  <c r="B237" i="7"/>
  <c r="C237" i="7" s="1"/>
  <c r="B238" i="7"/>
  <c r="B239" i="7"/>
  <c r="C239" i="7" s="1"/>
  <c r="B240" i="7"/>
  <c r="C240" i="7" s="1"/>
  <c r="B241" i="7"/>
  <c r="C241" i="7" s="1"/>
  <c r="B242" i="7"/>
  <c r="C242" i="7" s="1"/>
  <c r="B243" i="7"/>
  <c r="C243" i="7" s="1"/>
  <c r="B244" i="7"/>
  <c r="C244" i="7" s="1"/>
  <c r="B245" i="7"/>
  <c r="C245" i="7" s="1"/>
  <c r="B246" i="7"/>
  <c r="B247" i="7"/>
  <c r="B248" i="7"/>
  <c r="B249" i="7"/>
  <c r="B250" i="7"/>
  <c r="C250" i="7" s="1"/>
  <c r="B251" i="7"/>
  <c r="C251" i="7" s="1"/>
  <c r="B252" i="7"/>
  <c r="C252" i="7" s="1"/>
  <c r="B253" i="7"/>
  <c r="C253" i="7" s="1"/>
  <c r="B254" i="7"/>
  <c r="C254" i="7" s="1"/>
  <c r="B255" i="7"/>
  <c r="C255" i="7" s="1"/>
  <c r="B256" i="7"/>
  <c r="C256" i="7" s="1"/>
  <c r="B257" i="7"/>
  <c r="C257" i="7" s="1"/>
  <c r="B258" i="7"/>
  <c r="C258" i="7" s="1"/>
  <c r="B259" i="7"/>
  <c r="C259" i="7" s="1"/>
  <c r="B260" i="7"/>
  <c r="C260" i="7" s="1"/>
  <c r="B261" i="7"/>
  <c r="C261" i="7" s="1"/>
  <c r="B262" i="7"/>
  <c r="C262" i="7" s="1"/>
  <c r="B263" i="7"/>
  <c r="B264" i="7"/>
  <c r="C264" i="7" s="1"/>
  <c r="B265" i="7"/>
  <c r="C265" i="7" s="1"/>
  <c r="B266" i="7"/>
  <c r="C266" i="7" s="1"/>
  <c r="B267" i="7"/>
  <c r="C267" i="7" s="1"/>
  <c r="B268" i="7"/>
  <c r="C268" i="7" s="1"/>
  <c r="B5" i="7"/>
  <c r="C5" i="7" s="1"/>
  <c r="B6" i="5"/>
  <c r="C6" i="5" s="1"/>
  <c r="B7" i="5"/>
  <c r="C7" i="5" s="1"/>
  <c r="B8" i="5"/>
  <c r="C8" i="5" s="1"/>
  <c r="B9" i="5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B67" i="5"/>
  <c r="C67" i="5" s="1"/>
  <c r="B68" i="5"/>
  <c r="C68" i="5" s="1"/>
  <c r="B69" i="5"/>
  <c r="C69" i="5" s="1"/>
  <c r="B70" i="5"/>
  <c r="B71" i="5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B82" i="5"/>
  <c r="B83" i="5"/>
  <c r="C83" i="5" s="1"/>
  <c r="B84" i="5"/>
  <c r="C84" i="5" s="1"/>
  <c r="B85" i="5"/>
  <c r="C85" i="5" s="1"/>
  <c r="B86" i="5"/>
  <c r="B87" i="5"/>
  <c r="C87" i="5" s="1"/>
  <c r="B88" i="5"/>
  <c r="C88" i="5" s="1"/>
  <c r="B89" i="5"/>
  <c r="C89" i="5" s="1"/>
  <c r="B90" i="5"/>
  <c r="C90" i="5" s="1"/>
  <c r="B91" i="5"/>
  <c r="B92" i="5"/>
  <c r="C92" i="5" s="1"/>
  <c r="B93" i="5"/>
  <c r="B94" i="5"/>
  <c r="C94" i="5" s="1"/>
  <c r="B95" i="5"/>
  <c r="C95" i="5" s="1"/>
  <c r="B96" i="5"/>
  <c r="C96" i="5" s="1"/>
  <c r="B97" i="5"/>
  <c r="C97" i="5" s="1"/>
  <c r="B98" i="5"/>
  <c r="C98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C106" i="5" s="1"/>
  <c r="B107" i="5"/>
  <c r="C107" i="5" s="1"/>
  <c r="B108" i="5"/>
  <c r="C108" i="5" s="1"/>
  <c r="B109" i="5"/>
  <c r="C109" i="5" s="1"/>
  <c r="B110" i="5"/>
  <c r="C110" i="5" s="1"/>
  <c r="B111" i="5"/>
  <c r="C111" i="5" s="1"/>
  <c r="B112" i="5"/>
  <c r="C112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6" i="5"/>
  <c r="C126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B139" i="5"/>
  <c r="C139" i="5" s="1"/>
  <c r="B140" i="5"/>
  <c r="B141" i="5"/>
  <c r="B142" i="5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C151" i="5" s="1"/>
  <c r="B152" i="5"/>
  <c r="C152" i="5" s="1"/>
  <c r="B153" i="5"/>
  <c r="B154" i="5"/>
  <c r="C154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C161" i="5" s="1"/>
  <c r="B162" i="5"/>
  <c r="B163" i="5"/>
  <c r="C163" i="5" s="1"/>
  <c r="B164" i="5"/>
  <c r="C164" i="5" s="1"/>
  <c r="B165" i="5"/>
  <c r="C165" i="5" s="1"/>
  <c r="B166" i="5"/>
  <c r="C166" i="5" s="1"/>
  <c r="B167" i="5"/>
  <c r="C167" i="5" s="1"/>
  <c r="B168" i="5"/>
  <c r="C168" i="5" s="1"/>
  <c r="B169" i="5"/>
  <c r="C169" i="5" s="1"/>
  <c r="B170" i="5"/>
  <c r="C170" i="5" s="1"/>
  <c r="B171" i="5"/>
  <c r="C171" i="5" s="1"/>
  <c r="B172" i="5"/>
  <c r="C172" i="5" s="1"/>
  <c r="B173" i="5"/>
  <c r="C173" i="5" s="1"/>
  <c r="B174" i="5"/>
  <c r="C174" i="5" s="1"/>
  <c r="B175" i="5"/>
  <c r="B176" i="5"/>
  <c r="B177" i="5"/>
  <c r="C177" i="5" s="1"/>
  <c r="B178" i="5"/>
  <c r="B179" i="5"/>
  <c r="C179" i="5" s="1"/>
  <c r="B180" i="5"/>
  <c r="B181" i="5"/>
  <c r="C181" i="5" s="1"/>
  <c r="B182" i="5"/>
  <c r="C182" i="5" s="1"/>
  <c r="B183" i="5"/>
  <c r="C183" i="5" s="1"/>
  <c r="B184" i="5"/>
  <c r="C184" i="5" s="1"/>
  <c r="B185" i="5"/>
  <c r="C185" i="5" s="1"/>
  <c r="B186" i="5"/>
  <c r="B187" i="5"/>
  <c r="B188" i="5"/>
  <c r="B189" i="5"/>
  <c r="C189" i="5" s="1"/>
  <c r="B190" i="5"/>
  <c r="B191" i="5"/>
  <c r="C191" i="5" s="1"/>
  <c r="B192" i="5"/>
  <c r="C192" i="5" s="1"/>
  <c r="B193" i="5"/>
  <c r="C193" i="5" s="1"/>
  <c r="B194" i="5"/>
  <c r="C194" i="5" s="1"/>
  <c r="B195" i="5"/>
  <c r="C195" i="5" s="1"/>
  <c r="B196" i="5"/>
  <c r="C196" i="5" s="1"/>
  <c r="B197" i="5"/>
  <c r="C197" i="5" s="1"/>
  <c r="B198" i="5"/>
  <c r="B199" i="5"/>
  <c r="C199" i="5" s="1"/>
  <c r="B200" i="5"/>
  <c r="C200" i="5" s="1"/>
  <c r="B201" i="5"/>
  <c r="B202" i="5"/>
  <c r="C202" i="5" s="1"/>
  <c r="B203" i="5"/>
  <c r="C203" i="5" s="1"/>
  <c r="B204" i="5"/>
  <c r="C204" i="5" s="1"/>
  <c r="B205" i="5"/>
  <c r="C205" i="5" s="1"/>
  <c r="B206" i="5"/>
  <c r="C206" i="5" s="1"/>
  <c r="B207" i="5"/>
  <c r="C207" i="5" s="1"/>
  <c r="B208" i="5"/>
  <c r="C208" i="5" s="1"/>
  <c r="B209" i="5"/>
  <c r="C209" i="5" s="1"/>
  <c r="B210" i="5"/>
  <c r="B211" i="5"/>
  <c r="C211" i="5" s="1"/>
  <c r="B212" i="5"/>
  <c r="C212" i="5" s="1"/>
  <c r="B213" i="5"/>
  <c r="C213" i="5" s="1"/>
  <c r="B214" i="5"/>
  <c r="C214" i="5" s="1"/>
  <c r="B215" i="5"/>
  <c r="C215" i="5" s="1"/>
  <c r="B216" i="5"/>
  <c r="C216" i="5" s="1"/>
  <c r="B217" i="5"/>
  <c r="C217" i="5" s="1"/>
  <c r="B218" i="5"/>
  <c r="C218" i="5" s="1"/>
  <c r="B219" i="5"/>
  <c r="C219" i="5" s="1"/>
  <c r="B220" i="5"/>
  <c r="C220" i="5" s="1"/>
  <c r="B221" i="5"/>
  <c r="C221" i="5" s="1"/>
  <c r="B222" i="5"/>
  <c r="B223" i="5"/>
  <c r="B224" i="5"/>
  <c r="C224" i="5" s="1"/>
  <c r="B225" i="5"/>
  <c r="C225" i="5" s="1"/>
  <c r="B226" i="5"/>
  <c r="C226" i="5" s="1"/>
  <c r="B227" i="5"/>
  <c r="C227" i="5" s="1"/>
  <c r="B228" i="5"/>
  <c r="C228" i="5" s="1"/>
  <c r="B229" i="5"/>
  <c r="C229" i="5" s="1"/>
  <c r="B230" i="5"/>
  <c r="C230" i="5" s="1"/>
  <c r="B231" i="5"/>
  <c r="C231" i="5" s="1"/>
  <c r="B232" i="5"/>
  <c r="C232" i="5" s="1"/>
  <c r="B233" i="5"/>
  <c r="C233" i="5" s="1"/>
  <c r="B234" i="5"/>
  <c r="B235" i="5"/>
  <c r="C235" i="5" s="1"/>
  <c r="B236" i="5"/>
  <c r="B237" i="5"/>
  <c r="B238" i="5"/>
  <c r="B239" i="5"/>
  <c r="C239" i="5" s="1"/>
  <c r="B240" i="5"/>
  <c r="C240" i="5" s="1"/>
  <c r="B241" i="5"/>
  <c r="C241" i="5" s="1"/>
  <c r="B242" i="5"/>
  <c r="C242" i="5" s="1"/>
  <c r="B243" i="5"/>
  <c r="C243" i="5" s="1"/>
  <c r="B244" i="5"/>
  <c r="C244" i="5" s="1"/>
  <c r="B245" i="5"/>
  <c r="C245" i="5" s="1"/>
  <c r="B246" i="5"/>
  <c r="B247" i="5"/>
  <c r="B248" i="5"/>
  <c r="C248" i="5" s="1"/>
  <c r="B249" i="5"/>
  <c r="B250" i="5"/>
  <c r="C250" i="5" s="1"/>
  <c r="B251" i="5"/>
  <c r="C251" i="5" s="1"/>
  <c r="B252" i="5"/>
  <c r="C252" i="5" s="1"/>
  <c r="B253" i="5"/>
  <c r="C253" i="5" s="1"/>
  <c r="B254" i="5"/>
  <c r="C254" i="5" s="1"/>
  <c r="B255" i="5"/>
  <c r="C255" i="5" s="1"/>
  <c r="B256" i="5"/>
  <c r="B257" i="5"/>
  <c r="C257" i="5" s="1"/>
  <c r="B258" i="5"/>
  <c r="B259" i="5"/>
  <c r="B260" i="5"/>
  <c r="B261" i="5"/>
  <c r="C261" i="5" s="1"/>
  <c r="B262" i="5"/>
  <c r="C262" i="5" s="1"/>
  <c r="B263" i="5"/>
  <c r="C263" i="5" s="1"/>
  <c r="B264" i="5"/>
  <c r="C264" i="5" s="1"/>
  <c r="B265" i="5"/>
  <c r="C265" i="5" s="1"/>
  <c r="B266" i="5"/>
  <c r="C266" i="5" s="1"/>
  <c r="B267" i="5"/>
  <c r="C267" i="5" s="1"/>
  <c r="B268" i="5"/>
  <c r="C268" i="5" s="1"/>
  <c r="B5" i="5"/>
  <c r="C5" i="5" s="1"/>
  <c r="C33" i="3"/>
  <c r="C56" i="3"/>
  <c r="C140" i="3"/>
  <c r="C142" i="3"/>
  <c r="C155" i="3"/>
  <c r="C156" i="3"/>
  <c r="C166" i="3"/>
  <c r="C200" i="3"/>
  <c r="C201" i="3"/>
  <c r="C219" i="3"/>
  <c r="C220" i="3"/>
  <c r="C244" i="3"/>
  <c r="C261" i="3"/>
  <c r="C268" i="3"/>
  <c r="C259" i="3"/>
  <c r="C258" i="3"/>
  <c r="C249" i="3"/>
  <c r="C247" i="3"/>
  <c r="C237" i="3"/>
  <c r="C235" i="3"/>
  <c r="C225" i="3"/>
  <c r="C223" i="3"/>
  <c r="C222" i="3"/>
  <c r="C211" i="3"/>
  <c r="C210" i="3"/>
  <c r="C199" i="3"/>
  <c r="C198" i="3"/>
  <c r="C189" i="3"/>
  <c r="C187" i="3"/>
  <c r="C175" i="3"/>
  <c r="C174" i="3"/>
  <c r="C163" i="3"/>
  <c r="C162" i="3"/>
  <c r="C154" i="3"/>
  <c r="C153" i="3"/>
  <c r="C151" i="3"/>
  <c r="C115" i="3"/>
  <c r="C106" i="3"/>
  <c r="C103" i="3"/>
  <c r="C93" i="3"/>
  <c r="C70" i="3"/>
  <c r="C69" i="3"/>
  <c r="C67" i="3"/>
  <c r="C55" i="3"/>
  <c r="C43" i="3"/>
  <c r="C22" i="3"/>
  <c r="C19" i="3"/>
  <c r="C7" i="3"/>
  <c r="C258" i="5"/>
  <c r="C256" i="5"/>
  <c r="C249" i="5"/>
  <c r="C246" i="5"/>
  <c r="C238" i="5"/>
  <c r="C237" i="5"/>
  <c r="C234" i="5"/>
  <c r="C222" i="5"/>
  <c r="C210" i="5"/>
  <c r="C201" i="5"/>
  <c r="C198" i="5"/>
  <c r="C190" i="5"/>
  <c r="C186" i="5"/>
  <c r="C180" i="5"/>
  <c r="C178" i="5"/>
  <c r="C162" i="5"/>
  <c r="C153" i="5"/>
  <c r="C142" i="5"/>
  <c r="C141" i="5"/>
  <c r="C138" i="5"/>
  <c r="C132" i="5"/>
  <c r="C118" i="5"/>
  <c r="C93" i="5"/>
  <c r="C82" i="5"/>
  <c r="C81" i="5"/>
  <c r="C71" i="5"/>
  <c r="C70" i="5"/>
  <c r="C66" i="5"/>
  <c r="C59" i="5"/>
  <c r="C9" i="5"/>
  <c r="C263" i="7"/>
  <c r="C249" i="7"/>
  <c r="C238" i="7"/>
  <c r="C165" i="7"/>
  <c r="C131" i="7"/>
  <c r="C130" i="7"/>
  <c r="C119" i="7"/>
  <c r="C118" i="7"/>
  <c r="C258" i="8"/>
  <c r="C234" i="8"/>
  <c r="C198" i="8"/>
  <c r="C186" i="8"/>
  <c r="C174" i="8"/>
  <c r="C162" i="8"/>
  <c r="C90" i="8"/>
  <c r="C78" i="8"/>
  <c r="C66" i="8"/>
  <c r="C42" i="8"/>
  <c r="C6" i="8"/>
  <c r="C259" i="9"/>
  <c r="C258" i="9"/>
  <c r="C248" i="9"/>
  <c r="C247" i="9"/>
  <c r="C236" i="9"/>
  <c r="C235" i="9"/>
  <c r="C224" i="9"/>
  <c r="C221" i="9"/>
  <c r="C211" i="9"/>
  <c r="C210" i="9"/>
  <c r="C200" i="9"/>
  <c r="C198" i="9"/>
  <c r="C197" i="9"/>
  <c r="C188" i="9"/>
  <c r="C186" i="9"/>
  <c r="C176" i="9"/>
  <c r="C162" i="9"/>
  <c r="C161" i="9"/>
  <c r="C150" i="9"/>
  <c r="C140" i="9"/>
  <c r="C138" i="9"/>
  <c r="C137" i="9"/>
  <c r="C115" i="9"/>
  <c r="C114" i="9"/>
  <c r="C77" i="9"/>
  <c r="C55" i="9"/>
  <c r="C53" i="9"/>
  <c r="C43" i="9"/>
  <c r="C42" i="9"/>
  <c r="C18" i="9"/>
  <c r="C17" i="9"/>
  <c r="B6" i="10"/>
  <c r="C6" i="10" s="1"/>
  <c r="B7" i="10"/>
  <c r="C7" i="10" s="1"/>
  <c r="B8" i="10"/>
  <c r="C8" i="10" s="1"/>
  <c r="B9" i="10"/>
  <c r="C9" i="10" s="1"/>
  <c r="B10" i="10"/>
  <c r="C10" i="10" s="1"/>
  <c r="B11" i="10"/>
  <c r="C11" i="10" s="1"/>
  <c r="B12" i="10"/>
  <c r="B13" i="10"/>
  <c r="C13" i="10" s="1"/>
  <c r="B14" i="10"/>
  <c r="C14" i="10" s="1"/>
  <c r="B15" i="10"/>
  <c r="C15" i="10" s="1"/>
  <c r="B16" i="10"/>
  <c r="C16" i="10" s="1"/>
  <c r="B17" i="10"/>
  <c r="C17" i="10" s="1"/>
  <c r="B18" i="10"/>
  <c r="C18" i="10" s="1"/>
  <c r="B19" i="10"/>
  <c r="C19" i="10" s="1"/>
  <c r="B20" i="10"/>
  <c r="B21" i="10"/>
  <c r="B22" i="10"/>
  <c r="C22" i="10" s="1"/>
  <c r="B23" i="10"/>
  <c r="C23" i="10" s="1"/>
  <c r="B24" i="10"/>
  <c r="C24" i="10" s="1"/>
  <c r="B25" i="10"/>
  <c r="C25" i="10" s="1"/>
  <c r="B26" i="10"/>
  <c r="C26" i="10" s="1"/>
  <c r="B27" i="10"/>
  <c r="C27" i="10" s="1"/>
  <c r="B28" i="10"/>
  <c r="C28" i="10" s="1"/>
  <c r="B29" i="10"/>
  <c r="C29" i="10" s="1"/>
  <c r="B30" i="10"/>
  <c r="C30" i="10" s="1"/>
  <c r="B31" i="10"/>
  <c r="C31" i="10" s="1"/>
  <c r="B32" i="10"/>
  <c r="C32" i="10" s="1"/>
  <c r="B33" i="10"/>
  <c r="C33" i="10" s="1"/>
  <c r="B34" i="10"/>
  <c r="C34" i="10" s="1"/>
  <c r="B35" i="10"/>
  <c r="C35" i="10" s="1"/>
  <c r="B36" i="10"/>
  <c r="C36" i="10" s="1"/>
  <c r="B37" i="10"/>
  <c r="C37" i="10" s="1"/>
  <c r="B38" i="10"/>
  <c r="C38" i="10" s="1"/>
  <c r="B39" i="10"/>
  <c r="C39" i="10" s="1"/>
  <c r="B40" i="10"/>
  <c r="C40" i="10" s="1"/>
  <c r="B41" i="10"/>
  <c r="C41" i="10" s="1"/>
  <c r="B42" i="10"/>
  <c r="C42" i="10" s="1"/>
  <c r="B43" i="10"/>
  <c r="C43" i="10" s="1"/>
  <c r="B44" i="10"/>
  <c r="C44" i="10" s="1"/>
  <c r="B45" i="10"/>
  <c r="C45" i="10" s="1"/>
  <c r="B46" i="10"/>
  <c r="C46" i="10" s="1"/>
  <c r="B47" i="10"/>
  <c r="C47" i="10" s="1"/>
  <c r="B48" i="10"/>
  <c r="C48" i="10" s="1"/>
  <c r="B49" i="10"/>
  <c r="C49" i="10" s="1"/>
  <c r="B50" i="10"/>
  <c r="C50" i="10" s="1"/>
  <c r="B51" i="10"/>
  <c r="C51" i="10" s="1"/>
  <c r="B52" i="10"/>
  <c r="C52" i="10" s="1"/>
  <c r="B53" i="10"/>
  <c r="C53" i="10" s="1"/>
  <c r="B54" i="10"/>
  <c r="C54" i="10" s="1"/>
  <c r="B55" i="10"/>
  <c r="C55" i="10" s="1"/>
  <c r="B56" i="10"/>
  <c r="C56" i="10" s="1"/>
  <c r="B57" i="10"/>
  <c r="C57" i="10" s="1"/>
  <c r="B58" i="10"/>
  <c r="C58" i="10" s="1"/>
  <c r="B59" i="10"/>
  <c r="C59" i="10" s="1"/>
  <c r="B60" i="10"/>
  <c r="C60" i="10" s="1"/>
  <c r="B61" i="10"/>
  <c r="C61" i="10" s="1"/>
  <c r="B62" i="10"/>
  <c r="C62" i="10" s="1"/>
  <c r="B63" i="10"/>
  <c r="C63" i="10" s="1"/>
  <c r="B64" i="10"/>
  <c r="C64" i="10" s="1"/>
  <c r="B65" i="10"/>
  <c r="C65" i="10" s="1"/>
  <c r="B66" i="10"/>
  <c r="C66" i="10" s="1"/>
  <c r="B67" i="10"/>
  <c r="C67" i="10" s="1"/>
  <c r="B68" i="10"/>
  <c r="C68" i="10" s="1"/>
  <c r="B69" i="10"/>
  <c r="C69" i="10" s="1"/>
  <c r="B70" i="10"/>
  <c r="C70" i="10" s="1"/>
  <c r="B71" i="10"/>
  <c r="C71" i="10" s="1"/>
  <c r="B72" i="10"/>
  <c r="C72" i="10" s="1"/>
  <c r="B73" i="10"/>
  <c r="C73" i="10" s="1"/>
  <c r="B74" i="10"/>
  <c r="C74" i="10" s="1"/>
  <c r="B75" i="10"/>
  <c r="C75" i="10" s="1"/>
  <c r="B76" i="10"/>
  <c r="C76" i="10" s="1"/>
  <c r="B77" i="10"/>
  <c r="C77" i="10" s="1"/>
  <c r="B78" i="10"/>
  <c r="C78" i="10" s="1"/>
  <c r="B79" i="10"/>
  <c r="C79" i="10" s="1"/>
  <c r="B80" i="10"/>
  <c r="B81" i="10"/>
  <c r="C81" i="10" s="1"/>
  <c r="B82" i="10"/>
  <c r="B83" i="10"/>
  <c r="C83" i="10" s="1"/>
  <c r="B84" i="10"/>
  <c r="C84" i="10" s="1"/>
  <c r="B85" i="10"/>
  <c r="C85" i="10" s="1"/>
  <c r="B86" i="10"/>
  <c r="C86" i="10" s="1"/>
  <c r="B87" i="10"/>
  <c r="C87" i="10" s="1"/>
  <c r="B88" i="10"/>
  <c r="B89" i="10"/>
  <c r="C89" i="10" s="1"/>
  <c r="B90" i="10"/>
  <c r="C90" i="10" s="1"/>
  <c r="B91" i="10"/>
  <c r="C91" i="10" s="1"/>
  <c r="B92" i="10"/>
  <c r="C92" i="10" s="1"/>
  <c r="B93" i="10"/>
  <c r="C93" i="10" s="1"/>
  <c r="B94" i="10"/>
  <c r="C94" i="10" s="1"/>
  <c r="B95" i="10"/>
  <c r="C95" i="10" s="1"/>
  <c r="B96" i="10"/>
  <c r="C96" i="10" s="1"/>
  <c r="B97" i="10"/>
  <c r="C97" i="10" s="1"/>
  <c r="B98" i="10"/>
  <c r="C98" i="10" s="1"/>
  <c r="B99" i="10"/>
  <c r="C99" i="10" s="1"/>
  <c r="B100" i="10"/>
  <c r="C100" i="10" s="1"/>
  <c r="B101" i="10"/>
  <c r="C101" i="10" s="1"/>
  <c r="B102" i="10"/>
  <c r="C102" i="10" s="1"/>
  <c r="B103" i="10"/>
  <c r="C103" i="10" s="1"/>
  <c r="B104" i="10"/>
  <c r="C104" i="10" s="1"/>
  <c r="B105" i="10"/>
  <c r="C105" i="10" s="1"/>
  <c r="B106" i="10"/>
  <c r="C106" i="10" s="1"/>
  <c r="B107" i="10"/>
  <c r="C107" i="10" s="1"/>
  <c r="B108" i="10"/>
  <c r="C108" i="10" s="1"/>
  <c r="B109" i="10"/>
  <c r="C109" i="10" s="1"/>
  <c r="B110" i="10"/>
  <c r="C110" i="10" s="1"/>
  <c r="B111" i="10"/>
  <c r="C111" i="10" s="1"/>
  <c r="B112" i="10"/>
  <c r="C112" i="10" s="1"/>
  <c r="B113" i="10"/>
  <c r="C113" i="10" s="1"/>
  <c r="B114" i="10"/>
  <c r="C114" i="10" s="1"/>
  <c r="B115" i="10"/>
  <c r="C115" i="10" s="1"/>
  <c r="B116" i="10"/>
  <c r="C116" i="10" s="1"/>
  <c r="B117" i="10"/>
  <c r="C117" i="10" s="1"/>
  <c r="B118" i="10"/>
  <c r="C118" i="10" s="1"/>
  <c r="B119" i="10"/>
  <c r="C119" i="10" s="1"/>
  <c r="B120" i="10"/>
  <c r="C120" i="10" s="1"/>
  <c r="B121" i="10"/>
  <c r="C121" i="10" s="1"/>
  <c r="B122" i="10"/>
  <c r="C122" i="10" s="1"/>
  <c r="B123" i="10"/>
  <c r="C123" i="10" s="1"/>
  <c r="B124" i="10"/>
  <c r="C124" i="10" s="1"/>
  <c r="B125" i="10"/>
  <c r="C125" i="10" s="1"/>
  <c r="B126" i="10"/>
  <c r="C126" i="10" s="1"/>
  <c r="B127" i="10"/>
  <c r="C127" i="10" s="1"/>
  <c r="B128" i="10"/>
  <c r="C128" i="10" s="1"/>
  <c r="B129" i="10"/>
  <c r="C129" i="10" s="1"/>
  <c r="B130" i="10"/>
  <c r="C130" i="10" s="1"/>
  <c r="B131" i="10"/>
  <c r="C131" i="10" s="1"/>
  <c r="B132" i="10"/>
  <c r="C132" i="10" s="1"/>
  <c r="B133" i="10"/>
  <c r="C133" i="10" s="1"/>
  <c r="B134" i="10"/>
  <c r="C134" i="10" s="1"/>
  <c r="B135" i="10"/>
  <c r="C135" i="10" s="1"/>
  <c r="B136" i="10"/>
  <c r="C136" i="10" s="1"/>
  <c r="B137" i="10"/>
  <c r="C137" i="10" s="1"/>
  <c r="B138" i="10"/>
  <c r="B139" i="10"/>
  <c r="C139" i="10" s="1"/>
  <c r="B140" i="10"/>
  <c r="B141" i="10"/>
  <c r="C141" i="10" s="1"/>
  <c r="B142" i="10"/>
  <c r="C142" i="10" s="1"/>
  <c r="B143" i="10"/>
  <c r="C143" i="10" s="1"/>
  <c r="B144" i="10"/>
  <c r="C144" i="10" s="1"/>
  <c r="B145" i="10"/>
  <c r="C145" i="10" s="1"/>
  <c r="B146" i="10"/>
  <c r="C146" i="10" s="1"/>
  <c r="B147" i="10"/>
  <c r="B148" i="10"/>
  <c r="B149" i="10"/>
  <c r="C149" i="10" s="1"/>
  <c r="B150" i="10"/>
  <c r="C150" i="10" s="1"/>
  <c r="B151" i="10"/>
  <c r="C151" i="10" s="1"/>
  <c r="B152" i="10"/>
  <c r="C152" i="10" s="1"/>
  <c r="B153" i="10"/>
  <c r="B154" i="10"/>
  <c r="C154" i="10" s="1"/>
  <c r="B155" i="10"/>
  <c r="C155" i="10" s="1"/>
  <c r="B156" i="10"/>
  <c r="C156" i="10" s="1"/>
  <c r="B157" i="10"/>
  <c r="C157" i="10" s="1"/>
  <c r="B158" i="10"/>
  <c r="C158" i="10" s="1"/>
  <c r="B159" i="10"/>
  <c r="C159" i="10" s="1"/>
  <c r="B160" i="10"/>
  <c r="C160" i="10" s="1"/>
  <c r="B161" i="10"/>
  <c r="C161" i="10" s="1"/>
  <c r="B162" i="10"/>
  <c r="C162" i="10" s="1"/>
  <c r="B163" i="10"/>
  <c r="C163" i="10" s="1"/>
  <c r="B164" i="10"/>
  <c r="C164" i="10" s="1"/>
  <c r="B165" i="10"/>
  <c r="C165" i="10" s="1"/>
  <c r="B166" i="10"/>
  <c r="C166" i="10" s="1"/>
  <c r="B167" i="10"/>
  <c r="C167" i="10" s="1"/>
  <c r="B168" i="10"/>
  <c r="C168" i="10" s="1"/>
  <c r="B169" i="10"/>
  <c r="C169" i="10" s="1"/>
  <c r="B170" i="10"/>
  <c r="C170" i="10" s="1"/>
  <c r="B171" i="10"/>
  <c r="C171" i="10" s="1"/>
  <c r="B172" i="10"/>
  <c r="C172" i="10" s="1"/>
  <c r="B173" i="10"/>
  <c r="C173" i="10" s="1"/>
  <c r="B174" i="10"/>
  <c r="C174" i="10" s="1"/>
  <c r="B175" i="10"/>
  <c r="C175" i="10" s="1"/>
  <c r="B176" i="10"/>
  <c r="C176" i="10" s="1"/>
  <c r="B177" i="10"/>
  <c r="B178" i="10"/>
  <c r="B179" i="10"/>
  <c r="C179" i="10" s="1"/>
  <c r="B180" i="10"/>
  <c r="C180" i="10" s="1"/>
  <c r="B181" i="10"/>
  <c r="B182" i="10"/>
  <c r="C182" i="10" s="1"/>
  <c r="B183" i="10"/>
  <c r="C183" i="10" s="1"/>
  <c r="B184" i="10"/>
  <c r="C184" i="10" s="1"/>
  <c r="B185" i="10"/>
  <c r="C185" i="10" s="1"/>
  <c r="B186" i="10"/>
  <c r="C186" i="10" s="1"/>
  <c r="B187" i="10"/>
  <c r="C187" i="10" s="1"/>
  <c r="B188" i="10"/>
  <c r="B189" i="10"/>
  <c r="C189" i="10" s="1"/>
  <c r="B190" i="10"/>
  <c r="C190" i="10" s="1"/>
  <c r="B191" i="10"/>
  <c r="C191" i="10" s="1"/>
  <c r="B192" i="10"/>
  <c r="B193" i="10"/>
  <c r="C193" i="10" s="1"/>
  <c r="B194" i="10"/>
  <c r="C194" i="10" s="1"/>
  <c r="B195" i="10"/>
  <c r="C195" i="10" s="1"/>
  <c r="B196" i="10"/>
  <c r="C196" i="10" s="1"/>
  <c r="B197" i="10"/>
  <c r="C197" i="10" s="1"/>
  <c r="B198" i="10"/>
  <c r="B199" i="10"/>
  <c r="C199" i="10" s="1"/>
  <c r="B200" i="10"/>
  <c r="C200" i="10" s="1"/>
  <c r="B201" i="10"/>
  <c r="C201" i="10" s="1"/>
  <c r="B202" i="10"/>
  <c r="B203" i="10"/>
  <c r="C203" i="10" s="1"/>
  <c r="B204" i="10"/>
  <c r="C204" i="10" s="1"/>
  <c r="B205" i="10"/>
  <c r="B206" i="10"/>
  <c r="C206" i="10" s="1"/>
  <c r="B207" i="10"/>
  <c r="C207" i="10" s="1"/>
  <c r="B208" i="10"/>
  <c r="C208" i="10" s="1"/>
  <c r="B209" i="10"/>
  <c r="C209" i="10" s="1"/>
  <c r="B210" i="10"/>
  <c r="C210" i="10" s="1"/>
  <c r="B211" i="10"/>
  <c r="C211" i="10" s="1"/>
  <c r="B212" i="10"/>
  <c r="C212" i="10" s="1"/>
  <c r="B213" i="10"/>
  <c r="C213" i="10" s="1"/>
  <c r="B214" i="10"/>
  <c r="B215" i="10"/>
  <c r="C215" i="10" s="1"/>
  <c r="B216" i="10"/>
  <c r="C216" i="10" s="1"/>
  <c r="B217" i="10"/>
  <c r="C217" i="10" s="1"/>
  <c r="B218" i="10"/>
  <c r="C218" i="10" s="1"/>
  <c r="B219" i="10"/>
  <c r="C219" i="10" s="1"/>
  <c r="B220" i="10"/>
  <c r="C220" i="10" s="1"/>
  <c r="B221" i="10"/>
  <c r="C221" i="10" s="1"/>
  <c r="B222" i="10"/>
  <c r="C222" i="10" s="1"/>
  <c r="B223" i="10"/>
  <c r="C223" i="10" s="1"/>
  <c r="B224" i="10"/>
  <c r="C224" i="10" s="1"/>
  <c r="B225" i="10"/>
  <c r="C225" i="10" s="1"/>
  <c r="B226" i="10"/>
  <c r="C226" i="10" s="1"/>
  <c r="B227" i="10"/>
  <c r="C227" i="10" s="1"/>
  <c r="B228" i="10"/>
  <c r="C228" i="10" s="1"/>
  <c r="B229" i="10"/>
  <c r="B230" i="10"/>
  <c r="C230" i="10" s="1"/>
  <c r="B231" i="10"/>
  <c r="C231" i="10" s="1"/>
  <c r="B232" i="10"/>
  <c r="C232" i="10" s="1"/>
  <c r="B233" i="10"/>
  <c r="C233" i="10" s="1"/>
  <c r="B234" i="10"/>
  <c r="C234" i="10" s="1"/>
  <c r="B235" i="10"/>
  <c r="C235" i="10" s="1"/>
  <c r="B236" i="10"/>
  <c r="C236" i="10" s="1"/>
  <c r="B237" i="10"/>
  <c r="C237" i="10" s="1"/>
  <c r="B238" i="10"/>
  <c r="B239" i="10"/>
  <c r="B240" i="10"/>
  <c r="C240" i="10" s="1"/>
  <c r="B241" i="10"/>
  <c r="C241" i="10" s="1"/>
  <c r="B242" i="10"/>
  <c r="C242" i="10" s="1"/>
  <c r="B243" i="10"/>
  <c r="C243" i="10" s="1"/>
  <c r="B244" i="10"/>
  <c r="C244" i="10" s="1"/>
  <c r="B245" i="10"/>
  <c r="C245" i="10" s="1"/>
  <c r="B246" i="10"/>
  <c r="C246" i="10" s="1"/>
  <c r="B247" i="10"/>
  <c r="C247" i="10" s="1"/>
  <c r="B248" i="10"/>
  <c r="C248" i="10" s="1"/>
  <c r="B249" i="10"/>
  <c r="C249" i="10" s="1"/>
  <c r="B250" i="10"/>
  <c r="C250" i="10" s="1"/>
  <c r="B251" i="10"/>
  <c r="C251" i="10" s="1"/>
  <c r="B252" i="10"/>
  <c r="C252" i="10" s="1"/>
  <c r="B253" i="10"/>
  <c r="C253" i="10" s="1"/>
  <c r="B254" i="10"/>
  <c r="C254" i="10" s="1"/>
  <c r="B255" i="10"/>
  <c r="C255" i="10" s="1"/>
  <c r="B256" i="10"/>
  <c r="C256" i="10" s="1"/>
  <c r="B257" i="10"/>
  <c r="C257" i="10" s="1"/>
  <c r="B258" i="10"/>
  <c r="C258" i="10" s="1"/>
  <c r="B259" i="10"/>
  <c r="B260" i="10"/>
  <c r="B261" i="10"/>
  <c r="C261" i="10" s="1"/>
  <c r="B262" i="10"/>
  <c r="B263" i="10"/>
  <c r="B264" i="10"/>
  <c r="C264" i="10" s="1"/>
  <c r="B265" i="10"/>
  <c r="B266" i="10"/>
  <c r="C266" i="10" s="1"/>
  <c r="B267" i="10"/>
  <c r="C267" i="10" s="1"/>
  <c r="B268" i="10"/>
  <c r="C268" i="10" s="1"/>
  <c r="B5" i="10"/>
  <c r="C5" i="10" s="1"/>
  <c r="C88" i="10"/>
  <c r="C147" i="10"/>
  <c r="C148" i="10"/>
  <c r="C181" i="10"/>
  <c r="C205" i="10"/>
  <c r="C229" i="10"/>
  <c r="C265" i="10"/>
  <c r="A1" i="10"/>
  <c r="A1" i="9"/>
  <c r="A1" i="8"/>
  <c r="A1" i="7"/>
  <c r="A1" i="5"/>
  <c r="A1" i="3"/>
  <c r="A1" i="4"/>
  <c r="A5" i="3"/>
  <c r="B4" i="4"/>
  <c r="C4" i="4" s="1"/>
  <c r="D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6" i="1"/>
  <c r="C263" i="10"/>
  <c r="C262" i="10"/>
  <c r="C260" i="10"/>
  <c r="C259" i="10"/>
  <c r="C239" i="10"/>
  <c r="C238" i="10"/>
  <c r="C214" i="10"/>
  <c r="C202" i="10"/>
  <c r="C198" i="10"/>
  <c r="C192" i="10"/>
  <c r="C188" i="10"/>
  <c r="C178" i="10"/>
  <c r="C177" i="10"/>
  <c r="C153" i="10"/>
  <c r="C140" i="10"/>
  <c r="C138" i="10"/>
  <c r="C82" i="10"/>
  <c r="C80" i="10"/>
  <c r="C21" i="10"/>
  <c r="C20" i="10"/>
  <c r="C12" i="10"/>
  <c r="C243" i="9"/>
  <c r="C237" i="9"/>
  <c r="C227" i="9"/>
  <c r="C226" i="9"/>
  <c r="C225" i="9"/>
  <c r="C214" i="9"/>
  <c r="C165" i="9"/>
  <c r="C154" i="9"/>
  <c r="C131" i="9"/>
  <c r="C130" i="9"/>
  <c r="C70" i="9"/>
  <c r="C47" i="9"/>
  <c r="C46" i="9"/>
  <c r="C22" i="9"/>
  <c r="C259" i="8"/>
  <c r="C249" i="8"/>
  <c r="C248" i="8"/>
  <c r="C239" i="8"/>
  <c r="C236" i="8"/>
  <c r="C235" i="8"/>
  <c r="C212" i="8"/>
  <c r="C211" i="8"/>
  <c r="C208" i="8"/>
  <c r="C207" i="8"/>
  <c r="C201" i="8"/>
  <c r="C200" i="8"/>
  <c r="C199" i="8"/>
  <c r="C176" i="8"/>
  <c r="C175" i="8"/>
  <c r="C165" i="8"/>
  <c r="C164" i="8"/>
  <c r="C152" i="8"/>
  <c r="C151" i="8"/>
  <c r="C111" i="8"/>
  <c r="C104" i="8"/>
  <c r="C103" i="8"/>
  <c r="C68" i="8"/>
  <c r="C67" i="8"/>
  <c r="C57" i="8"/>
  <c r="C33" i="8"/>
  <c r="C15" i="8"/>
  <c r="C7" i="8"/>
  <c r="C248" i="7"/>
  <c r="C247" i="7"/>
  <c r="C246" i="7"/>
  <c r="C236" i="7"/>
  <c r="C235" i="7"/>
  <c r="C231" i="7"/>
  <c r="C230" i="7"/>
  <c r="C211" i="7"/>
  <c r="C210" i="7"/>
  <c r="C198" i="7"/>
  <c r="C195" i="7"/>
  <c r="C187" i="7"/>
  <c r="C186" i="7"/>
  <c r="C176" i="7"/>
  <c r="C175" i="7"/>
  <c r="C163" i="7"/>
  <c r="C162" i="7"/>
  <c r="C127" i="7"/>
  <c r="C126" i="7"/>
  <c r="C90" i="7"/>
  <c r="C85" i="7"/>
  <c r="C73" i="7"/>
  <c r="C55" i="7"/>
  <c r="C31" i="7"/>
  <c r="C30" i="7"/>
  <c r="C20" i="7"/>
  <c r="C260" i="5"/>
  <c r="C259" i="5"/>
  <c r="C247" i="5"/>
  <c r="C236" i="5"/>
  <c r="C223" i="5"/>
  <c r="C188" i="5"/>
  <c r="C187" i="5"/>
  <c r="C176" i="5"/>
  <c r="C175" i="5"/>
  <c r="C140" i="5"/>
  <c r="C91" i="5"/>
  <c r="C86" i="5"/>
  <c r="C32" i="5"/>
  <c r="C260" i="3"/>
  <c r="C236" i="3"/>
  <c r="C227" i="3"/>
  <c r="C224" i="3"/>
  <c r="C215" i="3"/>
  <c r="C212" i="3"/>
  <c r="C192" i="3"/>
  <c r="C191" i="3"/>
  <c r="C176" i="3"/>
  <c r="C164" i="3"/>
  <c r="C152" i="3"/>
  <c r="C143" i="3"/>
  <c r="C116" i="3"/>
  <c r="C83" i="3"/>
  <c r="C80" i="3"/>
  <c r="C44" i="3"/>
  <c r="C32" i="3"/>
  <c r="C20" i="3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K4" i="8" l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</calcChain>
</file>

<file path=xl/sharedStrings.xml><?xml version="1.0" encoding="utf-8"?>
<sst xmlns="http://schemas.openxmlformats.org/spreadsheetml/2006/main" count="114" uniqueCount="30">
  <si>
    <t>N'Street</t>
  </si>
  <si>
    <t>Hanwella</t>
  </si>
  <si>
    <t>Glencourse</t>
  </si>
  <si>
    <t>Kithulgala</t>
  </si>
  <si>
    <t>Holombuwa</t>
  </si>
  <si>
    <t>Deraniyagala</t>
  </si>
  <si>
    <t>Norwood</t>
  </si>
  <si>
    <t>WL (ft)</t>
  </si>
  <si>
    <t>WL (m)</t>
  </si>
  <si>
    <r>
      <t>Q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s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</si>
  <si>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t>RF</t>
  </si>
  <si>
    <t>Station Name</t>
  </si>
  <si>
    <t>Castlereigh(CEB)</t>
  </si>
  <si>
    <t>Norton(CEB)</t>
  </si>
  <si>
    <t>Maussakelle(CEB)</t>
  </si>
  <si>
    <t>Canyon(CEB)</t>
  </si>
  <si>
    <t>Laxapana(CEB)</t>
  </si>
  <si>
    <t>Alert</t>
  </si>
  <si>
    <t>Minor</t>
  </si>
  <si>
    <t>Major</t>
  </si>
  <si>
    <t>No 01</t>
  </si>
  <si>
    <t>No 02</t>
  </si>
  <si>
    <t>No 03</t>
  </si>
  <si>
    <t>No 04</t>
  </si>
  <si>
    <t>Range</t>
  </si>
  <si>
    <t>Colombo (Irrigation)</t>
  </si>
  <si>
    <t>Hourly Water Level &amp; Discharges</t>
  </si>
  <si>
    <t>Daily Rainfall in mm</t>
  </si>
  <si>
    <t>RF (mm)</t>
  </si>
  <si>
    <t>2026 Kelani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</si>
</sst>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2" fontId="0" fillId="0" borderId="0" xfId="0" applyNumberFormat="1"/>
    <xf numFmtId="0" fontId="5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2" fontId="0" fillId="0" borderId="0" xfId="0" applyNumberFormat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0" xfId="0" applyFont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7" fillId="0" borderId="0" xfId="0" applyFont="1"/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10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 vertical="center"/>
    </xf>
    <xf numFmtId="2" fontId="9" fillId="0" borderId="0" xfId="0" applyNumberFormat="1" applyFont="1"/>
    <xf numFmtId="2" fontId="9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2" fontId="9" fillId="4" borderId="0" xfId="0" applyNumberFormat="1" applyFont="1" applyFill="1" applyAlignment="1">
      <alignment horizontal="right"/>
    </xf>
    <xf numFmtId="2" fontId="9" fillId="3" borderId="0" xfId="0" applyNumberFormat="1" applyFont="1" applyFill="1" applyAlignment="1">
      <alignment horizontal="right"/>
    </xf>
    <xf numFmtId="2" fontId="9" fillId="2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Hanwella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Hanwella!$D$4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Hanwella!$D$5:$D$268</c:f>
              <c:numCache>
                <c:formatCode>0.00</c:formatCode>
                <c:ptCount val="2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</c:v>
                </c:pt>
                <c:pt idx="6">
                  <c:v>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0.7</c:v>
                </c:pt>
                <c:pt idx="50">
                  <c:v>0</c:v>
                </c:pt>
                <c:pt idx="51">
                  <c:v>1.3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0.3</c:v>
                </c:pt>
                <c:pt idx="68">
                  <c:v>4.2</c:v>
                </c:pt>
                <c:pt idx="69">
                  <c:v>0.7</c:v>
                </c:pt>
                <c:pt idx="70">
                  <c:v>0.6</c:v>
                </c:pt>
                <c:pt idx="71">
                  <c:v>0.3</c:v>
                </c:pt>
                <c:pt idx="72">
                  <c:v>0</c:v>
                </c:pt>
                <c:pt idx="73">
                  <c:v>0</c:v>
                </c:pt>
                <c:pt idx="74">
                  <c:v>6.9</c:v>
                </c:pt>
                <c:pt idx="75">
                  <c:v>0</c:v>
                </c:pt>
                <c:pt idx="76">
                  <c:v>0</c:v>
                </c:pt>
                <c:pt idx="77">
                  <c:v>0.7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1.2</c:v>
                </c:pt>
                <c:pt idx="124">
                  <c:v>0</c:v>
                </c:pt>
                <c:pt idx="125">
                  <c:v>1</c:v>
                </c:pt>
                <c:pt idx="126">
                  <c:v>0.5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0.8</c:v>
                </c:pt>
                <c:pt idx="134">
                  <c:v>0.5</c:v>
                </c:pt>
                <c:pt idx="135">
                  <c:v>0.3</c:v>
                </c:pt>
                <c:pt idx="136">
                  <c:v>0.2</c:v>
                </c:pt>
                <c:pt idx="137">
                  <c:v>0.3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F7D-80DF-4BC6AF79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Hanwella!$B$4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Hanwella!$A$5:$A$268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Hanwella!$B$5:$B$268</c:f>
              <c:numCache>
                <c:formatCode>0.00</c:formatCode>
                <c:ptCount val="264"/>
                <c:pt idx="0">
                  <c:v>0.47</c:v>
                </c:pt>
                <c:pt idx="1">
                  <c:v>0.47</c:v>
                </c:pt>
                <c:pt idx="2">
                  <c:v>0.48</c:v>
                </c:pt>
                <c:pt idx="3">
                  <c:v>0.49</c:v>
                </c:pt>
                <c:pt idx="4">
                  <c:v>0.51</c:v>
                </c:pt>
                <c:pt idx="5">
                  <c:v>0.55000000000000004</c:v>
                </c:pt>
                <c:pt idx="6">
                  <c:v>0.64</c:v>
                </c:pt>
                <c:pt idx="7">
                  <c:v>0.66</c:v>
                </c:pt>
                <c:pt idx="8">
                  <c:v>0.68</c:v>
                </c:pt>
                <c:pt idx="9">
                  <c:v>0.69</c:v>
                </c:pt>
                <c:pt idx="10">
                  <c:v>0.7</c:v>
                </c:pt>
                <c:pt idx="11">
                  <c:v>0.7</c:v>
                </c:pt>
                <c:pt idx="12">
                  <c:v>0.72</c:v>
                </c:pt>
                <c:pt idx="13">
                  <c:v>0.72</c:v>
                </c:pt>
                <c:pt idx="14">
                  <c:v>0.74</c:v>
                </c:pt>
                <c:pt idx="15">
                  <c:v>0.76</c:v>
                </c:pt>
                <c:pt idx="16">
                  <c:v>0.76</c:v>
                </c:pt>
                <c:pt idx="17">
                  <c:v>0.77</c:v>
                </c:pt>
                <c:pt idx="18">
                  <c:v>0.77</c:v>
                </c:pt>
                <c:pt idx="19">
                  <c:v>0.76</c:v>
                </c:pt>
                <c:pt idx="20">
                  <c:v>0.73</c:v>
                </c:pt>
                <c:pt idx="21">
                  <c:v>0.69</c:v>
                </c:pt>
                <c:pt idx="22">
                  <c:v>0.67</c:v>
                </c:pt>
                <c:pt idx="23">
                  <c:v>0.66</c:v>
                </c:pt>
                <c:pt idx="24">
                  <c:v>0.66</c:v>
                </c:pt>
                <c:pt idx="25">
                  <c:v>0.68</c:v>
                </c:pt>
                <c:pt idx="26">
                  <c:v>0.71</c:v>
                </c:pt>
                <c:pt idx="27">
                  <c:v>0.73</c:v>
                </c:pt>
                <c:pt idx="28">
                  <c:v>0.74</c:v>
                </c:pt>
                <c:pt idx="29">
                  <c:v>0.76</c:v>
                </c:pt>
                <c:pt idx="30">
                  <c:v>0.78</c:v>
                </c:pt>
                <c:pt idx="31">
                  <c:v>0.79</c:v>
                </c:pt>
                <c:pt idx="32">
                  <c:v>0.79</c:v>
                </c:pt>
                <c:pt idx="33">
                  <c:v>0.78</c:v>
                </c:pt>
                <c:pt idx="34">
                  <c:v>0.75</c:v>
                </c:pt>
                <c:pt idx="35">
                  <c:v>0.72</c:v>
                </c:pt>
                <c:pt idx="36">
                  <c:v>0.69</c:v>
                </c:pt>
                <c:pt idx="37">
                  <c:v>0.66</c:v>
                </c:pt>
                <c:pt idx="38">
                  <c:v>0.64</c:v>
                </c:pt>
                <c:pt idx="39">
                  <c:v>0.63</c:v>
                </c:pt>
                <c:pt idx="40">
                  <c:v>0.63</c:v>
                </c:pt>
                <c:pt idx="41">
                  <c:v>0.62</c:v>
                </c:pt>
                <c:pt idx="42">
                  <c:v>0.6</c:v>
                </c:pt>
                <c:pt idx="43">
                  <c:v>0.57999999999999996</c:v>
                </c:pt>
                <c:pt idx="44">
                  <c:v>0.56000000000000005</c:v>
                </c:pt>
                <c:pt idx="45">
                  <c:v>0.53</c:v>
                </c:pt>
                <c:pt idx="46">
                  <c:v>0.51</c:v>
                </c:pt>
                <c:pt idx="47">
                  <c:v>0.5</c:v>
                </c:pt>
                <c:pt idx="48">
                  <c:v>0.49</c:v>
                </c:pt>
                <c:pt idx="49">
                  <c:v>0.49</c:v>
                </c:pt>
                <c:pt idx="50">
                  <c:v>0.51</c:v>
                </c:pt>
                <c:pt idx="51">
                  <c:v>0.56999999999999995</c:v>
                </c:pt>
                <c:pt idx="52">
                  <c:v>0.61</c:v>
                </c:pt>
                <c:pt idx="53">
                  <c:v>0.69</c:v>
                </c:pt>
                <c:pt idx="54">
                  <c:v>0.72</c:v>
                </c:pt>
                <c:pt idx="55">
                  <c:v>0.72</c:v>
                </c:pt>
                <c:pt idx="56">
                  <c:v>0.71</c:v>
                </c:pt>
                <c:pt idx="57">
                  <c:v>0.68</c:v>
                </c:pt>
                <c:pt idx="58">
                  <c:v>0.67</c:v>
                </c:pt>
                <c:pt idx="59">
                  <c:v>0.64</c:v>
                </c:pt>
                <c:pt idx="60">
                  <c:v>0.62</c:v>
                </c:pt>
                <c:pt idx="61">
                  <c:v>0.6</c:v>
                </c:pt>
                <c:pt idx="62">
                  <c:v>0.57999999999999996</c:v>
                </c:pt>
                <c:pt idx="63">
                  <c:v>0.59</c:v>
                </c:pt>
                <c:pt idx="64">
                  <c:v>0.63</c:v>
                </c:pt>
                <c:pt idx="65">
                  <c:v>0.67</c:v>
                </c:pt>
                <c:pt idx="66">
                  <c:v>0.69</c:v>
                </c:pt>
                <c:pt idx="67">
                  <c:v>0.69</c:v>
                </c:pt>
                <c:pt idx="68">
                  <c:v>0.68</c:v>
                </c:pt>
                <c:pt idx="69">
                  <c:v>0.67</c:v>
                </c:pt>
                <c:pt idx="70">
                  <c:v>0.65</c:v>
                </c:pt>
                <c:pt idx="71">
                  <c:v>0.63</c:v>
                </c:pt>
                <c:pt idx="72">
                  <c:v>0.63</c:v>
                </c:pt>
                <c:pt idx="73">
                  <c:v>0.64</c:v>
                </c:pt>
                <c:pt idx="74">
                  <c:v>0.68</c:v>
                </c:pt>
                <c:pt idx="75">
                  <c:v>0.8</c:v>
                </c:pt>
                <c:pt idx="76">
                  <c:v>0.99</c:v>
                </c:pt>
                <c:pt idx="77">
                  <c:v>1.21</c:v>
                </c:pt>
                <c:pt idx="78">
                  <c:v>1.56</c:v>
                </c:pt>
                <c:pt idx="79">
                  <c:v>2.1800000000000002</c:v>
                </c:pt>
                <c:pt idx="80">
                  <c:v>2.98</c:v>
                </c:pt>
                <c:pt idx="81">
                  <c:v>3.8</c:v>
                </c:pt>
                <c:pt idx="82">
                  <c:v>4.34</c:v>
                </c:pt>
                <c:pt idx="83">
                  <c:v>4.8</c:v>
                </c:pt>
                <c:pt idx="84">
                  <c:v>5.12</c:v>
                </c:pt>
                <c:pt idx="85">
                  <c:v>5.35</c:v>
                </c:pt>
                <c:pt idx="86">
                  <c:v>5.51</c:v>
                </c:pt>
                <c:pt idx="87">
                  <c:v>5.6</c:v>
                </c:pt>
                <c:pt idx="88">
                  <c:v>5.6</c:v>
                </c:pt>
                <c:pt idx="89">
                  <c:v>5.53</c:v>
                </c:pt>
                <c:pt idx="90">
                  <c:v>5.44</c:v>
                </c:pt>
                <c:pt idx="91">
                  <c:v>5.3</c:v>
                </c:pt>
                <c:pt idx="92">
                  <c:v>5.12</c:v>
                </c:pt>
                <c:pt idx="93">
                  <c:v>4.91</c:v>
                </c:pt>
                <c:pt idx="94">
                  <c:v>4.7</c:v>
                </c:pt>
                <c:pt idx="95">
                  <c:v>4.5199999999999996</c:v>
                </c:pt>
                <c:pt idx="96">
                  <c:v>4.28</c:v>
                </c:pt>
                <c:pt idx="97">
                  <c:v>4.13</c:v>
                </c:pt>
                <c:pt idx="98">
                  <c:v>4.05</c:v>
                </c:pt>
                <c:pt idx="99">
                  <c:v>3.81</c:v>
                </c:pt>
                <c:pt idx="100">
                  <c:v>3.54</c:v>
                </c:pt>
                <c:pt idx="101">
                  <c:v>3.14</c:v>
                </c:pt>
                <c:pt idx="102">
                  <c:v>2.74</c:v>
                </c:pt>
                <c:pt idx="103">
                  <c:v>2.59</c:v>
                </c:pt>
                <c:pt idx="104">
                  <c:v>2.44</c:v>
                </c:pt>
                <c:pt idx="105">
                  <c:v>2.2599999999999998</c:v>
                </c:pt>
                <c:pt idx="106">
                  <c:v>2.17</c:v>
                </c:pt>
                <c:pt idx="107">
                  <c:v>2.06</c:v>
                </c:pt>
                <c:pt idx="108">
                  <c:v>1.97</c:v>
                </c:pt>
                <c:pt idx="109">
                  <c:v>1.91</c:v>
                </c:pt>
                <c:pt idx="110">
                  <c:v>1.86</c:v>
                </c:pt>
                <c:pt idx="111">
                  <c:v>1.82</c:v>
                </c:pt>
                <c:pt idx="112">
                  <c:v>1.79</c:v>
                </c:pt>
                <c:pt idx="113">
                  <c:v>1.75</c:v>
                </c:pt>
                <c:pt idx="114">
                  <c:v>1.72</c:v>
                </c:pt>
                <c:pt idx="115">
                  <c:v>1.68</c:v>
                </c:pt>
                <c:pt idx="116">
                  <c:v>1.64</c:v>
                </c:pt>
                <c:pt idx="117">
                  <c:v>1.6</c:v>
                </c:pt>
                <c:pt idx="118">
                  <c:v>1.57</c:v>
                </c:pt>
                <c:pt idx="119">
                  <c:v>1.55</c:v>
                </c:pt>
                <c:pt idx="120">
                  <c:v>1.54</c:v>
                </c:pt>
                <c:pt idx="121">
                  <c:v>1.57</c:v>
                </c:pt>
                <c:pt idx="122">
                  <c:v>1.64</c:v>
                </c:pt>
                <c:pt idx="123">
                  <c:v>1.87</c:v>
                </c:pt>
                <c:pt idx="124">
                  <c:v>2.21</c:v>
                </c:pt>
                <c:pt idx="125">
                  <c:v>3.4</c:v>
                </c:pt>
                <c:pt idx="126">
                  <c:v>4.0199999999999996</c:v>
                </c:pt>
                <c:pt idx="127">
                  <c:v>4.45</c:v>
                </c:pt>
                <c:pt idx="128">
                  <c:v>4.7699999999999996</c:v>
                </c:pt>
                <c:pt idx="129">
                  <c:v>4.97</c:v>
                </c:pt>
                <c:pt idx="130">
                  <c:v>5.1100000000000003</c:v>
                </c:pt>
                <c:pt idx="131">
                  <c:v>5.18</c:v>
                </c:pt>
                <c:pt idx="132">
                  <c:v>5.2</c:v>
                </c:pt>
                <c:pt idx="133">
                  <c:v>5.18</c:v>
                </c:pt>
                <c:pt idx="134">
                  <c:v>5.18</c:v>
                </c:pt>
                <c:pt idx="135">
                  <c:v>5.32</c:v>
                </c:pt>
                <c:pt idx="136">
                  <c:v>5.55</c:v>
                </c:pt>
                <c:pt idx="137">
                  <c:v>5.8</c:v>
                </c:pt>
                <c:pt idx="138">
                  <c:v>6.09</c:v>
                </c:pt>
                <c:pt idx="139">
                  <c:v>6.35</c:v>
                </c:pt>
                <c:pt idx="140">
                  <c:v>6.57</c:v>
                </c:pt>
                <c:pt idx="141">
                  <c:v>6.77</c:v>
                </c:pt>
                <c:pt idx="142">
                  <c:v>6.91</c:v>
                </c:pt>
                <c:pt idx="143">
                  <c:v>7.01</c:v>
                </c:pt>
                <c:pt idx="144">
                  <c:v>7.1</c:v>
                </c:pt>
                <c:pt idx="145">
                  <c:v>7.15</c:v>
                </c:pt>
                <c:pt idx="146">
                  <c:v>7.17</c:v>
                </c:pt>
                <c:pt idx="147">
                  <c:v>7.15</c:v>
                </c:pt>
                <c:pt idx="148">
                  <c:v>7.11</c:v>
                </c:pt>
                <c:pt idx="149">
                  <c:v>7.04</c:v>
                </c:pt>
                <c:pt idx="150">
                  <c:v>6.94</c:v>
                </c:pt>
                <c:pt idx="151">
                  <c:v>6.85</c:v>
                </c:pt>
                <c:pt idx="152">
                  <c:v>6.73</c:v>
                </c:pt>
                <c:pt idx="153">
                  <c:v>6.61</c:v>
                </c:pt>
                <c:pt idx="154">
                  <c:v>6.45</c:v>
                </c:pt>
                <c:pt idx="155">
                  <c:v>6.28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E-4F7D-80DF-4BC6AF7926AB}"/>
            </c:ext>
          </c:extLst>
        </c:ser>
        <c:ser>
          <c:idx val="2"/>
          <c:order val="2"/>
          <c:tx>
            <c:strRef>
              <c:f>Hanwella!$E$4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Hanwella!$A$5:$A$268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Hanwella!$E$5:$E$268</c:f>
              <c:numCache>
                <c:formatCode>0.00</c:formatCode>
                <c:ptCount val="26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E9-4BEC-87F1-56A8CA10F4C9}"/>
            </c:ext>
          </c:extLst>
        </c:ser>
        <c:ser>
          <c:idx val="3"/>
          <c:order val="3"/>
          <c:tx>
            <c:strRef>
              <c:f>Hanwella!$F$4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Hanwella!$A$5:$A$268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Hanwella!$F$5:$F$268</c:f>
              <c:numCache>
                <c:formatCode>0.00</c:formatCode>
                <c:ptCount val="26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BE9-4BEC-87F1-56A8CA10F4C9}"/>
            </c:ext>
          </c:extLst>
        </c:ser>
        <c:ser>
          <c:idx val="4"/>
          <c:order val="4"/>
          <c:tx>
            <c:strRef>
              <c:f>Hanwella!$G$4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Hanwella!$A$5:$A$268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Hanwella!$G$5:$G$268</c:f>
              <c:numCache>
                <c:formatCode>0.00</c:formatCode>
                <c:ptCount val="26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BE9-4BEC-87F1-56A8CA10F4C9}"/>
            </c:ext>
          </c:extLst>
        </c:ser>
        <c:ser>
          <c:idx val="5"/>
          <c:order val="5"/>
          <c:tx>
            <c:strRef>
              <c:f>Hanwella!$J$2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BE9-4BEC-87F1-56A8CA10F4C9}"/>
            </c:ext>
          </c:extLst>
        </c:ser>
        <c:ser>
          <c:idx val="6"/>
          <c:order val="6"/>
          <c:tx>
            <c:strRef>
              <c:f>Hanwella!$K$2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BE9-4BEC-87F1-56A8CA10F4C9}"/>
            </c:ext>
          </c:extLst>
        </c:ser>
        <c:ser>
          <c:idx val="7"/>
          <c:order val="7"/>
          <c:tx>
            <c:strRef>
              <c:f>Hanwella!$L$2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BE9-4BEC-87F1-56A8CA10F4C9}"/>
            </c:ext>
          </c:extLst>
        </c:ser>
        <c:ser>
          <c:idx val="8"/>
          <c:order val="8"/>
          <c:tx>
            <c:strRef>
              <c:f>Hanwella!$M$2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Hanwella!$M$3:$M$4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Hanwella!$I$3:$I$4</c:f>
              <c:numCache>
                <c:formatCode>General</c:formatCode>
                <c:ptCount val="2"/>
                <c:pt idx="0">
                  <c:v>0</c:v>
                </c:pt>
                <c:pt idx="1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BE9-4BEC-87F1-56A8CA10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Discharge in Cumecs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Glencourse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Glencourse!$D$4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Glencourse!$D$5:$D$268</c:f>
              <c:numCache>
                <c:formatCode>0.00</c:formatCode>
                <c:ptCount val="26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3.3</c:v>
                </c:pt>
                <c:pt idx="5">
                  <c:v>0</c:v>
                </c:pt>
                <c:pt idx="6">
                  <c:v>0.4</c:v>
                </c:pt>
                <c:pt idx="7">
                  <c:v>0</c:v>
                </c:pt>
                <c:pt idx="8">
                  <c:v>0</c:v>
                </c:pt>
                <c:pt idx="9">
                  <c:v>1.2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</c:v>
                </c:pt>
                <c:pt idx="39">
                  <c:v>2.5</c:v>
                </c:pt>
                <c:pt idx="40">
                  <c:v>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4.2</c:v>
                </c:pt>
                <c:pt idx="62">
                  <c:v>0.8</c:v>
                </c:pt>
                <c:pt idx="63">
                  <c:v>0</c:v>
                </c:pt>
                <c:pt idx="64">
                  <c:v>0</c:v>
                </c:pt>
                <c:pt idx="65">
                  <c:v>0.6</c:v>
                </c:pt>
                <c:pt idx="66">
                  <c:v>0</c:v>
                </c:pt>
                <c:pt idx="67">
                  <c:v>0</c:v>
                </c:pt>
                <c:pt idx="68">
                  <c:v>3.3</c:v>
                </c:pt>
                <c:pt idx="69">
                  <c:v>5.2</c:v>
                </c:pt>
                <c:pt idx="70">
                  <c:v>0</c:v>
                </c:pt>
                <c:pt idx="71">
                  <c:v>0</c:v>
                </c:pt>
                <c:pt idx="72">
                  <c:v>7.5</c:v>
                </c:pt>
                <c:pt idx="73">
                  <c:v>21.5</c:v>
                </c:pt>
                <c:pt idx="74">
                  <c:v>7.2</c:v>
                </c:pt>
                <c:pt idx="75">
                  <c:v>2</c:v>
                </c:pt>
                <c:pt idx="76">
                  <c:v>1.2</c:v>
                </c:pt>
                <c:pt idx="77">
                  <c:v>7.5</c:v>
                </c:pt>
                <c:pt idx="78">
                  <c:v>0.7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0.7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3.6</c:v>
                </c:pt>
                <c:pt idx="119">
                  <c:v>1</c:v>
                </c:pt>
                <c:pt idx="120">
                  <c:v>1.7</c:v>
                </c:pt>
                <c:pt idx="121">
                  <c:v>1.3</c:v>
                </c:pt>
                <c:pt idx="122">
                  <c:v>0.6</c:v>
                </c:pt>
                <c:pt idx="123">
                  <c:v>1.4</c:v>
                </c:pt>
                <c:pt idx="124">
                  <c:v>1.8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2.1</c:v>
                </c:pt>
                <c:pt idx="131">
                  <c:v>1.5</c:v>
                </c:pt>
                <c:pt idx="132">
                  <c:v>2</c:v>
                </c:pt>
                <c:pt idx="133">
                  <c:v>1.6</c:v>
                </c:pt>
                <c:pt idx="134">
                  <c:v>3</c:v>
                </c:pt>
                <c:pt idx="135">
                  <c:v>1.2</c:v>
                </c:pt>
                <c:pt idx="136">
                  <c:v>1.5</c:v>
                </c:pt>
                <c:pt idx="137">
                  <c:v>0.6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0.5</c:v>
                </c:pt>
                <c:pt idx="146">
                  <c:v>1.7</c:v>
                </c:pt>
                <c:pt idx="147">
                  <c:v>0</c:v>
                </c:pt>
                <c:pt idx="148">
                  <c:v>0</c:v>
                </c:pt>
                <c:pt idx="149">
                  <c:v>2.9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0-4483-BC8C-3E82FF0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Glencourse!$B$4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Glencourse!$A$5:$A$268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Glencourse!$B$5:$B$268</c:f>
              <c:numCache>
                <c:formatCode>0.00</c:formatCode>
                <c:ptCount val="264"/>
                <c:pt idx="0">
                  <c:v>8.85</c:v>
                </c:pt>
                <c:pt idx="1">
                  <c:v>8.91</c:v>
                </c:pt>
                <c:pt idx="2">
                  <c:v>9.0500000000000007</c:v>
                </c:pt>
                <c:pt idx="3">
                  <c:v>9.1300000000000008</c:v>
                </c:pt>
                <c:pt idx="4">
                  <c:v>9.1</c:v>
                </c:pt>
                <c:pt idx="5">
                  <c:v>9.08</c:v>
                </c:pt>
                <c:pt idx="6">
                  <c:v>9.06</c:v>
                </c:pt>
                <c:pt idx="7">
                  <c:v>9.0399999999999991</c:v>
                </c:pt>
                <c:pt idx="8">
                  <c:v>9.0299999999999994</c:v>
                </c:pt>
                <c:pt idx="9">
                  <c:v>9.01</c:v>
                </c:pt>
                <c:pt idx="10">
                  <c:v>9</c:v>
                </c:pt>
                <c:pt idx="11">
                  <c:v>8.98</c:v>
                </c:pt>
                <c:pt idx="12">
                  <c:v>9.02</c:v>
                </c:pt>
                <c:pt idx="13">
                  <c:v>9.0500000000000007</c:v>
                </c:pt>
                <c:pt idx="14">
                  <c:v>9.06</c:v>
                </c:pt>
                <c:pt idx="15">
                  <c:v>9.0500000000000007</c:v>
                </c:pt>
                <c:pt idx="16">
                  <c:v>8.98</c:v>
                </c:pt>
                <c:pt idx="17">
                  <c:v>8.9</c:v>
                </c:pt>
                <c:pt idx="18">
                  <c:v>8.86</c:v>
                </c:pt>
                <c:pt idx="19">
                  <c:v>8.85</c:v>
                </c:pt>
                <c:pt idx="20">
                  <c:v>8.9</c:v>
                </c:pt>
                <c:pt idx="21">
                  <c:v>8.98</c:v>
                </c:pt>
                <c:pt idx="22">
                  <c:v>9.0299999999999994</c:v>
                </c:pt>
                <c:pt idx="23">
                  <c:v>8.9700000000000006</c:v>
                </c:pt>
                <c:pt idx="24">
                  <c:v>8.9700000000000006</c:v>
                </c:pt>
                <c:pt idx="25">
                  <c:v>9.08</c:v>
                </c:pt>
                <c:pt idx="26">
                  <c:v>9.16</c:v>
                </c:pt>
                <c:pt idx="27">
                  <c:v>9.1999999999999993</c:v>
                </c:pt>
                <c:pt idx="28">
                  <c:v>9.18</c:v>
                </c:pt>
                <c:pt idx="29">
                  <c:v>9.16</c:v>
                </c:pt>
                <c:pt idx="30">
                  <c:v>9.1</c:v>
                </c:pt>
                <c:pt idx="31">
                  <c:v>9.0299999999999994</c:v>
                </c:pt>
                <c:pt idx="32">
                  <c:v>8.93</c:v>
                </c:pt>
                <c:pt idx="33">
                  <c:v>8.8800000000000008</c:v>
                </c:pt>
                <c:pt idx="34">
                  <c:v>8.85</c:v>
                </c:pt>
                <c:pt idx="35">
                  <c:v>8.83</c:v>
                </c:pt>
                <c:pt idx="36">
                  <c:v>8.83</c:v>
                </c:pt>
                <c:pt idx="37">
                  <c:v>8.7899999999999991</c:v>
                </c:pt>
                <c:pt idx="38">
                  <c:v>8.7799999999999994</c:v>
                </c:pt>
                <c:pt idx="39">
                  <c:v>8.7799999999999994</c:v>
                </c:pt>
                <c:pt idx="40">
                  <c:v>8.75</c:v>
                </c:pt>
                <c:pt idx="41">
                  <c:v>8.73</c:v>
                </c:pt>
                <c:pt idx="42">
                  <c:v>8.69</c:v>
                </c:pt>
                <c:pt idx="43">
                  <c:v>8.6300000000000008</c:v>
                </c:pt>
                <c:pt idx="44">
                  <c:v>8.6</c:v>
                </c:pt>
                <c:pt idx="45">
                  <c:v>8.67</c:v>
                </c:pt>
                <c:pt idx="46">
                  <c:v>8.7799999999999994</c:v>
                </c:pt>
                <c:pt idx="47">
                  <c:v>8.8000000000000007</c:v>
                </c:pt>
                <c:pt idx="48">
                  <c:v>8.9700000000000006</c:v>
                </c:pt>
                <c:pt idx="49">
                  <c:v>9.1</c:v>
                </c:pt>
                <c:pt idx="50">
                  <c:v>9.15</c:v>
                </c:pt>
                <c:pt idx="51">
                  <c:v>9.15</c:v>
                </c:pt>
                <c:pt idx="52">
                  <c:v>9.08</c:v>
                </c:pt>
                <c:pt idx="53">
                  <c:v>9</c:v>
                </c:pt>
                <c:pt idx="54">
                  <c:v>8.9499999999999993</c:v>
                </c:pt>
                <c:pt idx="55">
                  <c:v>8.9</c:v>
                </c:pt>
                <c:pt idx="56">
                  <c:v>8.8699999999999992</c:v>
                </c:pt>
                <c:pt idx="57">
                  <c:v>8.83</c:v>
                </c:pt>
                <c:pt idx="58">
                  <c:v>8.8000000000000007</c:v>
                </c:pt>
                <c:pt idx="59">
                  <c:v>8.75</c:v>
                </c:pt>
                <c:pt idx="60">
                  <c:v>8.7200000000000006</c:v>
                </c:pt>
                <c:pt idx="61">
                  <c:v>8.92</c:v>
                </c:pt>
                <c:pt idx="62">
                  <c:v>9.0500000000000007</c:v>
                </c:pt>
                <c:pt idx="63">
                  <c:v>9.0500000000000007</c:v>
                </c:pt>
                <c:pt idx="64">
                  <c:v>8.9600000000000009</c:v>
                </c:pt>
                <c:pt idx="65">
                  <c:v>9.84</c:v>
                </c:pt>
                <c:pt idx="66">
                  <c:v>8.93</c:v>
                </c:pt>
                <c:pt idx="67">
                  <c:v>8.9</c:v>
                </c:pt>
                <c:pt idx="68">
                  <c:v>8.8800000000000008</c:v>
                </c:pt>
                <c:pt idx="69">
                  <c:v>8.89</c:v>
                </c:pt>
                <c:pt idx="70">
                  <c:v>8.93</c:v>
                </c:pt>
                <c:pt idx="71">
                  <c:v>9.15</c:v>
                </c:pt>
                <c:pt idx="72">
                  <c:v>9.34</c:v>
                </c:pt>
                <c:pt idx="73">
                  <c:v>9.5299999999999994</c:v>
                </c:pt>
                <c:pt idx="74">
                  <c:v>9.76</c:v>
                </c:pt>
                <c:pt idx="75">
                  <c:v>10.130000000000001</c:v>
                </c:pt>
                <c:pt idx="76">
                  <c:v>10.73</c:v>
                </c:pt>
                <c:pt idx="77">
                  <c:v>11.75</c:v>
                </c:pt>
                <c:pt idx="78">
                  <c:v>13.04</c:v>
                </c:pt>
                <c:pt idx="79">
                  <c:v>13.85</c:v>
                </c:pt>
                <c:pt idx="80">
                  <c:v>14.45</c:v>
                </c:pt>
                <c:pt idx="81">
                  <c:v>14.75</c:v>
                </c:pt>
                <c:pt idx="82">
                  <c:v>14.9</c:v>
                </c:pt>
                <c:pt idx="83">
                  <c:v>14.95</c:v>
                </c:pt>
                <c:pt idx="84">
                  <c:v>14.88</c:v>
                </c:pt>
                <c:pt idx="85">
                  <c:v>14.72</c:v>
                </c:pt>
                <c:pt idx="86">
                  <c:v>14.46</c:v>
                </c:pt>
                <c:pt idx="87">
                  <c:v>14.11</c:v>
                </c:pt>
                <c:pt idx="88">
                  <c:v>13.7</c:v>
                </c:pt>
                <c:pt idx="89">
                  <c:v>13.42</c:v>
                </c:pt>
                <c:pt idx="90">
                  <c:v>12.85</c:v>
                </c:pt>
                <c:pt idx="91">
                  <c:v>12.46</c:v>
                </c:pt>
                <c:pt idx="92">
                  <c:v>12.07</c:v>
                </c:pt>
                <c:pt idx="93">
                  <c:v>11.73</c:v>
                </c:pt>
                <c:pt idx="94">
                  <c:v>11.45</c:v>
                </c:pt>
                <c:pt idx="95">
                  <c:v>11.2</c:v>
                </c:pt>
                <c:pt idx="96">
                  <c:v>10.98</c:v>
                </c:pt>
                <c:pt idx="97">
                  <c:v>10.81</c:v>
                </c:pt>
                <c:pt idx="98">
                  <c:v>10.68</c:v>
                </c:pt>
                <c:pt idx="99">
                  <c:v>10.57</c:v>
                </c:pt>
                <c:pt idx="100">
                  <c:v>10.47</c:v>
                </c:pt>
                <c:pt idx="101">
                  <c:v>10.47</c:v>
                </c:pt>
                <c:pt idx="102">
                  <c:v>10.28</c:v>
                </c:pt>
                <c:pt idx="103">
                  <c:v>10.18</c:v>
                </c:pt>
                <c:pt idx="104">
                  <c:v>10.1</c:v>
                </c:pt>
                <c:pt idx="105">
                  <c:v>10.07</c:v>
                </c:pt>
                <c:pt idx="106">
                  <c:v>10.09</c:v>
                </c:pt>
                <c:pt idx="107">
                  <c:v>10.1</c:v>
                </c:pt>
                <c:pt idx="108">
                  <c:v>10.11</c:v>
                </c:pt>
                <c:pt idx="109">
                  <c:v>10.11</c:v>
                </c:pt>
                <c:pt idx="110">
                  <c:v>10.06</c:v>
                </c:pt>
                <c:pt idx="111">
                  <c:v>10.029999999999999</c:v>
                </c:pt>
                <c:pt idx="112">
                  <c:v>9.9700000000000006</c:v>
                </c:pt>
                <c:pt idx="113">
                  <c:v>9.93</c:v>
                </c:pt>
                <c:pt idx="114">
                  <c:v>9.91</c:v>
                </c:pt>
                <c:pt idx="115">
                  <c:v>9.89</c:v>
                </c:pt>
                <c:pt idx="116">
                  <c:v>9.8699999999999992</c:v>
                </c:pt>
                <c:pt idx="117">
                  <c:v>9.9</c:v>
                </c:pt>
                <c:pt idx="118">
                  <c:v>10.050000000000001</c:v>
                </c:pt>
                <c:pt idx="119">
                  <c:v>10.199999999999999</c:v>
                </c:pt>
                <c:pt idx="120">
                  <c:v>10.5</c:v>
                </c:pt>
                <c:pt idx="121">
                  <c:v>11.09</c:v>
                </c:pt>
                <c:pt idx="122">
                  <c:v>12.42</c:v>
                </c:pt>
                <c:pt idx="123">
                  <c:v>13.52</c:v>
                </c:pt>
                <c:pt idx="124">
                  <c:v>14.05</c:v>
                </c:pt>
                <c:pt idx="125">
                  <c:v>14.31</c:v>
                </c:pt>
                <c:pt idx="126">
                  <c:v>14.4</c:v>
                </c:pt>
                <c:pt idx="127">
                  <c:v>14.41</c:v>
                </c:pt>
                <c:pt idx="128">
                  <c:v>14.35</c:v>
                </c:pt>
                <c:pt idx="129">
                  <c:v>14.21</c:v>
                </c:pt>
                <c:pt idx="130">
                  <c:v>14.05</c:v>
                </c:pt>
                <c:pt idx="131">
                  <c:v>13.81</c:v>
                </c:pt>
                <c:pt idx="132">
                  <c:v>13.68</c:v>
                </c:pt>
                <c:pt idx="133">
                  <c:v>14</c:v>
                </c:pt>
                <c:pt idx="134">
                  <c:v>14.6</c:v>
                </c:pt>
                <c:pt idx="135">
                  <c:v>15.17</c:v>
                </c:pt>
                <c:pt idx="136">
                  <c:v>15.65</c:v>
                </c:pt>
                <c:pt idx="137">
                  <c:v>15.96</c:v>
                </c:pt>
                <c:pt idx="138">
                  <c:v>16.190000000000001</c:v>
                </c:pt>
                <c:pt idx="139">
                  <c:v>16.329999999999998</c:v>
                </c:pt>
                <c:pt idx="140">
                  <c:v>16.43</c:v>
                </c:pt>
                <c:pt idx="141">
                  <c:v>16.43</c:v>
                </c:pt>
                <c:pt idx="142">
                  <c:v>16.38</c:v>
                </c:pt>
                <c:pt idx="143">
                  <c:v>16.29</c:v>
                </c:pt>
                <c:pt idx="144">
                  <c:v>16.100000000000001</c:v>
                </c:pt>
                <c:pt idx="145">
                  <c:v>16</c:v>
                </c:pt>
                <c:pt idx="146">
                  <c:v>15.81</c:v>
                </c:pt>
                <c:pt idx="147">
                  <c:v>15.41</c:v>
                </c:pt>
                <c:pt idx="148">
                  <c:v>15.37</c:v>
                </c:pt>
                <c:pt idx="149">
                  <c:v>15.12</c:v>
                </c:pt>
                <c:pt idx="150">
                  <c:v>14.85</c:v>
                </c:pt>
                <c:pt idx="151">
                  <c:v>14.6</c:v>
                </c:pt>
                <c:pt idx="152">
                  <c:v>14.3</c:v>
                </c:pt>
                <c:pt idx="153">
                  <c:v>14.06</c:v>
                </c:pt>
                <c:pt idx="154">
                  <c:v>13.83</c:v>
                </c:pt>
                <c:pt idx="155">
                  <c:v>13.6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D0-4483-BC8C-3E82FF0F37AE}"/>
            </c:ext>
          </c:extLst>
        </c:ser>
        <c:ser>
          <c:idx val="2"/>
          <c:order val="2"/>
          <c:tx>
            <c:strRef>
              <c:f>Glencourse!$E$4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Glencourse!$A$5:$A$268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Glencourse!$E$5:$E$268</c:f>
              <c:numCache>
                <c:formatCode>0.00</c:formatCode>
                <c:ptCount val="26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15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15</c:v>
                </c:pt>
                <c:pt idx="227">
                  <c:v>15</c:v>
                </c:pt>
                <c:pt idx="228">
                  <c:v>15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15</c:v>
                </c:pt>
                <c:pt idx="237">
                  <c:v>15</c:v>
                </c:pt>
                <c:pt idx="238">
                  <c:v>15</c:v>
                </c:pt>
                <c:pt idx="239">
                  <c:v>15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D0-4483-BC8C-3E82FF0F37AE}"/>
            </c:ext>
          </c:extLst>
        </c:ser>
        <c:ser>
          <c:idx val="3"/>
          <c:order val="3"/>
          <c:tx>
            <c:strRef>
              <c:f>Glencourse!$F$4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Glencourse!$A$5:$A$268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Glencourse!$F$5:$F$268</c:f>
              <c:numCache>
                <c:formatCode>0.00</c:formatCode>
                <c:ptCount val="264"/>
                <c:pt idx="0">
                  <c:v>16.5</c:v>
                </c:pt>
                <c:pt idx="1">
                  <c:v>16.5</c:v>
                </c:pt>
                <c:pt idx="2">
                  <c:v>16.5</c:v>
                </c:pt>
                <c:pt idx="3">
                  <c:v>16.5</c:v>
                </c:pt>
                <c:pt idx="4">
                  <c:v>16.5</c:v>
                </c:pt>
                <c:pt idx="5">
                  <c:v>16.5</c:v>
                </c:pt>
                <c:pt idx="6">
                  <c:v>16.5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16.5</c:v>
                </c:pt>
                <c:pt idx="11">
                  <c:v>16.5</c:v>
                </c:pt>
                <c:pt idx="12">
                  <c:v>16.5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16.5</c:v>
                </c:pt>
                <c:pt idx="17">
                  <c:v>16.5</c:v>
                </c:pt>
                <c:pt idx="18">
                  <c:v>16.5</c:v>
                </c:pt>
                <c:pt idx="19">
                  <c:v>16.5</c:v>
                </c:pt>
                <c:pt idx="20">
                  <c:v>16.5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16.5</c:v>
                </c:pt>
                <c:pt idx="33">
                  <c:v>16.5</c:v>
                </c:pt>
                <c:pt idx="34">
                  <c:v>16.5</c:v>
                </c:pt>
                <c:pt idx="35">
                  <c:v>16.5</c:v>
                </c:pt>
                <c:pt idx="36">
                  <c:v>16.5</c:v>
                </c:pt>
                <c:pt idx="37">
                  <c:v>16.5</c:v>
                </c:pt>
                <c:pt idx="38">
                  <c:v>16.5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16.5</c:v>
                </c:pt>
                <c:pt idx="45">
                  <c:v>16.5</c:v>
                </c:pt>
                <c:pt idx="46">
                  <c:v>16.5</c:v>
                </c:pt>
                <c:pt idx="47">
                  <c:v>16.5</c:v>
                </c:pt>
                <c:pt idx="48">
                  <c:v>16.5</c:v>
                </c:pt>
                <c:pt idx="49">
                  <c:v>16.5</c:v>
                </c:pt>
                <c:pt idx="50">
                  <c:v>16.5</c:v>
                </c:pt>
                <c:pt idx="51">
                  <c:v>16.5</c:v>
                </c:pt>
                <c:pt idx="52">
                  <c:v>16.5</c:v>
                </c:pt>
                <c:pt idx="53">
                  <c:v>16.5</c:v>
                </c:pt>
                <c:pt idx="54">
                  <c:v>16.5</c:v>
                </c:pt>
                <c:pt idx="55">
                  <c:v>16.5</c:v>
                </c:pt>
                <c:pt idx="56">
                  <c:v>16.5</c:v>
                </c:pt>
                <c:pt idx="57">
                  <c:v>16.5</c:v>
                </c:pt>
                <c:pt idx="58">
                  <c:v>16.5</c:v>
                </c:pt>
                <c:pt idx="59">
                  <c:v>16.5</c:v>
                </c:pt>
                <c:pt idx="60">
                  <c:v>16.5</c:v>
                </c:pt>
                <c:pt idx="61">
                  <c:v>16.5</c:v>
                </c:pt>
                <c:pt idx="62">
                  <c:v>16.5</c:v>
                </c:pt>
                <c:pt idx="63">
                  <c:v>16.5</c:v>
                </c:pt>
                <c:pt idx="64">
                  <c:v>16.5</c:v>
                </c:pt>
                <c:pt idx="65">
                  <c:v>16.5</c:v>
                </c:pt>
                <c:pt idx="66">
                  <c:v>16.5</c:v>
                </c:pt>
                <c:pt idx="67">
                  <c:v>16.5</c:v>
                </c:pt>
                <c:pt idx="68">
                  <c:v>16.5</c:v>
                </c:pt>
                <c:pt idx="69">
                  <c:v>16.5</c:v>
                </c:pt>
                <c:pt idx="70">
                  <c:v>16.5</c:v>
                </c:pt>
                <c:pt idx="71">
                  <c:v>16.5</c:v>
                </c:pt>
                <c:pt idx="72">
                  <c:v>16.5</c:v>
                </c:pt>
                <c:pt idx="73">
                  <c:v>16.5</c:v>
                </c:pt>
                <c:pt idx="74">
                  <c:v>16.5</c:v>
                </c:pt>
                <c:pt idx="75">
                  <c:v>16.5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16.5</c:v>
                </c:pt>
                <c:pt idx="84">
                  <c:v>16.5</c:v>
                </c:pt>
                <c:pt idx="85">
                  <c:v>16.5</c:v>
                </c:pt>
                <c:pt idx="86">
                  <c:v>16.5</c:v>
                </c:pt>
                <c:pt idx="87">
                  <c:v>16.5</c:v>
                </c:pt>
                <c:pt idx="88">
                  <c:v>16.5</c:v>
                </c:pt>
                <c:pt idx="89">
                  <c:v>16.5</c:v>
                </c:pt>
                <c:pt idx="90">
                  <c:v>16.5</c:v>
                </c:pt>
                <c:pt idx="91">
                  <c:v>16.5</c:v>
                </c:pt>
                <c:pt idx="92">
                  <c:v>16.5</c:v>
                </c:pt>
                <c:pt idx="93">
                  <c:v>16.5</c:v>
                </c:pt>
                <c:pt idx="94">
                  <c:v>16.5</c:v>
                </c:pt>
                <c:pt idx="95">
                  <c:v>16.5</c:v>
                </c:pt>
                <c:pt idx="96">
                  <c:v>16.5</c:v>
                </c:pt>
                <c:pt idx="97">
                  <c:v>16.5</c:v>
                </c:pt>
                <c:pt idx="98">
                  <c:v>16.5</c:v>
                </c:pt>
                <c:pt idx="99">
                  <c:v>16.5</c:v>
                </c:pt>
                <c:pt idx="100">
                  <c:v>16.5</c:v>
                </c:pt>
                <c:pt idx="101">
                  <c:v>16.5</c:v>
                </c:pt>
                <c:pt idx="102">
                  <c:v>16.5</c:v>
                </c:pt>
                <c:pt idx="103">
                  <c:v>16.5</c:v>
                </c:pt>
                <c:pt idx="104">
                  <c:v>16.5</c:v>
                </c:pt>
                <c:pt idx="105">
                  <c:v>16.5</c:v>
                </c:pt>
                <c:pt idx="106">
                  <c:v>16.5</c:v>
                </c:pt>
                <c:pt idx="107">
                  <c:v>16.5</c:v>
                </c:pt>
                <c:pt idx="108">
                  <c:v>16.5</c:v>
                </c:pt>
                <c:pt idx="109">
                  <c:v>16.5</c:v>
                </c:pt>
                <c:pt idx="110">
                  <c:v>16.5</c:v>
                </c:pt>
                <c:pt idx="111">
                  <c:v>16.5</c:v>
                </c:pt>
                <c:pt idx="112">
                  <c:v>16.5</c:v>
                </c:pt>
                <c:pt idx="113">
                  <c:v>16.5</c:v>
                </c:pt>
                <c:pt idx="114">
                  <c:v>16.5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16.5</c:v>
                </c:pt>
                <c:pt idx="121">
                  <c:v>16.5</c:v>
                </c:pt>
                <c:pt idx="122">
                  <c:v>16.5</c:v>
                </c:pt>
                <c:pt idx="123">
                  <c:v>16.5</c:v>
                </c:pt>
                <c:pt idx="124">
                  <c:v>16.5</c:v>
                </c:pt>
                <c:pt idx="125">
                  <c:v>16.5</c:v>
                </c:pt>
                <c:pt idx="126">
                  <c:v>16.5</c:v>
                </c:pt>
                <c:pt idx="127">
                  <c:v>16.5</c:v>
                </c:pt>
                <c:pt idx="128">
                  <c:v>16.5</c:v>
                </c:pt>
                <c:pt idx="129">
                  <c:v>16.5</c:v>
                </c:pt>
                <c:pt idx="130">
                  <c:v>16.5</c:v>
                </c:pt>
                <c:pt idx="131">
                  <c:v>16.5</c:v>
                </c:pt>
                <c:pt idx="132">
                  <c:v>16.5</c:v>
                </c:pt>
                <c:pt idx="133">
                  <c:v>16.5</c:v>
                </c:pt>
                <c:pt idx="134">
                  <c:v>16.5</c:v>
                </c:pt>
                <c:pt idx="135">
                  <c:v>16.5</c:v>
                </c:pt>
                <c:pt idx="136">
                  <c:v>16.5</c:v>
                </c:pt>
                <c:pt idx="137">
                  <c:v>16.5</c:v>
                </c:pt>
                <c:pt idx="138">
                  <c:v>16.5</c:v>
                </c:pt>
                <c:pt idx="139">
                  <c:v>16.5</c:v>
                </c:pt>
                <c:pt idx="140">
                  <c:v>16.5</c:v>
                </c:pt>
                <c:pt idx="141">
                  <c:v>16.5</c:v>
                </c:pt>
                <c:pt idx="142">
                  <c:v>16.5</c:v>
                </c:pt>
                <c:pt idx="143">
                  <c:v>16.5</c:v>
                </c:pt>
                <c:pt idx="144">
                  <c:v>16.5</c:v>
                </c:pt>
                <c:pt idx="145">
                  <c:v>16.5</c:v>
                </c:pt>
                <c:pt idx="146">
                  <c:v>16.5</c:v>
                </c:pt>
                <c:pt idx="147">
                  <c:v>16.5</c:v>
                </c:pt>
                <c:pt idx="148">
                  <c:v>16.5</c:v>
                </c:pt>
                <c:pt idx="149">
                  <c:v>16.5</c:v>
                </c:pt>
                <c:pt idx="150">
                  <c:v>16.5</c:v>
                </c:pt>
                <c:pt idx="151">
                  <c:v>16.5</c:v>
                </c:pt>
                <c:pt idx="152">
                  <c:v>16.5</c:v>
                </c:pt>
                <c:pt idx="153">
                  <c:v>16.5</c:v>
                </c:pt>
                <c:pt idx="154">
                  <c:v>16.5</c:v>
                </c:pt>
                <c:pt idx="155">
                  <c:v>16.5</c:v>
                </c:pt>
                <c:pt idx="156">
                  <c:v>16.5</c:v>
                </c:pt>
                <c:pt idx="157">
                  <c:v>16.5</c:v>
                </c:pt>
                <c:pt idx="158">
                  <c:v>16.5</c:v>
                </c:pt>
                <c:pt idx="159">
                  <c:v>16.5</c:v>
                </c:pt>
                <c:pt idx="160">
                  <c:v>16.5</c:v>
                </c:pt>
                <c:pt idx="161">
                  <c:v>16.5</c:v>
                </c:pt>
                <c:pt idx="162">
                  <c:v>16.5</c:v>
                </c:pt>
                <c:pt idx="163">
                  <c:v>16.5</c:v>
                </c:pt>
                <c:pt idx="164">
                  <c:v>16.5</c:v>
                </c:pt>
                <c:pt idx="165">
                  <c:v>16.5</c:v>
                </c:pt>
                <c:pt idx="166">
                  <c:v>16.5</c:v>
                </c:pt>
                <c:pt idx="167">
                  <c:v>16.5</c:v>
                </c:pt>
                <c:pt idx="168">
                  <c:v>16.5</c:v>
                </c:pt>
                <c:pt idx="169">
                  <c:v>16.5</c:v>
                </c:pt>
                <c:pt idx="170">
                  <c:v>16.5</c:v>
                </c:pt>
                <c:pt idx="171">
                  <c:v>16.5</c:v>
                </c:pt>
                <c:pt idx="172">
                  <c:v>16.5</c:v>
                </c:pt>
                <c:pt idx="173">
                  <c:v>16.5</c:v>
                </c:pt>
                <c:pt idx="174">
                  <c:v>16.5</c:v>
                </c:pt>
                <c:pt idx="175">
                  <c:v>16.5</c:v>
                </c:pt>
                <c:pt idx="176">
                  <c:v>16.5</c:v>
                </c:pt>
                <c:pt idx="177">
                  <c:v>16.5</c:v>
                </c:pt>
                <c:pt idx="178">
                  <c:v>16.5</c:v>
                </c:pt>
                <c:pt idx="179">
                  <c:v>16.5</c:v>
                </c:pt>
                <c:pt idx="180">
                  <c:v>16.5</c:v>
                </c:pt>
                <c:pt idx="181">
                  <c:v>16.5</c:v>
                </c:pt>
                <c:pt idx="182">
                  <c:v>16.5</c:v>
                </c:pt>
                <c:pt idx="183">
                  <c:v>16.5</c:v>
                </c:pt>
                <c:pt idx="184">
                  <c:v>16.5</c:v>
                </c:pt>
                <c:pt idx="185">
                  <c:v>16.5</c:v>
                </c:pt>
                <c:pt idx="186">
                  <c:v>16.5</c:v>
                </c:pt>
                <c:pt idx="187">
                  <c:v>16.5</c:v>
                </c:pt>
                <c:pt idx="188">
                  <c:v>16.5</c:v>
                </c:pt>
                <c:pt idx="189">
                  <c:v>16.5</c:v>
                </c:pt>
                <c:pt idx="190">
                  <c:v>16.5</c:v>
                </c:pt>
                <c:pt idx="191">
                  <c:v>16.5</c:v>
                </c:pt>
                <c:pt idx="192">
                  <c:v>16.5</c:v>
                </c:pt>
                <c:pt idx="193">
                  <c:v>16.5</c:v>
                </c:pt>
                <c:pt idx="194">
                  <c:v>16.5</c:v>
                </c:pt>
                <c:pt idx="195">
                  <c:v>16.5</c:v>
                </c:pt>
                <c:pt idx="196">
                  <c:v>16.5</c:v>
                </c:pt>
                <c:pt idx="197">
                  <c:v>16.5</c:v>
                </c:pt>
                <c:pt idx="198">
                  <c:v>16.5</c:v>
                </c:pt>
                <c:pt idx="199">
                  <c:v>16.5</c:v>
                </c:pt>
                <c:pt idx="200">
                  <c:v>16.5</c:v>
                </c:pt>
                <c:pt idx="201">
                  <c:v>16.5</c:v>
                </c:pt>
                <c:pt idx="202">
                  <c:v>16.5</c:v>
                </c:pt>
                <c:pt idx="203">
                  <c:v>16.5</c:v>
                </c:pt>
                <c:pt idx="204">
                  <c:v>16.5</c:v>
                </c:pt>
                <c:pt idx="205">
                  <c:v>16.5</c:v>
                </c:pt>
                <c:pt idx="206">
                  <c:v>16.5</c:v>
                </c:pt>
                <c:pt idx="207">
                  <c:v>16.5</c:v>
                </c:pt>
                <c:pt idx="208">
                  <c:v>16.5</c:v>
                </c:pt>
                <c:pt idx="209">
                  <c:v>16.5</c:v>
                </c:pt>
                <c:pt idx="210">
                  <c:v>16.5</c:v>
                </c:pt>
                <c:pt idx="211">
                  <c:v>16.5</c:v>
                </c:pt>
                <c:pt idx="212">
                  <c:v>16.5</c:v>
                </c:pt>
                <c:pt idx="213">
                  <c:v>16.5</c:v>
                </c:pt>
                <c:pt idx="214">
                  <c:v>16.5</c:v>
                </c:pt>
                <c:pt idx="215">
                  <c:v>16.5</c:v>
                </c:pt>
                <c:pt idx="216">
                  <c:v>16.5</c:v>
                </c:pt>
                <c:pt idx="217">
                  <c:v>16.5</c:v>
                </c:pt>
                <c:pt idx="218">
                  <c:v>16.5</c:v>
                </c:pt>
                <c:pt idx="219">
                  <c:v>16.5</c:v>
                </c:pt>
                <c:pt idx="220">
                  <c:v>16.5</c:v>
                </c:pt>
                <c:pt idx="221">
                  <c:v>16.5</c:v>
                </c:pt>
                <c:pt idx="222">
                  <c:v>16.5</c:v>
                </c:pt>
                <c:pt idx="223">
                  <c:v>16.5</c:v>
                </c:pt>
                <c:pt idx="224">
                  <c:v>16.5</c:v>
                </c:pt>
                <c:pt idx="225">
                  <c:v>16.5</c:v>
                </c:pt>
                <c:pt idx="226">
                  <c:v>16.5</c:v>
                </c:pt>
                <c:pt idx="227">
                  <c:v>16.5</c:v>
                </c:pt>
                <c:pt idx="228">
                  <c:v>16.5</c:v>
                </c:pt>
                <c:pt idx="229">
                  <c:v>16.5</c:v>
                </c:pt>
                <c:pt idx="230">
                  <c:v>16.5</c:v>
                </c:pt>
                <c:pt idx="231">
                  <c:v>16.5</c:v>
                </c:pt>
                <c:pt idx="232">
                  <c:v>16.5</c:v>
                </c:pt>
                <c:pt idx="233">
                  <c:v>16.5</c:v>
                </c:pt>
                <c:pt idx="234">
                  <c:v>16.5</c:v>
                </c:pt>
                <c:pt idx="235">
                  <c:v>16.5</c:v>
                </c:pt>
                <c:pt idx="236">
                  <c:v>16.5</c:v>
                </c:pt>
                <c:pt idx="237">
                  <c:v>16.5</c:v>
                </c:pt>
                <c:pt idx="238">
                  <c:v>16.5</c:v>
                </c:pt>
                <c:pt idx="239">
                  <c:v>16.5</c:v>
                </c:pt>
                <c:pt idx="240">
                  <c:v>16.5</c:v>
                </c:pt>
                <c:pt idx="241">
                  <c:v>16.5</c:v>
                </c:pt>
                <c:pt idx="242">
                  <c:v>16.5</c:v>
                </c:pt>
                <c:pt idx="243">
                  <c:v>16.5</c:v>
                </c:pt>
                <c:pt idx="244">
                  <c:v>16.5</c:v>
                </c:pt>
                <c:pt idx="245">
                  <c:v>16.5</c:v>
                </c:pt>
                <c:pt idx="246">
                  <c:v>16.5</c:v>
                </c:pt>
                <c:pt idx="247">
                  <c:v>16.5</c:v>
                </c:pt>
                <c:pt idx="248">
                  <c:v>16.5</c:v>
                </c:pt>
                <c:pt idx="249">
                  <c:v>16.5</c:v>
                </c:pt>
                <c:pt idx="250">
                  <c:v>16.5</c:v>
                </c:pt>
                <c:pt idx="251">
                  <c:v>16.5</c:v>
                </c:pt>
                <c:pt idx="252">
                  <c:v>16.5</c:v>
                </c:pt>
                <c:pt idx="253">
                  <c:v>16.5</c:v>
                </c:pt>
                <c:pt idx="254">
                  <c:v>16.5</c:v>
                </c:pt>
                <c:pt idx="255">
                  <c:v>16.5</c:v>
                </c:pt>
                <c:pt idx="256">
                  <c:v>16.5</c:v>
                </c:pt>
                <c:pt idx="257">
                  <c:v>16.5</c:v>
                </c:pt>
                <c:pt idx="258">
                  <c:v>16.5</c:v>
                </c:pt>
                <c:pt idx="259">
                  <c:v>16.5</c:v>
                </c:pt>
                <c:pt idx="260">
                  <c:v>16.5</c:v>
                </c:pt>
                <c:pt idx="261">
                  <c:v>16.5</c:v>
                </c:pt>
                <c:pt idx="262">
                  <c:v>16.5</c:v>
                </c:pt>
                <c:pt idx="263">
                  <c:v>16.5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D0-4483-BC8C-3E82FF0F37AE}"/>
            </c:ext>
          </c:extLst>
        </c:ser>
        <c:ser>
          <c:idx val="4"/>
          <c:order val="4"/>
          <c:tx>
            <c:strRef>
              <c:f>Glencourse!$G$4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Glencourse!$A$5:$A$268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Glencourse!$G$5:$G$268</c:f>
              <c:numCache>
                <c:formatCode>0.00</c:formatCode>
                <c:ptCount val="26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19</c:v>
                </c:pt>
                <c:pt idx="55">
                  <c:v>19</c:v>
                </c:pt>
                <c:pt idx="56">
                  <c:v>19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19</c:v>
                </c:pt>
                <c:pt idx="99">
                  <c:v>19</c:v>
                </c:pt>
                <c:pt idx="100">
                  <c:v>19</c:v>
                </c:pt>
                <c:pt idx="101">
                  <c:v>19</c:v>
                </c:pt>
                <c:pt idx="102">
                  <c:v>19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</c:v>
                </c:pt>
                <c:pt idx="170">
                  <c:v>19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  <c:pt idx="178">
                  <c:v>19</c:v>
                </c:pt>
                <c:pt idx="179">
                  <c:v>19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19</c:v>
                </c:pt>
                <c:pt idx="188">
                  <c:v>19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19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</c:v>
                </c:pt>
                <c:pt idx="199">
                  <c:v>19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19</c:v>
                </c:pt>
                <c:pt idx="204">
                  <c:v>19</c:v>
                </c:pt>
                <c:pt idx="205">
                  <c:v>19</c:v>
                </c:pt>
                <c:pt idx="206">
                  <c:v>19</c:v>
                </c:pt>
                <c:pt idx="207">
                  <c:v>19</c:v>
                </c:pt>
                <c:pt idx="208">
                  <c:v>19</c:v>
                </c:pt>
                <c:pt idx="209">
                  <c:v>19</c:v>
                </c:pt>
                <c:pt idx="210">
                  <c:v>19</c:v>
                </c:pt>
                <c:pt idx="211">
                  <c:v>19</c:v>
                </c:pt>
                <c:pt idx="212">
                  <c:v>19</c:v>
                </c:pt>
                <c:pt idx="213">
                  <c:v>19</c:v>
                </c:pt>
                <c:pt idx="214">
                  <c:v>19</c:v>
                </c:pt>
                <c:pt idx="215">
                  <c:v>19</c:v>
                </c:pt>
                <c:pt idx="216">
                  <c:v>19</c:v>
                </c:pt>
                <c:pt idx="217">
                  <c:v>19</c:v>
                </c:pt>
                <c:pt idx="218">
                  <c:v>19</c:v>
                </c:pt>
                <c:pt idx="219">
                  <c:v>19</c:v>
                </c:pt>
                <c:pt idx="220">
                  <c:v>19</c:v>
                </c:pt>
                <c:pt idx="221">
                  <c:v>19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19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D0-4483-BC8C-3E82FF0F37AE}"/>
            </c:ext>
          </c:extLst>
        </c:ser>
        <c:ser>
          <c:idx val="5"/>
          <c:order val="5"/>
          <c:tx>
            <c:strRef>
              <c:f>Glencourse!$J$2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D0-4483-BC8C-3E82FF0F37AE}"/>
            </c:ext>
          </c:extLst>
        </c:ser>
        <c:ser>
          <c:idx val="6"/>
          <c:order val="6"/>
          <c:tx>
            <c:strRef>
              <c:f>Glencourse!$K$2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D0-4483-BC8C-3E82FF0F37AE}"/>
            </c:ext>
          </c:extLst>
        </c:ser>
        <c:ser>
          <c:idx val="7"/>
          <c:order val="7"/>
          <c:tx>
            <c:strRef>
              <c:f>Glencourse!$L$2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D0-4483-BC8C-3E82FF0F37AE}"/>
            </c:ext>
          </c:extLst>
        </c:ser>
        <c:ser>
          <c:idx val="8"/>
          <c:order val="8"/>
          <c:tx>
            <c:strRef>
              <c:f>Glencourse!$M$2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Glencourse!$M$3:$M$4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Glencourse!$I$3:$I$4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D0-4483-BC8C-3E82FF0F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26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Kithulgala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Kithulgala!$D$4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Kithulgala!$D$5:$D$268</c:f>
              <c:numCache>
                <c:formatCode>0.00</c:formatCode>
                <c:ptCount val="264"/>
                <c:pt idx="0">
                  <c:v>38.989318107689378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9.8000000000000007</c:v>
                </c:pt>
                <c:pt idx="5">
                  <c:v>7</c:v>
                </c:pt>
                <c:pt idx="6">
                  <c:v>1.2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1.8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4.5</c:v>
                </c:pt>
                <c:pt idx="59">
                  <c:v>0.5</c:v>
                </c:pt>
                <c:pt idx="60">
                  <c:v>0</c:v>
                </c:pt>
                <c:pt idx="61">
                  <c:v>0</c:v>
                </c:pt>
                <c:pt idx="62">
                  <c:v>8.1999999999999993</c:v>
                </c:pt>
                <c:pt idx="63">
                  <c:v>1.5</c:v>
                </c:pt>
                <c:pt idx="64">
                  <c:v>1</c:v>
                </c:pt>
                <c:pt idx="65">
                  <c:v>0</c:v>
                </c:pt>
                <c:pt idx="66">
                  <c:v>4.5</c:v>
                </c:pt>
                <c:pt idx="67">
                  <c:v>3.3</c:v>
                </c:pt>
                <c:pt idx="68">
                  <c:v>1.7</c:v>
                </c:pt>
                <c:pt idx="69">
                  <c:v>1.5</c:v>
                </c:pt>
                <c:pt idx="70">
                  <c:v>20</c:v>
                </c:pt>
                <c:pt idx="71">
                  <c:v>2.2000000000000002</c:v>
                </c:pt>
                <c:pt idx="72">
                  <c:v>24.5</c:v>
                </c:pt>
                <c:pt idx="73">
                  <c:v>22</c:v>
                </c:pt>
                <c:pt idx="74">
                  <c:v>30</c:v>
                </c:pt>
                <c:pt idx="75">
                  <c:v>14.5</c:v>
                </c:pt>
                <c:pt idx="76">
                  <c:v>8</c:v>
                </c:pt>
                <c:pt idx="77">
                  <c:v>1.2</c:v>
                </c:pt>
                <c:pt idx="78">
                  <c:v>2</c:v>
                </c:pt>
                <c:pt idx="79">
                  <c:v>0</c:v>
                </c:pt>
                <c:pt idx="80">
                  <c:v>0.5</c:v>
                </c:pt>
                <c:pt idx="81">
                  <c:v>1.5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4.0999999999999996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0.5</c:v>
                </c:pt>
                <c:pt idx="100">
                  <c:v>4.5</c:v>
                </c:pt>
                <c:pt idx="101">
                  <c:v>0.5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1.2</c:v>
                </c:pt>
                <c:pt idx="109">
                  <c:v>5</c:v>
                </c:pt>
                <c:pt idx="110">
                  <c:v>2</c:v>
                </c:pt>
                <c:pt idx="111">
                  <c:v>0</c:v>
                </c:pt>
                <c:pt idx="112">
                  <c:v>1</c:v>
                </c:pt>
                <c:pt idx="113">
                  <c:v>6.9</c:v>
                </c:pt>
                <c:pt idx="114">
                  <c:v>7.2</c:v>
                </c:pt>
                <c:pt idx="115">
                  <c:v>0</c:v>
                </c:pt>
                <c:pt idx="116">
                  <c:v>7</c:v>
                </c:pt>
                <c:pt idx="117">
                  <c:v>9.5</c:v>
                </c:pt>
                <c:pt idx="118">
                  <c:v>67</c:v>
                </c:pt>
                <c:pt idx="119">
                  <c:v>20</c:v>
                </c:pt>
                <c:pt idx="120">
                  <c:v>3.2</c:v>
                </c:pt>
                <c:pt idx="121">
                  <c:v>4.5</c:v>
                </c:pt>
                <c:pt idx="122">
                  <c:v>1.5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1.6</c:v>
                </c:pt>
                <c:pt idx="127">
                  <c:v>5.7</c:v>
                </c:pt>
                <c:pt idx="128">
                  <c:v>5</c:v>
                </c:pt>
                <c:pt idx="129">
                  <c:v>16.399999999999999</c:v>
                </c:pt>
                <c:pt idx="130">
                  <c:v>65.8</c:v>
                </c:pt>
                <c:pt idx="131">
                  <c:v>22.9</c:v>
                </c:pt>
                <c:pt idx="132">
                  <c:v>8.6999999999999993</c:v>
                </c:pt>
                <c:pt idx="133">
                  <c:v>4.9000000000000004</c:v>
                </c:pt>
                <c:pt idx="134">
                  <c:v>1.5</c:v>
                </c:pt>
                <c:pt idx="135">
                  <c:v>0.5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10.7</c:v>
                </c:pt>
                <c:pt idx="149">
                  <c:v>0</c:v>
                </c:pt>
                <c:pt idx="150">
                  <c:v>1.5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0.5</c:v>
                </c:pt>
                <c:pt idx="155">
                  <c:v>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4FA1-989E-A4E35D23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Kithulgala!$B$4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Kithulgala!$A$5:$A$268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Kithulgala!$B$5:$B$268</c:f>
              <c:numCache>
                <c:formatCode>0.00</c:formatCode>
                <c:ptCount val="264"/>
                <c:pt idx="0">
                  <c:v>1.68</c:v>
                </c:pt>
                <c:pt idx="1">
                  <c:v>1.66</c:v>
                </c:pt>
                <c:pt idx="2">
                  <c:v>1.66</c:v>
                </c:pt>
                <c:pt idx="3">
                  <c:v>1.59</c:v>
                </c:pt>
                <c:pt idx="4">
                  <c:v>1.59</c:v>
                </c:pt>
                <c:pt idx="5">
                  <c:v>1.61</c:v>
                </c:pt>
                <c:pt idx="6">
                  <c:v>1.68</c:v>
                </c:pt>
                <c:pt idx="7">
                  <c:v>1.55</c:v>
                </c:pt>
                <c:pt idx="8">
                  <c:v>1.55</c:v>
                </c:pt>
                <c:pt idx="9">
                  <c:v>1.33</c:v>
                </c:pt>
                <c:pt idx="10">
                  <c:v>1.43</c:v>
                </c:pt>
                <c:pt idx="11">
                  <c:v>1.45</c:v>
                </c:pt>
                <c:pt idx="12">
                  <c:v>1.63</c:v>
                </c:pt>
                <c:pt idx="13">
                  <c:v>1.71</c:v>
                </c:pt>
                <c:pt idx="14">
                  <c:v>1.71</c:v>
                </c:pt>
                <c:pt idx="15">
                  <c:v>1.45</c:v>
                </c:pt>
                <c:pt idx="16">
                  <c:v>1.43</c:v>
                </c:pt>
                <c:pt idx="17">
                  <c:v>1.7</c:v>
                </c:pt>
                <c:pt idx="18">
                  <c:v>1.8</c:v>
                </c:pt>
                <c:pt idx="19">
                  <c:v>1.8</c:v>
                </c:pt>
                <c:pt idx="20">
                  <c:v>1.77</c:v>
                </c:pt>
                <c:pt idx="21">
                  <c:v>1.77</c:v>
                </c:pt>
                <c:pt idx="22">
                  <c:v>1.8</c:v>
                </c:pt>
                <c:pt idx="23">
                  <c:v>1.57</c:v>
                </c:pt>
                <c:pt idx="24">
                  <c:v>1.57</c:v>
                </c:pt>
                <c:pt idx="25">
                  <c:v>1.57</c:v>
                </c:pt>
                <c:pt idx="26">
                  <c:v>1.57</c:v>
                </c:pt>
                <c:pt idx="27">
                  <c:v>1.57</c:v>
                </c:pt>
                <c:pt idx="28">
                  <c:v>1.57</c:v>
                </c:pt>
                <c:pt idx="29">
                  <c:v>1.57</c:v>
                </c:pt>
                <c:pt idx="30">
                  <c:v>1.57</c:v>
                </c:pt>
                <c:pt idx="31">
                  <c:v>1.56</c:v>
                </c:pt>
                <c:pt idx="32">
                  <c:v>1.59</c:v>
                </c:pt>
                <c:pt idx="33">
                  <c:v>1.2</c:v>
                </c:pt>
                <c:pt idx="34">
                  <c:v>1.4</c:v>
                </c:pt>
                <c:pt idx="35">
                  <c:v>1.43</c:v>
                </c:pt>
                <c:pt idx="36">
                  <c:v>1.54</c:v>
                </c:pt>
                <c:pt idx="37">
                  <c:v>1.7</c:v>
                </c:pt>
                <c:pt idx="38">
                  <c:v>1.7</c:v>
                </c:pt>
                <c:pt idx="39">
                  <c:v>1.7</c:v>
                </c:pt>
                <c:pt idx="40">
                  <c:v>1.8</c:v>
                </c:pt>
                <c:pt idx="41">
                  <c:v>1.72</c:v>
                </c:pt>
                <c:pt idx="42">
                  <c:v>1.91</c:v>
                </c:pt>
                <c:pt idx="43">
                  <c:v>1.95</c:v>
                </c:pt>
                <c:pt idx="44">
                  <c:v>1.67</c:v>
                </c:pt>
                <c:pt idx="45">
                  <c:v>1.67</c:v>
                </c:pt>
                <c:pt idx="46">
                  <c:v>1.61</c:v>
                </c:pt>
                <c:pt idx="47">
                  <c:v>1.52</c:v>
                </c:pt>
                <c:pt idx="48">
                  <c:v>1.53</c:v>
                </c:pt>
                <c:pt idx="49">
                  <c:v>1.52</c:v>
                </c:pt>
                <c:pt idx="50">
                  <c:v>1.22</c:v>
                </c:pt>
                <c:pt idx="51">
                  <c:v>1.22</c:v>
                </c:pt>
                <c:pt idx="52">
                  <c:v>1.72</c:v>
                </c:pt>
                <c:pt idx="53">
                  <c:v>1.91</c:v>
                </c:pt>
                <c:pt idx="54">
                  <c:v>1.9</c:v>
                </c:pt>
                <c:pt idx="55">
                  <c:v>1.56</c:v>
                </c:pt>
                <c:pt idx="56">
                  <c:v>1.56</c:v>
                </c:pt>
                <c:pt idx="57">
                  <c:v>1.62</c:v>
                </c:pt>
                <c:pt idx="58">
                  <c:v>1.58</c:v>
                </c:pt>
                <c:pt idx="59">
                  <c:v>1.45</c:v>
                </c:pt>
                <c:pt idx="60">
                  <c:v>1.45</c:v>
                </c:pt>
                <c:pt idx="61">
                  <c:v>1.45</c:v>
                </c:pt>
                <c:pt idx="62">
                  <c:v>1.45</c:v>
                </c:pt>
                <c:pt idx="63">
                  <c:v>1.8</c:v>
                </c:pt>
                <c:pt idx="64">
                  <c:v>1.81</c:v>
                </c:pt>
                <c:pt idx="65">
                  <c:v>1.8</c:v>
                </c:pt>
                <c:pt idx="66">
                  <c:v>1.88</c:v>
                </c:pt>
                <c:pt idx="67">
                  <c:v>1.96</c:v>
                </c:pt>
                <c:pt idx="68">
                  <c:v>1.81</c:v>
                </c:pt>
                <c:pt idx="69">
                  <c:v>1.71</c:v>
                </c:pt>
                <c:pt idx="70">
                  <c:v>1.65</c:v>
                </c:pt>
                <c:pt idx="71">
                  <c:v>1.61</c:v>
                </c:pt>
                <c:pt idx="72">
                  <c:v>1.61</c:v>
                </c:pt>
                <c:pt idx="73">
                  <c:v>2.1</c:v>
                </c:pt>
                <c:pt idx="74">
                  <c:v>2.35</c:v>
                </c:pt>
                <c:pt idx="75">
                  <c:v>2.78</c:v>
                </c:pt>
                <c:pt idx="76">
                  <c:v>3.8</c:v>
                </c:pt>
                <c:pt idx="77">
                  <c:v>4.3</c:v>
                </c:pt>
                <c:pt idx="78">
                  <c:v>5.35</c:v>
                </c:pt>
                <c:pt idx="79">
                  <c:v>3</c:v>
                </c:pt>
                <c:pt idx="80">
                  <c:v>2.6</c:v>
                </c:pt>
                <c:pt idx="81">
                  <c:v>2.54</c:v>
                </c:pt>
                <c:pt idx="82">
                  <c:v>2.38</c:v>
                </c:pt>
                <c:pt idx="83">
                  <c:v>2.1</c:v>
                </c:pt>
                <c:pt idx="84">
                  <c:v>1.9</c:v>
                </c:pt>
                <c:pt idx="85">
                  <c:v>2.29</c:v>
                </c:pt>
                <c:pt idx="86">
                  <c:v>2.0499999999999998</c:v>
                </c:pt>
                <c:pt idx="87">
                  <c:v>1.8</c:v>
                </c:pt>
                <c:pt idx="88">
                  <c:v>2.0499999999999998</c:v>
                </c:pt>
                <c:pt idx="89">
                  <c:v>1.9</c:v>
                </c:pt>
                <c:pt idx="90">
                  <c:v>1.92</c:v>
                </c:pt>
                <c:pt idx="91">
                  <c:v>1.96</c:v>
                </c:pt>
                <c:pt idx="92">
                  <c:v>1.9</c:v>
                </c:pt>
                <c:pt idx="93">
                  <c:v>1.9</c:v>
                </c:pt>
                <c:pt idx="94">
                  <c:v>1.85</c:v>
                </c:pt>
                <c:pt idx="95">
                  <c:v>1.73</c:v>
                </c:pt>
                <c:pt idx="96">
                  <c:v>1.6</c:v>
                </c:pt>
                <c:pt idx="97">
                  <c:v>1.6</c:v>
                </c:pt>
                <c:pt idx="98">
                  <c:v>1.7</c:v>
                </c:pt>
                <c:pt idx="99">
                  <c:v>1.7</c:v>
                </c:pt>
                <c:pt idx="100">
                  <c:v>1.85</c:v>
                </c:pt>
                <c:pt idx="101">
                  <c:v>1.85</c:v>
                </c:pt>
                <c:pt idx="102">
                  <c:v>1.83</c:v>
                </c:pt>
                <c:pt idx="103">
                  <c:v>1.81</c:v>
                </c:pt>
                <c:pt idx="104">
                  <c:v>1.8</c:v>
                </c:pt>
                <c:pt idx="105">
                  <c:v>1.92</c:v>
                </c:pt>
                <c:pt idx="106">
                  <c:v>1.72</c:v>
                </c:pt>
                <c:pt idx="107">
                  <c:v>1.78</c:v>
                </c:pt>
                <c:pt idx="108">
                  <c:v>1.72</c:v>
                </c:pt>
                <c:pt idx="109">
                  <c:v>1.7</c:v>
                </c:pt>
                <c:pt idx="110">
                  <c:v>1.73</c:v>
                </c:pt>
                <c:pt idx="111">
                  <c:v>1.8</c:v>
                </c:pt>
                <c:pt idx="112">
                  <c:v>1.82</c:v>
                </c:pt>
                <c:pt idx="113">
                  <c:v>1.78</c:v>
                </c:pt>
                <c:pt idx="114">
                  <c:v>1.75</c:v>
                </c:pt>
                <c:pt idx="115">
                  <c:v>2.2799999999999998</c:v>
                </c:pt>
                <c:pt idx="116">
                  <c:v>2.15</c:v>
                </c:pt>
                <c:pt idx="117">
                  <c:v>2.15</c:v>
                </c:pt>
                <c:pt idx="118">
                  <c:v>2.75</c:v>
                </c:pt>
                <c:pt idx="119">
                  <c:v>4.58</c:v>
                </c:pt>
                <c:pt idx="120">
                  <c:v>3.79</c:v>
                </c:pt>
                <c:pt idx="121">
                  <c:v>3.39</c:v>
                </c:pt>
                <c:pt idx="122">
                  <c:v>3.39</c:v>
                </c:pt>
                <c:pt idx="123">
                  <c:v>3.5</c:v>
                </c:pt>
                <c:pt idx="124">
                  <c:v>3.45</c:v>
                </c:pt>
                <c:pt idx="125">
                  <c:v>3.2</c:v>
                </c:pt>
                <c:pt idx="126">
                  <c:v>2.83</c:v>
                </c:pt>
                <c:pt idx="127">
                  <c:v>2.77</c:v>
                </c:pt>
                <c:pt idx="128">
                  <c:v>2.71</c:v>
                </c:pt>
                <c:pt idx="129">
                  <c:v>2.99</c:v>
                </c:pt>
                <c:pt idx="130">
                  <c:v>5.9</c:v>
                </c:pt>
                <c:pt idx="131">
                  <c:v>7.5</c:v>
                </c:pt>
                <c:pt idx="132">
                  <c:v>7.18</c:v>
                </c:pt>
                <c:pt idx="133">
                  <c:v>6.71</c:v>
                </c:pt>
                <c:pt idx="134">
                  <c:v>5.33</c:v>
                </c:pt>
                <c:pt idx="135">
                  <c:v>4.13</c:v>
                </c:pt>
                <c:pt idx="136">
                  <c:v>3.5</c:v>
                </c:pt>
                <c:pt idx="137">
                  <c:v>3.3</c:v>
                </c:pt>
                <c:pt idx="138">
                  <c:v>3.06</c:v>
                </c:pt>
                <c:pt idx="139">
                  <c:v>3.15</c:v>
                </c:pt>
                <c:pt idx="140">
                  <c:v>2.91</c:v>
                </c:pt>
                <c:pt idx="141">
                  <c:v>2.79</c:v>
                </c:pt>
                <c:pt idx="142">
                  <c:v>3.08</c:v>
                </c:pt>
                <c:pt idx="143">
                  <c:v>3.05</c:v>
                </c:pt>
                <c:pt idx="144">
                  <c:v>2.98</c:v>
                </c:pt>
                <c:pt idx="145">
                  <c:v>2.82</c:v>
                </c:pt>
                <c:pt idx="146">
                  <c:v>2.77</c:v>
                </c:pt>
                <c:pt idx="147">
                  <c:v>2.75</c:v>
                </c:pt>
                <c:pt idx="148">
                  <c:v>2.75</c:v>
                </c:pt>
                <c:pt idx="149">
                  <c:v>2.83</c:v>
                </c:pt>
                <c:pt idx="150">
                  <c:v>2.88</c:v>
                </c:pt>
                <c:pt idx="151">
                  <c:v>2.88</c:v>
                </c:pt>
                <c:pt idx="152">
                  <c:v>2.98</c:v>
                </c:pt>
                <c:pt idx="153">
                  <c:v>2.98</c:v>
                </c:pt>
                <c:pt idx="154">
                  <c:v>2.5499999999999998</c:v>
                </c:pt>
                <c:pt idx="155">
                  <c:v>2.92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B8-4FA1-989E-A4E35D23E7AF}"/>
            </c:ext>
          </c:extLst>
        </c:ser>
        <c:ser>
          <c:idx val="2"/>
          <c:order val="2"/>
          <c:tx>
            <c:strRef>
              <c:f>Kithulgala!$E$4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Kithulgala!$A$5:$A$268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Kithulgala!$E$5:$E$268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B8-4FA1-989E-A4E35D23E7AF}"/>
            </c:ext>
          </c:extLst>
        </c:ser>
        <c:ser>
          <c:idx val="3"/>
          <c:order val="3"/>
          <c:tx>
            <c:strRef>
              <c:f>Kithulgala!$F$4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Kithulgala!$A$5:$A$268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Kithulgala!$F$5:$F$268</c:f>
              <c:numCache>
                <c:formatCode>0.00</c:formatCode>
                <c:ptCount val="26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B8-4FA1-989E-A4E35D23E7AF}"/>
            </c:ext>
          </c:extLst>
        </c:ser>
        <c:ser>
          <c:idx val="4"/>
          <c:order val="4"/>
          <c:tx>
            <c:strRef>
              <c:f>Kithulgala!$G$4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Kithulgala!$A$5:$A$268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Kithulgala!$G$5:$G$268</c:f>
              <c:numCache>
                <c:formatCode>0.00</c:formatCode>
                <c:ptCount val="26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B8-4FA1-989E-A4E35D23E7AF}"/>
            </c:ext>
          </c:extLst>
        </c:ser>
        <c:ser>
          <c:idx val="5"/>
          <c:order val="5"/>
          <c:tx>
            <c:strRef>
              <c:f>Kithulgala!$J$2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B8-4FA1-989E-A4E35D23E7AF}"/>
            </c:ext>
          </c:extLst>
        </c:ser>
        <c:ser>
          <c:idx val="6"/>
          <c:order val="6"/>
          <c:tx>
            <c:strRef>
              <c:f>Kithulgala!$K$2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B8-4FA1-989E-A4E35D23E7AF}"/>
            </c:ext>
          </c:extLst>
        </c:ser>
        <c:ser>
          <c:idx val="7"/>
          <c:order val="7"/>
          <c:tx>
            <c:strRef>
              <c:f>Kithulgala!$L$2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B8-4FA1-989E-A4E35D23E7AF}"/>
            </c:ext>
          </c:extLst>
        </c:ser>
        <c:ser>
          <c:idx val="8"/>
          <c:order val="8"/>
          <c:tx>
            <c:strRef>
              <c:f>Kithulgala!$M$2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Kithulgala!$M$3:$M$4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Kithulgala!$I$3:$I$4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B8-4FA1-989E-A4E35D23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Holombuwa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Holombuwa!$D$4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Holombuwa!$D$5:$D$268</c:f>
              <c:numCache>
                <c:formatCode>0.00</c:formatCode>
                <c:ptCount val="264"/>
                <c:pt idx="0">
                  <c:v>0</c:v>
                </c:pt>
                <c:pt idx="1">
                  <c:v>2.8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1.1000000000000001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5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15.4</c:v>
                </c:pt>
                <c:pt idx="70">
                  <c:v>6.4</c:v>
                </c:pt>
                <c:pt idx="71">
                  <c:v>2.2000000000000002</c:v>
                </c:pt>
                <c:pt idx="72">
                  <c:v>23</c:v>
                </c:pt>
                <c:pt idx="73">
                  <c:v>8.1</c:v>
                </c:pt>
                <c:pt idx="74">
                  <c:v>2.2000000000000002</c:v>
                </c:pt>
                <c:pt idx="75">
                  <c:v>0.6</c:v>
                </c:pt>
                <c:pt idx="76">
                  <c:v>0.3</c:v>
                </c:pt>
                <c:pt idx="77">
                  <c:v>0</c:v>
                </c:pt>
                <c:pt idx="78">
                  <c:v>0.3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3.4</c:v>
                </c:pt>
                <c:pt idx="118">
                  <c:v>0.3</c:v>
                </c:pt>
                <c:pt idx="119">
                  <c:v>0</c:v>
                </c:pt>
                <c:pt idx="120">
                  <c:v>0</c:v>
                </c:pt>
                <c:pt idx="121">
                  <c:v>0.6</c:v>
                </c:pt>
                <c:pt idx="122">
                  <c:v>0.8</c:v>
                </c:pt>
                <c:pt idx="123">
                  <c:v>0.3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1.4</c:v>
                </c:pt>
                <c:pt idx="129">
                  <c:v>1.1000000000000001</c:v>
                </c:pt>
                <c:pt idx="130">
                  <c:v>0</c:v>
                </c:pt>
                <c:pt idx="131">
                  <c:v>2.2000000000000002</c:v>
                </c:pt>
                <c:pt idx="132">
                  <c:v>2.8</c:v>
                </c:pt>
                <c:pt idx="133">
                  <c:v>2.5</c:v>
                </c:pt>
                <c:pt idx="134">
                  <c:v>0.6</c:v>
                </c:pt>
                <c:pt idx="135">
                  <c:v>1.2</c:v>
                </c:pt>
                <c:pt idx="136">
                  <c:v>0.6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1.7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0.6</c:v>
                </c:pt>
                <c:pt idx="155">
                  <c:v>0.6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0-49BC-9468-63E5739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Holombuwa!$B$4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Holombuwa!$A$5:$A$268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Holombuwa!$B$5:$B$268</c:f>
              <c:numCache>
                <c:formatCode>0.00</c:formatCode>
                <c:ptCount val="264"/>
                <c:pt idx="0">
                  <c:v>0.3</c:v>
                </c:pt>
                <c:pt idx="1">
                  <c:v>0.27</c:v>
                </c:pt>
                <c:pt idx="2">
                  <c:v>0.24</c:v>
                </c:pt>
                <c:pt idx="3">
                  <c:v>0.22</c:v>
                </c:pt>
                <c:pt idx="4">
                  <c:v>0.22</c:v>
                </c:pt>
                <c:pt idx="5">
                  <c:v>0.21</c:v>
                </c:pt>
                <c:pt idx="6">
                  <c:v>0.21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0.32</c:v>
                </c:pt>
                <c:pt idx="21">
                  <c:v>0.39</c:v>
                </c:pt>
                <c:pt idx="22">
                  <c:v>0.42</c:v>
                </c:pt>
                <c:pt idx="23">
                  <c:v>0.41</c:v>
                </c:pt>
                <c:pt idx="24">
                  <c:v>0.4</c:v>
                </c:pt>
                <c:pt idx="25">
                  <c:v>0.35</c:v>
                </c:pt>
                <c:pt idx="26">
                  <c:v>0.33</c:v>
                </c:pt>
                <c:pt idx="27">
                  <c:v>0.3</c:v>
                </c:pt>
                <c:pt idx="28">
                  <c:v>0.28000000000000003</c:v>
                </c:pt>
                <c:pt idx="29">
                  <c:v>0.25</c:v>
                </c:pt>
                <c:pt idx="30">
                  <c:v>0.21</c:v>
                </c:pt>
                <c:pt idx="31">
                  <c:v>0.21</c:v>
                </c:pt>
                <c:pt idx="32">
                  <c:v>0.21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0.2</c:v>
                </c:pt>
                <c:pt idx="40">
                  <c:v>0.31</c:v>
                </c:pt>
                <c:pt idx="41">
                  <c:v>0.4</c:v>
                </c:pt>
                <c:pt idx="42">
                  <c:v>0.39</c:v>
                </c:pt>
                <c:pt idx="43">
                  <c:v>0.39</c:v>
                </c:pt>
                <c:pt idx="44">
                  <c:v>0.37</c:v>
                </c:pt>
                <c:pt idx="45">
                  <c:v>0.35</c:v>
                </c:pt>
                <c:pt idx="46">
                  <c:v>0.33</c:v>
                </c:pt>
                <c:pt idx="47">
                  <c:v>0.28000000000000003</c:v>
                </c:pt>
                <c:pt idx="48">
                  <c:v>0.26</c:v>
                </c:pt>
                <c:pt idx="49">
                  <c:v>0.24</c:v>
                </c:pt>
                <c:pt idx="50">
                  <c:v>0.22</c:v>
                </c:pt>
                <c:pt idx="51">
                  <c:v>0.22</c:v>
                </c:pt>
                <c:pt idx="52">
                  <c:v>0.22</c:v>
                </c:pt>
                <c:pt idx="53">
                  <c:v>0.22</c:v>
                </c:pt>
                <c:pt idx="54">
                  <c:v>0.22</c:v>
                </c:pt>
                <c:pt idx="55">
                  <c:v>0.2</c:v>
                </c:pt>
                <c:pt idx="56">
                  <c:v>0.21</c:v>
                </c:pt>
                <c:pt idx="57">
                  <c:v>0.21</c:v>
                </c:pt>
                <c:pt idx="58">
                  <c:v>0.22</c:v>
                </c:pt>
                <c:pt idx="59">
                  <c:v>0.22</c:v>
                </c:pt>
                <c:pt idx="60">
                  <c:v>0.38</c:v>
                </c:pt>
                <c:pt idx="61">
                  <c:v>0.44</c:v>
                </c:pt>
                <c:pt idx="62">
                  <c:v>0.44</c:v>
                </c:pt>
                <c:pt idx="63">
                  <c:v>0.42</c:v>
                </c:pt>
                <c:pt idx="64">
                  <c:v>0.38</c:v>
                </c:pt>
                <c:pt idx="65">
                  <c:v>0.36</c:v>
                </c:pt>
                <c:pt idx="66">
                  <c:v>0.35</c:v>
                </c:pt>
                <c:pt idx="67">
                  <c:v>0.36</c:v>
                </c:pt>
                <c:pt idx="68">
                  <c:v>0.38</c:v>
                </c:pt>
                <c:pt idx="69">
                  <c:v>0.45</c:v>
                </c:pt>
                <c:pt idx="70">
                  <c:v>0.42</c:v>
                </c:pt>
                <c:pt idx="71">
                  <c:v>0.45</c:v>
                </c:pt>
                <c:pt idx="72">
                  <c:v>0.5</c:v>
                </c:pt>
                <c:pt idx="73">
                  <c:v>0.7</c:v>
                </c:pt>
                <c:pt idx="74">
                  <c:v>0.92</c:v>
                </c:pt>
                <c:pt idx="75">
                  <c:v>2.72</c:v>
                </c:pt>
                <c:pt idx="76">
                  <c:v>3.7</c:v>
                </c:pt>
                <c:pt idx="77">
                  <c:v>4.0199999999999996</c:v>
                </c:pt>
                <c:pt idx="78">
                  <c:v>3.89</c:v>
                </c:pt>
                <c:pt idx="79">
                  <c:v>3.35</c:v>
                </c:pt>
                <c:pt idx="80">
                  <c:v>2.79</c:v>
                </c:pt>
                <c:pt idx="81">
                  <c:v>2.33</c:v>
                </c:pt>
                <c:pt idx="82">
                  <c:v>1.9</c:v>
                </c:pt>
                <c:pt idx="83">
                  <c:v>1.45</c:v>
                </c:pt>
                <c:pt idx="84">
                  <c:v>1.31</c:v>
                </c:pt>
                <c:pt idx="85">
                  <c:v>1.22</c:v>
                </c:pt>
                <c:pt idx="86">
                  <c:v>1.1399999999999999</c:v>
                </c:pt>
                <c:pt idx="87">
                  <c:v>1.08</c:v>
                </c:pt>
                <c:pt idx="88">
                  <c:v>1.03</c:v>
                </c:pt>
                <c:pt idx="89">
                  <c:v>0.95</c:v>
                </c:pt>
                <c:pt idx="90">
                  <c:v>0.94</c:v>
                </c:pt>
                <c:pt idx="91">
                  <c:v>0.92</c:v>
                </c:pt>
                <c:pt idx="92">
                  <c:v>0.9</c:v>
                </c:pt>
                <c:pt idx="93">
                  <c:v>0.86</c:v>
                </c:pt>
                <c:pt idx="94">
                  <c:v>0.83</c:v>
                </c:pt>
                <c:pt idx="95">
                  <c:v>0.8</c:v>
                </c:pt>
                <c:pt idx="96">
                  <c:v>0.76</c:v>
                </c:pt>
                <c:pt idx="97">
                  <c:v>0.74</c:v>
                </c:pt>
                <c:pt idx="98">
                  <c:v>0.72</c:v>
                </c:pt>
                <c:pt idx="99">
                  <c:v>0.7</c:v>
                </c:pt>
                <c:pt idx="100">
                  <c:v>0.68</c:v>
                </c:pt>
                <c:pt idx="101">
                  <c:v>0.67</c:v>
                </c:pt>
                <c:pt idx="102">
                  <c:v>0.65</c:v>
                </c:pt>
                <c:pt idx="103">
                  <c:v>0.63</c:v>
                </c:pt>
                <c:pt idx="104">
                  <c:v>0.62</c:v>
                </c:pt>
                <c:pt idx="105">
                  <c:v>0.61</c:v>
                </c:pt>
                <c:pt idx="106">
                  <c:v>0.6</c:v>
                </c:pt>
                <c:pt idx="107">
                  <c:v>0.59</c:v>
                </c:pt>
                <c:pt idx="108">
                  <c:v>0.55000000000000004</c:v>
                </c:pt>
                <c:pt idx="109">
                  <c:v>0.48</c:v>
                </c:pt>
                <c:pt idx="110">
                  <c:v>0.45</c:v>
                </c:pt>
                <c:pt idx="111">
                  <c:v>0.57999999999999996</c:v>
                </c:pt>
                <c:pt idx="112">
                  <c:v>0.59</c:v>
                </c:pt>
                <c:pt idx="113">
                  <c:v>0.59</c:v>
                </c:pt>
                <c:pt idx="114">
                  <c:v>0.56000000000000005</c:v>
                </c:pt>
                <c:pt idx="115">
                  <c:v>0.55000000000000004</c:v>
                </c:pt>
                <c:pt idx="116">
                  <c:v>0.55000000000000004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0.53</c:v>
                </c:pt>
                <c:pt idx="120">
                  <c:v>0.63</c:v>
                </c:pt>
                <c:pt idx="121">
                  <c:v>0.7</c:v>
                </c:pt>
                <c:pt idx="122">
                  <c:v>1.65</c:v>
                </c:pt>
                <c:pt idx="123">
                  <c:v>1.8</c:v>
                </c:pt>
                <c:pt idx="124">
                  <c:v>1.54</c:v>
                </c:pt>
                <c:pt idx="125">
                  <c:v>1.34</c:v>
                </c:pt>
                <c:pt idx="126">
                  <c:v>1.18</c:v>
                </c:pt>
                <c:pt idx="127">
                  <c:v>1</c:v>
                </c:pt>
                <c:pt idx="128">
                  <c:v>1</c:v>
                </c:pt>
                <c:pt idx="129">
                  <c:v>0.99</c:v>
                </c:pt>
                <c:pt idx="130">
                  <c:v>0.85</c:v>
                </c:pt>
                <c:pt idx="131">
                  <c:v>0.94</c:v>
                </c:pt>
                <c:pt idx="132">
                  <c:v>1.48</c:v>
                </c:pt>
                <c:pt idx="133">
                  <c:v>3.02</c:v>
                </c:pt>
                <c:pt idx="134">
                  <c:v>3.75</c:v>
                </c:pt>
                <c:pt idx="135">
                  <c:v>3.9</c:v>
                </c:pt>
                <c:pt idx="136">
                  <c:v>3.68</c:v>
                </c:pt>
                <c:pt idx="137">
                  <c:v>3.11</c:v>
                </c:pt>
                <c:pt idx="138">
                  <c:v>2.7</c:v>
                </c:pt>
                <c:pt idx="139">
                  <c:v>2.38</c:v>
                </c:pt>
                <c:pt idx="140">
                  <c:v>2</c:v>
                </c:pt>
                <c:pt idx="141">
                  <c:v>1.68</c:v>
                </c:pt>
                <c:pt idx="142">
                  <c:v>1.58</c:v>
                </c:pt>
                <c:pt idx="143">
                  <c:v>1.49</c:v>
                </c:pt>
                <c:pt idx="144">
                  <c:v>1.46</c:v>
                </c:pt>
                <c:pt idx="145">
                  <c:v>1.44</c:v>
                </c:pt>
                <c:pt idx="146">
                  <c:v>1.4</c:v>
                </c:pt>
                <c:pt idx="147">
                  <c:v>1.32</c:v>
                </c:pt>
                <c:pt idx="148">
                  <c:v>1.17</c:v>
                </c:pt>
                <c:pt idx="149">
                  <c:v>1.05</c:v>
                </c:pt>
                <c:pt idx="150">
                  <c:v>1.05</c:v>
                </c:pt>
                <c:pt idx="151">
                  <c:v>1.04</c:v>
                </c:pt>
                <c:pt idx="152">
                  <c:v>1.04</c:v>
                </c:pt>
                <c:pt idx="153">
                  <c:v>1.04</c:v>
                </c:pt>
                <c:pt idx="154">
                  <c:v>1.03</c:v>
                </c:pt>
                <c:pt idx="155">
                  <c:v>1.02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D0-49BC-9468-63E5739C5E27}"/>
            </c:ext>
          </c:extLst>
        </c:ser>
        <c:ser>
          <c:idx val="2"/>
          <c:order val="2"/>
          <c:tx>
            <c:strRef>
              <c:f>Holombuwa!$E$4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Holombuwa!$A$5:$A$268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Holombuwa!$E$5:$E$268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D0-49BC-9468-63E5739C5E27}"/>
            </c:ext>
          </c:extLst>
        </c:ser>
        <c:ser>
          <c:idx val="3"/>
          <c:order val="3"/>
          <c:tx>
            <c:strRef>
              <c:f>Holombuwa!$F$4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Holombuwa!$A$5:$A$268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Holombuwa!$F$5:$F$268</c:f>
              <c:numCache>
                <c:formatCode>0.00</c:formatCode>
                <c:ptCount val="264"/>
                <c:pt idx="0">
                  <c:v>3.4</c:v>
                </c:pt>
                <c:pt idx="1">
                  <c:v>3.4</c:v>
                </c:pt>
                <c:pt idx="2">
                  <c:v>3.4</c:v>
                </c:pt>
                <c:pt idx="3">
                  <c:v>3.4</c:v>
                </c:pt>
                <c:pt idx="4">
                  <c:v>3.4</c:v>
                </c:pt>
                <c:pt idx="5">
                  <c:v>3.4</c:v>
                </c:pt>
                <c:pt idx="6">
                  <c:v>3.4</c:v>
                </c:pt>
                <c:pt idx="7">
                  <c:v>3.4</c:v>
                </c:pt>
                <c:pt idx="8">
                  <c:v>3.4</c:v>
                </c:pt>
                <c:pt idx="9">
                  <c:v>3.4</c:v>
                </c:pt>
                <c:pt idx="10">
                  <c:v>3.4</c:v>
                </c:pt>
                <c:pt idx="11">
                  <c:v>3.4</c:v>
                </c:pt>
                <c:pt idx="12">
                  <c:v>3.4</c:v>
                </c:pt>
                <c:pt idx="13">
                  <c:v>3.4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3.4</c:v>
                </c:pt>
                <c:pt idx="29">
                  <c:v>3.4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3.4</c:v>
                </c:pt>
                <c:pt idx="59">
                  <c:v>3.4</c:v>
                </c:pt>
                <c:pt idx="60">
                  <c:v>3.4</c:v>
                </c:pt>
                <c:pt idx="61">
                  <c:v>3.4</c:v>
                </c:pt>
                <c:pt idx="62">
                  <c:v>3.4</c:v>
                </c:pt>
                <c:pt idx="63">
                  <c:v>3.4</c:v>
                </c:pt>
                <c:pt idx="64">
                  <c:v>3.4</c:v>
                </c:pt>
                <c:pt idx="65">
                  <c:v>3.4</c:v>
                </c:pt>
                <c:pt idx="66">
                  <c:v>3.4</c:v>
                </c:pt>
                <c:pt idx="67">
                  <c:v>3.4</c:v>
                </c:pt>
                <c:pt idx="68">
                  <c:v>3.4</c:v>
                </c:pt>
                <c:pt idx="69">
                  <c:v>3.4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3.4</c:v>
                </c:pt>
                <c:pt idx="74">
                  <c:v>3.4</c:v>
                </c:pt>
                <c:pt idx="75">
                  <c:v>3.4</c:v>
                </c:pt>
                <c:pt idx="76">
                  <c:v>3.4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3.4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3.4</c:v>
                </c:pt>
                <c:pt idx="96">
                  <c:v>3.4</c:v>
                </c:pt>
                <c:pt idx="97">
                  <c:v>3.4</c:v>
                </c:pt>
                <c:pt idx="98">
                  <c:v>3.4</c:v>
                </c:pt>
                <c:pt idx="99">
                  <c:v>3.4</c:v>
                </c:pt>
                <c:pt idx="100">
                  <c:v>3.4</c:v>
                </c:pt>
                <c:pt idx="101">
                  <c:v>3.4</c:v>
                </c:pt>
                <c:pt idx="102">
                  <c:v>3.4</c:v>
                </c:pt>
                <c:pt idx="103">
                  <c:v>3.4</c:v>
                </c:pt>
                <c:pt idx="104">
                  <c:v>3.4</c:v>
                </c:pt>
                <c:pt idx="105">
                  <c:v>3.4</c:v>
                </c:pt>
                <c:pt idx="106">
                  <c:v>3.4</c:v>
                </c:pt>
                <c:pt idx="107">
                  <c:v>3.4</c:v>
                </c:pt>
                <c:pt idx="108">
                  <c:v>3.4</c:v>
                </c:pt>
                <c:pt idx="109">
                  <c:v>3.4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3.4</c:v>
                </c:pt>
                <c:pt idx="114">
                  <c:v>3.4</c:v>
                </c:pt>
                <c:pt idx="115">
                  <c:v>3.4</c:v>
                </c:pt>
                <c:pt idx="116">
                  <c:v>3.4</c:v>
                </c:pt>
                <c:pt idx="117">
                  <c:v>3.4</c:v>
                </c:pt>
                <c:pt idx="118">
                  <c:v>3.4</c:v>
                </c:pt>
                <c:pt idx="119">
                  <c:v>3.4</c:v>
                </c:pt>
                <c:pt idx="120">
                  <c:v>3.4</c:v>
                </c:pt>
                <c:pt idx="121">
                  <c:v>3.4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3.4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3.4</c:v>
                </c:pt>
                <c:pt idx="134">
                  <c:v>3.4</c:v>
                </c:pt>
                <c:pt idx="135">
                  <c:v>3.4</c:v>
                </c:pt>
                <c:pt idx="136">
                  <c:v>3.4</c:v>
                </c:pt>
                <c:pt idx="137">
                  <c:v>3.4</c:v>
                </c:pt>
                <c:pt idx="138">
                  <c:v>3.4</c:v>
                </c:pt>
                <c:pt idx="139">
                  <c:v>3.4</c:v>
                </c:pt>
                <c:pt idx="140">
                  <c:v>3.4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3.4</c:v>
                </c:pt>
                <c:pt idx="152">
                  <c:v>3.4</c:v>
                </c:pt>
                <c:pt idx="153">
                  <c:v>3.4</c:v>
                </c:pt>
                <c:pt idx="154">
                  <c:v>3.4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3.4</c:v>
                </c:pt>
                <c:pt idx="163">
                  <c:v>3.4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3.4</c:v>
                </c:pt>
                <c:pt idx="168">
                  <c:v>3.4</c:v>
                </c:pt>
                <c:pt idx="169">
                  <c:v>3.4</c:v>
                </c:pt>
                <c:pt idx="170">
                  <c:v>3.4</c:v>
                </c:pt>
                <c:pt idx="171">
                  <c:v>3.4</c:v>
                </c:pt>
                <c:pt idx="172">
                  <c:v>3.4</c:v>
                </c:pt>
                <c:pt idx="173">
                  <c:v>3.4</c:v>
                </c:pt>
                <c:pt idx="174">
                  <c:v>3.4</c:v>
                </c:pt>
                <c:pt idx="175">
                  <c:v>3.4</c:v>
                </c:pt>
                <c:pt idx="176">
                  <c:v>3.4</c:v>
                </c:pt>
                <c:pt idx="177">
                  <c:v>3.4</c:v>
                </c:pt>
                <c:pt idx="178">
                  <c:v>3.4</c:v>
                </c:pt>
                <c:pt idx="179">
                  <c:v>3.4</c:v>
                </c:pt>
                <c:pt idx="180">
                  <c:v>3.4</c:v>
                </c:pt>
                <c:pt idx="181">
                  <c:v>3.4</c:v>
                </c:pt>
                <c:pt idx="182">
                  <c:v>3.4</c:v>
                </c:pt>
                <c:pt idx="183">
                  <c:v>3.4</c:v>
                </c:pt>
                <c:pt idx="184">
                  <c:v>3.4</c:v>
                </c:pt>
                <c:pt idx="185">
                  <c:v>3.4</c:v>
                </c:pt>
                <c:pt idx="186">
                  <c:v>3.4</c:v>
                </c:pt>
                <c:pt idx="187">
                  <c:v>3.4</c:v>
                </c:pt>
                <c:pt idx="188">
                  <c:v>3.4</c:v>
                </c:pt>
                <c:pt idx="189">
                  <c:v>3.4</c:v>
                </c:pt>
                <c:pt idx="190">
                  <c:v>3.4</c:v>
                </c:pt>
                <c:pt idx="191">
                  <c:v>3.4</c:v>
                </c:pt>
                <c:pt idx="192">
                  <c:v>3.4</c:v>
                </c:pt>
                <c:pt idx="193">
                  <c:v>3.4</c:v>
                </c:pt>
                <c:pt idx="194">
                  <c:v>3.4</c:v>
                </c:pt>
                <c:pt idx="195">
                  <c:v>3.4</c:v>
                </c:pt>
                <c:pt idx="196">
                  <c:v>3.4</c:v>
                </c:pt>
                <c:pt idx="197">
                  <c:v>3.4</c:v>
                </c:pt>
                <c:pt idx="198">
                  <c:v>3.4</c:v>
                </c:pt>
                <c:pt idx="199">
                  <c:v>3.4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3.4</c:v>
                </c:pt>
                <c:pt idx="204">
                  <c:v>3.4</c:v>
                </c:pt>
                <c:pt idx="205">
                  <c:v>3.4</c:v>
                </c:pt>
                <c:pt idx="206">
                  <c:v>3.4</c:v>
                </c:pt>
                <c:pt idx="207">
                  <c:v>3.4</c:v>
                </c:pt>
                <c:pt idx="208">
                  <c:v>3.4</c:v>
                </c:pt>
                <c:pt idx="209">
                  <c:v>3.4</c:v>
                </c:pt>
                <c:pt idx="210">
                  <c:v>3.4</c:v>
                </c:pt>
                <c:pt idx="211">
                  <c:v>3.4</c:v>
                </c:pt>
                <c:pt idx="212">
                  <c:v>3.4</c:v>
                </c:pt>
                <c:pt idx="213">
                  <c:v>3.4</c:v>
                </c:pt>
                <c:pt idx="214">
                  <c:v>3.4</c:v>
                </c:pt>
                <c:pt idx="215">
                  <c:v>3.4</c:v>
                </c:pt>
                <c:pt idx="216">
                  <c:v>3.4</c:v>
                </c:pt>
                <c:pt idx="217">
                  <c:v>3.4</c:v>
                </c:pt>
                <c:pt idx="218">
                  <c:v>3.4</c:v>
                </c:pt>
                <c:pt idx="219">
                  <c:v>3.4</c:v>
                </c:pt>
                <c:pt idx="220">
                  <c:v>3.4</c:v>
                </c:pt>
                <c:pt idx="221">
                  <c:v>3.4</c:v>
                </c:pt>
                <c:pt idx="222">
                  <c:v>3.4</c:v>
                </c:pt>
                <c:pt idx="223">
                  <c:v>3.4</c:v>
                </c:pt>
                <c:pt idx="224">
                  <c:v>3.4</c:v>
                </c:pt>
                <c:pt idx="225">
                  <c:v>3.4</c:v>
                </c:pt>
                <c:pt idx="226">
                  <c:v>3.4</c:v>
                </c:pt>
                <c:pt idx="227">
                  <c:v>3.4</c:v>
                </c:pt>
                <c:pt idx="228">
                  <c:v>3.4</c:v>
                </c:pt>
                <c:pt idx="229">
                  <c:v>3.4</c:v>
                </c:pt>
                <c:pt idx="230">
                  <c:v>3.4</c:v>
                </c:pt>
                <c:pt idx="231">
                  <c:v>3.4</c:v>
                </c:pt>
                <c:pt idx="232">
                  <c:v>3.4</c:v>
                </c:pt>
                <c:pt idx="233">
                  <c:v>3.4</c:v>
                </c:pt>
                <c:pt idx="234">
                  <c:v>3.4</c:v>
                </c:pt>
                <c:pt idx="235">
                  <c:v>3.4</c:v>
                </c:pt>
                <c:pt idx="236">
                  <c:v>3.4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3.4</c:v>
                </c:pt>
                <c:pt idx="241">
                  <c:v>3.4</c:v>
                </c:pt>
                <c:pt idx="242">
                  <c:v>3.4</c:v>
                </c:pt>
                <c:pt idx="243">
                  <c:v>3.4</c:v>
                </c:pt>
                <c:pt idx="244">
                  <c:v>3.4</c:v>
                </c:pt>
                <c:pt idx="245">
                  <c:v>3.4</c:v>
                </c:pt>
                <c:pt idx="246">
                  <c:v>3.4</c:v>
                </c:pt>
                <c:pt idx="247">
                  <c:v>3.4</c:v>
                </c:pt>
                <c:pt idx="248">
                  <c:v>3.4</c:v>
                </c:pt>
                <c:pt idx="249">
                  <c:v>3.4</c:v>
                </c:pt>
                <c:pt idx="250">
                  <c:v>3.4</c:v>
                </c:pt>
                <c:pt idx="251">
                  <c:v>3.4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3.4</c:v>
                </c:pt>
                <c:pt idx="256">
                  <c:v>3.4</c:v>
                </c:pt>
                <c:pt idx="257">
                  <c:v>3.4</c:v>
                </c:pt>
                <c:pt idx="258">
                  <c:v>3.4</c:v>
                </c:pt>
                <c:pt idx="259">
                  <c:v>3.4</c:v>
                </c:pt>
                <c:pt idx="260">
                  <c:v>3.4</c:v>
                </c:pt>
                <c:pt idx="261">
                  <c:v>3.4</c:v>
                </c:pt>
                <c:pt idx="262">
                  <c:v>3.4</c:v>
                </c:pt>
                <c:pt idx="263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D0-49BC-9468-63E5739C5E27}"/>
            </c:ext>
          </c:extLst>
        </c:ser>
        <c:ser>
          <c:idx val="4"/>
          <c:order val="4"/>
          <c:tx>
            <c:strRef>
              <c:f>Holombuwa!$G$4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Holombuwa!$A$5:$A$268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Holombuwa!$G$5:$G$268</c:f>
              <c:numCache>
                <c:formatCode>0.00</c:formatCode>
                <c:ptCount val="26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D0-49BC-9468-63E5739C5E27}"/>
            </c:ext>
          </c:extLst>
        </c:ser>
        <c:ser>
          <c:idx val="5"/>
          <c:order val="5"/>
          <c:tx>
            <c:strRef>
              <c:f>Holombuwa!$J$2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D0-49BC-9468-63E5739C5E27}"/>
            </c:ext>
          </c:extLst>
        </c:ser>
        <c:ser>
          <c:idx val="6"/>
          <c:order val="6"/>
          <c:tx>
            <c:strRef>
              <c:f>Holombuwa!$K$2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D0-49BC-9468-63E5739C5E27}"/>
            </c:ext>
          </c:extLst>
        </c:ser>
        <c:ser>
          <c:idx val="7"/>
          <c:order val="7"/>
          <c:tx>
            <c:strRef>
              <c:f>Holombuwa!$L$2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D0-49BC-9468-63E5739C5E27}"/>
            </c:ext>
          </c:extLst>
        </c:ser>
        <c:ser>
          <c:idx val="8"/>
          <c:order val="8"/>
          <c:tx>
            <c:strRef>
              <c:f>Holombuwa!$M$2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Holombuwa!$M$3:$M$4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Holombuwa!$I$3:$I$4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D0-49BC-9468-63E5739C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Deraniyagala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Deraniyagala!$D$4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Deraniyagala!$D$5:$D$268</c:f>
              <c:numCache>
                <c:formatCode>0.00</c:formatCode>
                <c:ptCount val="264"/>
                <c:pt idx="0">
                  <c:v>2.2999999999999998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8.1999999999999993</c:v>
                </c:pt>
                <c:pt idx="5">
                  <c:v>0.9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2.9</c:v>
                </c:pt>
                <c:pt idx="39">
                  <c:v>0.6</c:v>
                </c:pt>
                <c:pt idx="40">
                  <c:v>0</c:v>
                </c:pt>
                <c:pt idx="41">
                  <c:v>0.7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0.5</c:v>
                </c:pt>
                <c:pt idx="52">
                  <c:v>4.9000000000000004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2.8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2.8</c:v>
                </c:pt>
                <c:pt idx="67">
                  <c:v>0</c:v>
                </c:pt>
                <c:pt idx="68">
                  <c:v>1.5</c:v>
                </c:pt>
                <c:pt idx="69">
                  <c:v>4.5</c:v>
                </c:pt>
                <c:pt idx="70">
                  <c:v>11.1</c:v>
                </c:pt>
                <c:pt idx="71">
                  <c:v>2.2999999999999998</c:v>
                </c:pt>
                <c:pt idx="72">
                  <c:v>29.8</c:v>
                </c:pt>
                <c:pt idx="73">
                  <c:v>1.1000000000000001</c:v>
                </c:pt>
                <c:pt idx="74">
                  <c:v>12.7</c:v>
                </c:pt>
                <c:pt idx="75">
                  <c:v>23.7</c:v>
                </c:pt>
                <c:pt idx="76">
                  <c:v>6.9</c:v>
                </c:pt>
                <c:pt idx="77">
                  <c:v>1.3</c:v>
                </c:pt>
                <c:pt idx="78">
                  <c:v>3.1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0.5</c:v>
                </c:pt>
                <c:pt idx="85">
                  <c:v>1.6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</c:v>
                </c:pt>
                <c:pt idx="109">
                  <c:v>3.1</c:v>
                </c:pt>
                <c:pt idx="110">
                  <c:v>0</c:v>
                </c:pt>
                <c:pt idx="111">
                  <c:v>0</c:v>
                </c:pt>
                <c:pt idx="112">
                  <c:v>0.6</c:v>
                </c:pt>
                <c:pt idx="113">
                  <c:v>5.8</c:v>
                </c:pt>
                <c:pt idx="114">
                  <c:v>0</c:v>
                </c:pt>
                <c:pt idx="115">
                  <c:v>1.1000000000000001</c:v>
                </c:pt>
                <c:pt idx="116">
                  <c:v>1</c:v>
                </c:pt>
                <c:pt idx="117">
                  <c:v>3.3</c:v>
                </c:pt>
                <c:pt idx="118">
                  <c:v>13</c:v>
                </c:pt>
                <c:pt idx="119">
                  <c:v>3.2</c:v>
                </c:pt>
                <c:pt idx="120">
                  <c:v>3.5</c:v>
                </c:pt>
                <c:pt idx="121">
                  <c:v>2.2000000000000002</c:v>
                </c:pt>
                <c:pt idx="122">
                  <c:v>0.5</c:v>
                </c:pt>
                <c:pt idx="123">
                  <c:v>0.7</c:v>
                </c:pt>
                <c:pt idx="124">
                  <c:v>0</c:v>
                </c:pt>
                <c:pt idx="125">
                  <c:v>0</c:v>
                </c:pt>
                <c:pt idx="126">
                  <c:v>0.6</c:v>
                </c:pt>
                <c:pt idx="127">
                  <c:v>1.6</c:v>
                </c:pt>
                <c:pt idx="128">
                  <c:v>1.6</c:v>
                </c:pt>
                <c:pt idx="129">
                  <c:v>0</c:v>
                </c:pt>
                <c:pt idx="130">
                  <c:v>12.3</c:v>
                </c:pt>
                <c:pt idx="131">
                  <c:v>8.6</c:v>
                </c:pt>
                <c:pt idx="132">
                  <c:v>6</c:v>
                </c:pt>
                <c:pt idx="133">
                  <c:v>5.2</c:v>
                </c:pt>
                <c:pt idx="134">
                  <c:v>1.7</c:v>
                </c:pt>
                <c:pt idx="135">
                  <c:v>0.3</c:v>
                </c:pt>
                <c:pt idx="136">
                  <c:v>0</c:v>
                </c:pt>
                <c:pt idx="137">
                  <c:v>0.6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19.5</c:v>
                </c:pt>
                <c:pt idx="148">
                  <c:v>0</c:v>
                </c:pt>
                <c:pt idx="149">
                  <c:v>0</c:v>
                </c:pt>
                <c:pt idx="150">
                  <c:v>0.6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4859-9898-66A9B30C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Deraniyagala!$B$4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Deraniyagala!$B$5:$B$268</c:f>
              <c:numCache>
                <c:formatCode>0.00</c:formatCode>
                <c:ptCount val="264"/>
                <c:pt idx="0">
                  <c:v>0.56999999999999995</c:v>
                </c:pt>
                <c:pt idx="1">
                  <c:v>0.51</c:v>
                </c:pt>
                <c:pt idx="2">
                  <c:v>0.45</c:v>
                </c:pt>
                <c:pt idx="3">
                  <c:v>0.43</c:v>
                </c:pt>
                <c:pt idx="4">
                  <c:v>0.43</c:v>
                </c:pt>
                <c:pt idx="5">
                  <c:v>0.45</c:v>
                </c:pt>
                <c:pt idx="6">
                  <c:v>0.51</c:v>
                </c:pt>
                <c:pt idx="7">
                  <c:v>0.54</c:v>
                </c:pt>
                <c:pt idx="8">
                  <c:v>0.63</c:v>
                </c:pt>
                <c:pt idx="9">
                  <c:v>0.63</c:v>
                </c:pt>
                <c:pt idx="10">
                  <c:v>0.48</c:v>
                </c:pt>
                <c:pt idx="11">
                  <c:v>0.44</c:v>
                </c:pt>
                <c:pt idx="12">
                  <c:v>0.68</c:v>
                </c:pt>
                <c:pt idx="13">
                  <c:v>0.71</c:v>
                </c:pt>
                <c:pt idx="14">
                  <c:v>0.68</c:v>
                </c:pt>
                <c:pt idx="15">
                  <c:v>0.65</c:v>
                </c:pt>
                <c:pt idx="16">
                  <c:v>0.64</c:v>
                </c:pt>
                <c:pt idx="17">
                  <c:v>0.61</c:v>
                </c:pt>
                <c:pt idx="18">
                  <c:v>0.56999999999999995</c:v>
                </c:pt>
                <c:pt idx="19">
                  <c:v>0.64</c:v>
                </c:pt>
                <c:pt idx="20">
                  <c:v>0.76</c:v>
                </c:pt>
                <c:pt idx="21">
                  <c:v>0.65</c:v>
                </c:pt>
                <c:pt idx="22">
                  <c:v>0.53</c:v>
                </c:pt>
                <c:pt idx="23">
                  <c:v>0.5</c:v>
                </c:pt>
                <c:pt idx="24">
                  <c:v>0.45</c:v>
                </c:pt>
                <c:pt idx="25">
                  <c:v>0.43</c:v>
                </c:pt>
                <c:pt idx="26">
                  <c:v>0.46</c:v>
                </c:pt>
                <c:pt idx="27">
                  <c:v>0.46</c:v>
                </c:pt>
                <c:pt idx="28">
                  <c:v>0.51</c:v>
                </c:pt>
                <c:pt idx="29">
                  <c:v>0.42</c:v>
                </c:pt>
                <c:pt idx="30">
                  <c:v>0.42</c:v>
                </c:pt>
                <c:pt idx="31">
                  <c:v>0.41</c:v>
                </c:pt>
                <c:pt idx="32">
                  <c:v>0.41</c:v>
                </c:pt>
                <c:pt idx="33">
                  <c:v>0.45</c:v>
                </c:pt>
                <c:pt idx="34">
                  <c:v>0.47</c:v>
                </c:pt>
                <c:pt idx="35">
                  <c:v>0.42</c:v>
                </c:pt>
                <c:pt idx="36">
                  <c:v>0.39</c:v>
                </c:pt>
                <c:pt idx="37">
                  <c:v>0.37</c:v>
                </c:pt>
                <c:pt idx="38">
                  <c:v>0.37</c:v>
                </c:pt>
                <c:pt idx="39">
                  <c:v>0.38</c:v>
                </c:pt>
                <c:pt idx="40">
                  <c:v>0.45</c:v>
                </c:pt>
                <c:pt idx="41">
                  <c:v>0.42</c:v>
                </c:pt>
                <c:pt idx="42">
                  <c:v>0.46</c:v>
                </c:pt>
                <c:pt idx="43">
                  <c:v>0.39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0.44</c:v>
                </c:pt>
                <c:pt idx="48">
                  <c:v>0.49</c:v>
                </c:pt>
                <c:pt idx="49">
                  <c:v>0.51</c:v>
                </c:pt>
                <c:pt idx="50">
                  <c:v>0.45</c:v>
                </c:pt>
                <c:pt idx="51">
                  <c:v>0.42</c:v>
                </c:pt>
                <c:pt idx="52">
                  <c:v>0.43</c:v>
                </c:pt>
                <c:pt idx="53">
                  <c:v>0.45</c:v>
                </c:pt>
                <c:pt idx="54">
                  <c:v>0.5</c:v>
                </c:pt>
                <c:pt idx="55">
                  <c:v>0.52</c:v>
                </c:pt>
                <c:pt idx="56">
                  <c:v>0.47</c:v>
                </c:pt>
                <c:pt idx="57">
                  <c:v>0.43</c:v>
                </c:pt>
                <c:pt idx="58">
                  <c:v>0.47</c:v>
                </c:pt>
                <c:pt idx="59">
                  <c:v>0.5</c:v>
                </c:pt>
                <c:pt idx="60">
                  <c:v>0.51</c:v>
                </c:pt>
                <c:pt idx="61">
                  <c:v>0.54</c:v>
                </c:pt>
                <c:pt idx="62">
                  <c:v>0.53</c:v>
                </c:pt>
                <c:pt idx="63">
                  <c:v>0.51</c:v>
                </c:pt>
                <c:pt idx="64">
                  <c:v>0.45</c:v>
                </c:pt>
                <c:pt idx="65">
                  <c:v>0.47</c:v>
                </c:pt>
                <c:pt idx="66">
                  <c:v>0.51</c:v>
                </c:pt>
                <c:pt idx="67">
                  <c:v>0.51</c:v>
                </c:pt>
                <c:pt idx="68">
                  <c:v>0.51</c:v>
                </c:pt>
                <c:pt idx="69">
                  <c:v>0.51</c:v>
                </c:pt>
                <c:pt idx="70">
                  <c:v>0.48</c:v>
                </c:pt>
                <c:pt idx="71">
                  <c:v>0.5</c:v>
                </c:pt>
                <c:pt idx="72">
                  <c:v>0.81</c:v>
                </c:pt>
                <c:pt idx="73">
                  <c:v>1.1100000000000001</c:v>
                </c:pt>
                <c:pt idx="74">
                  <c:v>1.48</c:v>
                </c:pt>
                <c:pt idx="75">
                  <c:v>3.93</c:v>
                </c:pt>
                <c:pt idx="76">
                  <c:v>5.14</c:v>
                </c:pt>
                <c:pt idx="77">
                  <c:v>5.75</c:v>
                </c:pt>
                <c:pt idx="78">
                  <c:v>5.22</c:v>
                </c:pt>
                <c:pt idx="79">
                  <c:v>4.8</c:v>
                </c:pt>
                <c:pt idx="80">
                  <c:v>3.29</c:v>
                </c:pt>
                <c:pt idx="81">
                  <c:v>2.56</c:v>
                </c:pt>
                <c:pt idx="82">
                  <c:v>2.13</c:v>
                </c:pt>
                <c:pt idx="83">
                  <c:v>1.79</c:v>
                </c:pt>
                <c:pt idx="84">
                  <c:v>1.59</c:v>
                </c:pt>
                <c:pt idx="85">
                  <c:v>1.42</c:v>
                </c:pt>
                <c:pt idx="86">
                  <c:v>1.32</c:v>
                </c:pt>
                <c:pt idx="87">
                  <c:v>1.25</c:v>
                </c:pt>
                <c:pt idx="88">
                  <c:v>1.2</c:v>
                </c:pt>
                <c:pt idx="89">
                  <c:v>1.1599999999999999</c:v>
                </c:pt>
                <c:pt idx="90">
                  <c:v>1.1299999999999999</c:v>
                </c:pt>
                <c:pt idx="91">
                  <c:v>1.08</c:v>
                </c:pt>
                <c:pt idx="92">
                  <c:v>1</c:v>
                </c:pt>
                <c:pt idx="93">
                  <c:v>1.01</c:v>
                </c:pt>
                <c:pt idx="94">
                  <c:v>1</c:v>
                </c:pt>
                <c:pt idx="95">
                  <c:v>0.99</c:v>
                </c:pt>
                <c:pt idx="96">
                  <c:v>0.97</c:v>
                </c:pt>
                <c:pt idx="97">
                  <c:v>0.95</c:v>
                </c:pt>
                <c:pt idx="98">
                  <c:v>0.94</c:v>
                </c:pt>
                <c:pt idx="99">
                  <c:v>0.9</c:v>
                </c:pt>
                <c:pt idx="100">
                  <c:v>0.85</c:v>
                </c:pt>
                <c:pt idx="101">
                  <c:v>0.87</c:v>
                </c:pt>
                <c:pt idx="102">
                  <c:v>0.9</c:v>
                </c:pt>
                <c:pt idx="103">
                  <c:v>0.89</c:v>
                </c:pt>
                <c:pt idx="104">
                  <c:v>0.87</c:v>
                </c:pt>
                <c:pt idx="105">
                  <c:v>0.85</c:v>
                </c:pt>
                <c:pt idx="106">
                  <c:v>0.68</c:v>
                </c:pt>
                <c:pt idx="107">
                  <c:v>0.7</c:v>
                </c:pt>
                <c:pt idx="108">
                  <c:v>0.87</c:v>
                </c:pt>
                <c:pt idx="109">
                  <c:v>0.88</c:v>
                </c:pt>
                <c:pt idx="110">
                  <c:v>0.86</c:v>
                </c:pt>
                <c:pt idx="111">
                  <c:v>0.85</c:v>
                </c:pt>
                <c:pt idx="112">
                  <c:v>0.88</c:v>
                </c:pt>
                <c:pt idx="113">
                  <c:v>1.01</c:v>
                </c:pt>
                <c:pt idx="114">
                  <c:v>1.1000000000000001</c:v>
                </c:pt>
                <c:pt idx="115">
                  <c:v>1.35</c:v>
                </c:pt>
                <c:pt idx="116">
                  <c:v>1.37</c:v>
                </c:pt>
                <c:pt idx="117">
                  <c:v>1.73</c:v>
                </c:pt>
                <c:pt idx="118">
                  <c:v>2.0299999999999998</c:v>
                </c:pt>
                <c:pt idx="119">
                  <c:v>2.96</c:v>
                </c:pt>
                <c:pt idx="120">
                  <c:v>3.95</c:v>
                </c:pt>
                <c:pt idx="121">
                  <c:v>3.84</c:v>
                </c:pt>
                <c:pt idx="122">
                  <c:v>3.47</c:v>
                </c:pt>
                <c:pt idx="123">
                  <c:v>3.1</c:v>
                </c:pt>
                <c:pt idx="124">
                  <c:v>2.87</c:v>
                </c:pt>
                <c:pt idx="125">
                  <c:v>2.42</c:v>
                </c:pt>
                <c:pt idx="126">
                  <c:v>2.2000000000000002</c:v>
                </c:pt>
                <c:pt idx="127">
                  <c:v>2.0299999999999998</c:v>
                </c:pt>
                <c:pt idx="128">
                  <c:v>1.83</c:v>
                </c:pt>
                <c:pt idx="129">
                  <c:v>1.95</c:v>
                </c:pt>
                <c:pt idx="130">
                  <c:v>2.68</c:v>
                </c:pt>
                <c:pt idx="131">
                  <c:v>3.3</c:v>
                </c:pt>
                <c:pt idx="132">
                  <c:v>5.25</c:v>
                </c:pt>
                <c:pt idx="133">
                  <c:v>6.24</c:v>
                </c:pt>
                <c:pt idx="134">
                  <c:v>5.85</c:v>
                </c:pt>
                <c:pt idx="135">
                  <c:v>5.1100000000000003</c:v>
                </c:pt>
                <c:pt idx="136">
                  <c:v>4.3099999999999996</c:v>
                </c:pt>
                <c:pt idx="137">
                  <c:v>3.41</c:v>
                </c:pt>
                <c:pt idx="138">
                  <c:v>2.82</c:v>
                </c:pt>
                <c:pt idx="139">
                  <c:v>2.63</c:v>
                </c:pt>
                <c:pt idx="140">
                  <c:v>2.1800000000000002</c:v>
                </c:pt>
                <c:pt idx="141">
                  <c:v>2.0299999999999998</c:v>
                </c:pt>
                <c:pt idx="142">
                  <c:v>1.93</c:v>
                </c:pt>
                <c:pt idx="143">
                  <c:v>1.85</c:v>
                </c:pt>
                <c:pt idx="144">
                  <c:v>1.71</c:v>
                </c:pt>
                <c:pt idx="145">
                  <c:v>1.62</c:v>
                </c:pt>
                <c:pt idx="146">
                  <c:v>1.67</c:v>
                </c:pt>
                <c:pt idx="147">
                  <c:v>1.6</c:v>
                </c:pt>
                <c:pt idx="148">
                  <c:v>1.71</c:v>
                </c:pt>
                <c:pt idx="149">
                  <c:v>1.75</c:v>
                </c:pt>
                <c:pt idx="150">
                  <c:v>1.85</c:v>
                </c:pt>
                <c:pt idx="151">
                  <c:v>2.14</c:v>
                </c:pt>
                <c:pt idx="152">
                  <c:v>2.0499999999999998</c:v>
                </c:pt>
                <c:pt idx="153">
                  <c:v>1.95</c:v>
                </c:pt>
                <c:pt idx="154">
                  <c:v>1.8</c:v>
                </c:pt>
                <c:pt idx="155">
                  <c:v>1.79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3-4859-9898-66A9B30C9D69}"/>
            </c:ext>
          </c:extLst>
        </c:ser>
        <c:ser>
          <c:idx val="2"/>
          <c:order val="2"/>
          <c:tx>
            <c:strRef>
              <c:f>Deraniyagala!$E$4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Deraniyagala!$E$5:$E$268</c:f>
              <c:numCache>
                <c:formatCode>0.00</c:formatCode>
                <c:ptCount val="264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4.8</c:v>
                </c:pt>
                <c:pt idx="18">
                  <c:v>4.8</c:v>
                </c:pt>
                <c:pt idx="19">
                  <c:v>4.8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4.8</c:v>
                </c:pt>
                <c:pt idx="36">
                  <c:v>4.8</c:v>
                </c:pt>
                <c:pt idx="37">
                  <c:v>4.8</c:v>
                </c:pt>
                <c:pt idx="38">
                  <c:v>4.8</c:v>
                </c:pt>
                <c:pt idx="39">
                  <c:v>4.8</c:v>
                </c:pt>
                <c:pt idx="40">
                  <c:v>4.8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4.8</c:v>
                </c:pt>
                <c:pt idx="55">
                  <c:v>4.8</c:v>
                </c:pt>
                <c:pt idx="56">
                  <c:v>4.8</c:v>
                </c:pt>
                <c:pt idx="57">
                  <c:v>4.8</c:v>
                </c:pt>
                <c:pt idx="58">
                  <c:v>4.8</c:v>
                </c:pt>
                <c:pt idx="59">
                  <c:v>4.8</c:v>
                </c:pt>
                <c:pt idx="60">
                  <c:v>4.8</c:v>
                </c:pt>
                <c:pt idx="61">
                  <c:v>4.8</c:v>
                </c:pt>
                <c:pt idx="62">
                  <c:v>4.8</c:v>
                </c:pt>
                <c:pt idx="63">
                  <c:v>4.8</c:v>
                </c:pt>
                <c:pt idx="64">
                  <c:v>4.8</c:v>
                </c:pt>
                <c:pt idx="65">
                  <c:v>4.8</c:v>
                </c:pt>
                <c:pt idx="66">
                  <c:v>4.8</c:v>
                </c:pt>
                <c:pt idx="67">
                  <c:v>4.8</c:v>
                </c:pt>
                <c:pt idx="68">
                  <c:v>4.8</c:v>
                </c:pt>
                <c:pt idx="69">
                  <c:v>4.8</c:v>
                </c:pt>
                <c:pt idx="70">
                  <c:v>4.8</c:v>
                </c:pt>
                <c:pt idx="71">
                  <c:v>4.8</c:v>
                </c:pt>
                <c:pt idx="72">
                  <c:v>4.8</c:v>
                </c:pt>
                <c:pt idx="73">
                  <c:v>4.8</c:v>
                </c:pt>
                <c:pt idx="74">
                  <c:v>4.8</c:v>
                </c:pt>
                <c:pt idx="75">
                  <c:v>4.8</c:v>
                </c:pt>
                <c:pt idx="76">
                  <c:v>4.8</c:v>
                </c:pt>
                <c:pt idx="77">
                  <c:v>4.8</c:v>
                </c:pt>
                <c:pt idx="78">
                  <c:v>4.8</c:v>
                </c:pt>
                <c:pt idx="79">
                  <c:v>4.8</c:v>
                </c:pt>
                <c:pt idx="80">
                  <c:v>4.8</c:v>
                </c:pt>
                <c:pt idx="81">
                  <c:v>4.8</c:v>
                </c:pt>
                <c:pt idx="82">
                  <c:v>4.8</c:v>
                </c:pt>
                <c:pt idx="83">
                  <c:v>4.8</c:v>
                </c:pt>
                <c:pt idx="84">
                  <c:v>4.8</c:v>
                </c:pt>
                <c:pt idx="85">
                  <c:v>4.8</c:v>
                </c:pt>
                <c:pt idx="86">
                  <c:v>4.8</c:v>
                </c:pt>
                <c:pt idx="87">
                  <c:v>4.8</c:v>
                </c:pt>
                <c:pt idx="88">
                  <c:v>4.8</c:v>
                </c:pt>
                <c:pt idx="89">
                  <c:v>4.8</c:v>
                </c:pt>
                <c:pt idx="90">
                  <c:v>4.8</c:v>
                </c:pt>
                <c:pt idx="91">
                  <c:v>4.8</c:v>
                </c:pt>
                <c:pt idx="92">
                  <c:v>4.8</c:v>
                </c:pt>
                <c:pt idx="93">
                  <c:v>4.8</c:v>
                </c:pt>
                <c:pt idx="94">
                  <c:v>4.8</c:v>
                </c:pt>
                <c:pt idx="95">
                  <c:v>4.8</c:v>
                </c:pt>
                <c:pt idx="96">
                  <c:v>4.8</c:v>
                </c:pt>
                <c:pt idx="97">
                  <c:v>4.8</c:v>
                </c:pt>
                <c:pt idx="98">
                  <c:v>4.8</c:v>
                </c:pt>
                <c:pt idx="99">
                  <c:v>4.8</c:v>
                </c:pt>
                <c:pt idx="100">
                  <c:v>4.8</c:v>
                </c:pt>
                <c:pt idx="101">
                  <c:v>4.8</c:v>
                </c:pt>
                <c:pt idx="102">
                  <c:v>4.8</c:v>
                </c:pt>
                <c:pt idx="103">
                  <c:v>4.8</c:v>
                </c:pt>
                <c:pt idx="104">
                  <c:v>4.8</c:v>
                </c:pt>
                <c:pt idx="105">
                  <c:v>4.8</c:v>
                </c:pt>
                <c:pt idx="106">
                  <c:v>4.8</c:v>
                </c:pt>
                <c:pt idx="107">
                  <c:v>4.8</c:v>
                </c:pt>
                <c:pt idx="108">
                  <c:v>4.8</c:v>
                </c:pt>
                <c:pt idx="109">
                  <c:v>4.8</c:v>
                </c:pt>
                <c:pt idx="110">
                  <c:v>4.8</c:v>
                </c:pt>
                <c:pt idx="111">
                  <c:v>4.8</c:v>
                </c:pt>
                <c:pt idx="112">
                  <c:v>4.8</c:v>
                </c:pt>
                <c:pt idx="113">
                  <c:v>4.8</c:v>
                </c:pt>
                <c:pt idx="114">
                  <c:v>4.8</c:v>
                </c:pt>
                <c:pt idx="115">
                  <c:v>4.8</c:v>
                </c:pt>
                <c:pt idx="116">
                  <c:v>4.8</c:v>
                </c:pt>
                <c:pt idx="117">
                  <c:v>4.8</c:v>
                </c:pt>
                <c:pt idx="118">
                  <c:v>4.8</c:v>
                </c:pt>
                <c:pt idx="119">
                  <c:v>4.8</c:v>
                </c:pt>
                <c:pt idx="120">
                  <c:v>4.8</c:v>
                </c:pt>
                <c:pt idx="121">
                  <c:v>4.8</c:v>
                </c:pt>
                <c:pt idx="122">
                  <c:v>4.8</c:v>
                </c:pt>
                <c:pt idx="123">
                  <c:v>4.8</c:v>
                </c:pt>
                <c:pt idx="124">
                  <c:v>4.8</c:v>
                </c:pt>
                <c:pt idx="125">
                  <c:v>4.8</c:v>
                </c:pt>
                <c:pt idx="126">
                  <c:v>4.8</c:v>
                </c:pt>
                <c:pt idx="127">
                  <c:v>4.8</c:v>
                </c:pt>
                <c:pt idx="128">
                  <c:v>4.8</c:v>
                </c:pt>
                <c:pt idx="129">
                  <c:v>4.8</c:v>
                </c:pt>
                <c:pt idx="130">
                  <c:v>4.8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4.8</c:v>
                </c:pt>
                <c:pt idx="148">
                  <c:v>4.8</c:v>
                </c:pt>
                <c:pt idx="149">
                  <c:v>4.8</c:v>
                </c:pt>
                <c:pt idx="150">
                  <c:v>4.8</c:v>
                </c:pt>
                <c:pt idx="151">
                  <c:v>4.8</c:v>
                </c:pt>
                <c:pt idx="152">
                  <c:v>4.8</c:v>
                </c:pt>
                <c:pt idx="153">
                  <c:v>4.8</c:v>
                </c:pt>
                <c:pt idx="154">
                  <c:v>4.8</c:v>
                </c:pt>
                <c:pt idx="155">
                  <c:v>4.8</c:v>
                </c:pt>
                <c:pt idx="156">
                  <c:v>4.8</c:v>
                </c:pt>
                <c:pt idx="157">
                  <c:v>4.8</c:v>
                </c:pt>
                <c:pt idx="158">
                  <c:v>4.8</c:v>
                </c:pt>
                <c:pt idx="159">
                  <c:v>4.8</c:v>
                </c:pt>
                <c:pt idx="160">
                  <c:v>4.8</c:v>
                </c:pt>
                <c:pt idx="161">
                  <c:v>4.8</c:v>
                </c:pt>
                <c:pt idx="162">
                  <c:v>4.8</c:v>
                </c:pt>
                <c:pt idx="163">
                  <c:v>4.8</c:v>
                </c:pt>
                <c:pt idx="164">
                  <c:v>4.8</c:v>
                </c:pt>
                <c:pt idx="165">
                  <c:v>4.8</c:v>
                </c:pt>
                <c:pt idx="166">
                  <c:v>4.8</c:v>
                </c:pt>
                <c:pt idx="167">
                  <c:v>4.8</c:v>
                </c:pt>
                <c:pt idx="168">
                  <c:v>4.8</c:v>
                </c:pt>
                <c:pt idx="169">
                  <c:v>4.8</c:v>
                </c:pt>
                <c:pt idx="170">
                  <c:v>4.8</c:v>
                </c:pt>
                <c:pt idx="171">
                  <c:v>4.8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4.8</c:v>
                </c:pt>
                <c:pt idx="176">
                  <c:v>4.8</c:v>
                </c:pt>
                <c:pt idx="177">
                  <c:v>4.8</c:v>
                </c:pt>
                <c:pt idx="178">
                  <c:v>4.8</c:v>
                </c:pt>
                <c:pt idx="179">
                  <c:v>4.8</c:v>
                </c:pt>
                <c:pt idx="180">
                  <c:v>4.8</c:v>
                </c:pt>
                <c:pt idx="181">
                  <c:v>4.8</c:v>
                </c:pt>
                <c:pt idx="182">
                  <c:v>4.8</c:v>
                </c:pt>
                <c:pt idx="183">
                  <c:v>4.8</c:v>
                </c:pt>
                <c:pt idx="184">
                  <c:v>4.8</c:v>
                </c:pt>
                <c:pt idx="185">
                  <c:v>4.8</c:v>
                </c:pt>
                <c:pt idx="186">
                  <c:v>4.8</c:v>
                </c:pt>
                <c:pt idx="187">
                  <c:v>4.8</c:v>
                </c:pt>
                <c:pt idx="188">
                  <c:v>4.8</c:v>
                </c:pt>
                <c:pt idx="189">
                  <c:v>4.8</c:v>
                </c:pt>
                <c:pt idx="190">
                  <c:v>4.8</c:v>
                </c:pt>
                <c:pt idx="191">
                  <c:v>4.8</c:v>
                </c:pt>
                <c:pt idx="192">
                  <c:v>4.8</c:v>
                </c:pt>
                <c:pt idx="193">
                  <c:v>4.8</c:v>
                </c:pt>
                <c:pt idx="194">
                  <c:v>4.8</c:v>
                </c:pt>
                <c:pt idx="195">
                  <c:v>4.8</c:v>
                </c:pt>
                <c:pt idx="196">
                  <c:v>4.8</c:v>
                </c:pt>
                <c:pt idx="197">
                  <c:v>4.8</c:v>
                </c:pt>
                <c:pt idx="198">
                  <c:v>4.8</c:v>
                </c:pt>
                <c:pt idx="199">
                  <c:v>4.8</c:v>
                </c:pt>
                <c:pt idx="200">
                  <c:v>4.8</c:v>
                </c:pt>
                <c:pt idx="201">
                  <c:v>4.8</c:v>
                </c:pt>
                <c:pt idx="202">
                  <c:v>4.8</c:v>
                </c:pt>
                <c:pt idx="203">
                  <c:v>4.8</c:v>
                </c:pt>
                <c:pt idx="204">
                  <c:v>4.8</c:v>
                </c:pt>
                <c:pt idx="205">
                  <c:v>4.8</c:v>
                </c:pt>
                <c:pt idx="206">
                  <c:v>4.8</c:v>
                </c:pt>
                <c:pt idx="207">
                  <c:v>4.8</c:v>
                </c:pt>
                <c:pt idx="208">
                  <c:v>4.8</c:v>
                </c:pt>
                <c:pt idx="209">
                  <c:v>4.8</c:v>
                </c:pt>
                <c:pt idx="210">
                  <c:v>4.8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4.8</c:v>
                </c:pt>
                <c:pt idx="215">
                  <c:v>4.8</c:v>
                </c:pt>
                <c:pt idx="216">
                  <c:v>4.8</c:v>
                </c:pt>
                <c:pt idx="217">
                  <c:v>4.8</c:v>
                </c:pt>
                <c:pt idx="218">
                  <c:v>4.8</c:v>
                </c:pt>
                <c:pt idx="219">
                  <c:v>4.8</c:v>
                </c:pt>
                <c:pt idx="220">
                  <c:v>4.8</c:v>
                </c:pt>
                <c:pt idx="221">
                  <c:v>4.8</c:v>
                </c:pt>
                <c:pt idx="222">
                  <c:v>4.8</c:v>
                </c:pt>
                <c:pt idx="223">
                  <c:v>4.8</c:v>
                </c:pt>
                <c:pt idx="224">
                  <c:v>4.8</c:v>
                </c:pt>
                <c:pt idx="225">
                  <c:v>4.8</c:v>
                </c:pt>
                <c:pt idx="226">
                  <c:v>4.8</c:v>
                </c:pt>
                <c:pt idx="227">
                  <c:v>4.8</c:v>
                </c:pt>
                <c:pt idx="228">
                  <c:v>4.8</c:v>
                </c:pt>
                <c:pt idx="229">
                  <c:v>4.8</c:v>
                </c:pt>
                <c:pt idx="230">
                  <c:v>4.8</c:v>
                </c:pt>
                <c:pt idx="231">
                  <c:v>4.8</c:v>
                </c:pt>
                <c:pt idx="232">
                  <c:v>4.8</c:v>
                </c:pt>
                <c:pt idx="233">
                  <c:v>4.8</c:v>
                </c:pt>
                <c:pt idx="234">
                  <c:v>4.8</c:v>
                </c:pt>
                <c:pt idx="235">
                  <c:v>4.8</c:v>
                </c:pt>
                <c:pt idx="236">
                  <c:v>4.8</c:v>
                </c:pt>
                <c:pt idx="237">
                  <c:v>4.8</c:v>
                </c:pt>
                <c:pt idx="238">
                  <c:v>4.8</c:v>
                </c:pt>
                <c:pt idx="239">
                  <c:v>4.8</c:v>
                </c:pt>
                <c:pt idx="240">
                  <c:v>4.8</c:v>
                </c:pt>
                <c:pt idx="241">
                  <c:v>4.8</c:v>
                </c:pt>
                <c:pt idx="242">
                  <c:v>4.8</c:v>
                </c:pt>
                <c:pt idx="243">
                  <c:v>4.8</c:v>
                </c:pt>
                <c:pt idx="244">
                  <c:v>4.8</c:v>
                </c:pt>
                <c:pt idx="245">
                  <c:v>4.8</c:v>
                </c:pt>
                <c:pt idx="246">
                  <c:v>4.8</c:v>
                </c:pt>
                <c:pt idx="247">
                  <c:v>4.8</c:v>
                </c:pt>
                <c:pt idx="248">
                  <c:v>4.8</c:v>
                </c:pt>
                <c:pt idx="249">
                  <c:v>4.8</c:v>
                </c:pt>
                <c:pt idx="250">
                  <c:v>4.8</c:v>
                </c:pt>
                <c:pt idx="251">
                  <c:v>4.8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4.8</c:v>
                </c:pt>
                <c:pt idx="256">
                  <c:v>4.8</c:v>
                </c:pt>
                <c:pt idx="257">
                  <c:v>4.8</c:v>
                </c:pt>
                <c:pt idx="258">
                  <c:v>4.8</c:v>
                </c:pt>
                <c:pt idx="259">
                  <c:v>4.8</c:v>
                </c:pt>
                <c:pt idx="260">
                  <c:v>4.8</c:v>
                </c:pt>
                <c:pt idx="261">
                  <c:v>4.8</c:v>
                </c:pt>
                <c:pt idx="262">
                  <c:v>4.8</c:v>
                </c:pt>
                <c:pt idx="263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B3-4859-9898-66A9B30C9D69}"/>
            </c:ext>
          </c:extLst>
        </c:ser>
        <c:ser>
          <c:idx val="3"/>
          <c:order val="3"/>
          <c:tx>
            <c:strRef>
              <c:f>Deraniyagala!$F$4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Deraniyagala!$F$5:$F$268</c:f>
              <c:numCache>
                <c:formatCode>0.00</c:formatCode>
                <c:ptCount val="264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5.8</c:v>
                </c:pt>
                <c:pt idx="42">
                  <c:v>5.8</c:v>
                </c:pt>
                <c:pt idx="43">
                  <c:v>5.8</c:v>
                </c:pt>
                <c:pt idx="44">
                  <c:v>5.8</c:v>
                </c:pt>
                <c:pt idx="45">
                  <c:v>5.8</c:v>
                </c:pt>
                <c:pt idx="46">
                  <c:v>5.8</c:v>
                </c:pt>
                <c:pt idx="47">
                  <c:v>5.8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</c:v>
                </c:pt>
                <c:pt idx="73">
                  <c:v>5.8</c:v>
                </c:pt>
                <c:pt idx="74">
                  <c:v>5.8</c:v>
                </c:pt>
                <c:pt idx="75">
                  <c:v>5.8</c:v>
                </c:pt>
                <c:pt idx="76">
                  <c:v>5.8</c:v>
                </c:pt>
                <c:pt idx="77">
                  <c:v>5.8</c:v>
                </c:pt>
                <c:pt idx="78">
                  <c:v>5.8</c:v>
                </c:pt>
                <c:pt idx="79">
                  <c:v>5.8</c:v>
                </c:pt>
                <c:pt idx="80">
                  <c:v>5.8</c:v>
                </c:pt>
                <c:pt idx="81">
                  <c:v>5.8</c:v>
                </c:pt>
                <c:pt idx="82">
                  <c:v>5.8</c:v>
                </c:pt>
                <c:pt idx="83">
                  <c:v>5.8</c:v>
                </c:pt>
                <c:pt idx="84">
                  <c:v>5.8</c:v>
                </c:pt>
                <c:pt idx="85">
                  <c:v>5.8</c:v>
                </c:pt>
                <c:pt idx="86">
                  <c:v>5.8</c:v>
                </c:pt>
                <c:pt idx="87">
                  <c:v>5.8</c:v>
                </c:pt>
                <c:pt idx="88">
                  <c:v>5.8</c:v>
                </c:pt>
                <c:pt idx="89">
                  <c:v>5.8</c:v>
                </c:pt>
                <c:pt idx="90">
                  <c:v>5.8</c:v>
                </c:pt>
                <c:pt idx="91">
                  <c:v>5.8</c:v>
                </c:pt>
                <c:pt idx="92">
                  <c:v>5.8</c:v>
                </c:pt>
                <c:pt idx="93">
                  <c:v>5.8</c:v>
                </c:pt>
                <c:pt idx="94">
                  <c:v>5.8</c:v>
                </c:pt>
                <c:pt idx="95">
                  <c:v>5.8</c:v>
                </c:pt>
                <c:pt idx="96">
                  <c:v>5.8</c:v>
                </c:pt>
                <c:pt idx="97">
                  <c:v>5.8</c:v>
                </c:pt>
                <c:pt idx="98">
                  <c:v>5.8</c:v>
                </c:pt>
                <c:pt idx="99">
                  <c:v>5.8</c:v>
                </c:pt>
                <c:pt idx="100">
                  <c:v>5.8</c:v>
                </c:pt>
                <c:pt idx="101">
                  <c:v>5.8</c:v>
                </c:pt>
                <c:pt idx="102">
                  <c:v>5.8</c:v>
                </c:pt>
                <c:pt idx="103">
                  <c:v>5.8</c:v>
                </c:pt>
                <c:pt idx="104">
                  <c:v>5.8</c:v>
                </c:pt>
                <c:pt idx="105">
                  <c:v>5.8</c:v>
                </c:pt>
                <c:pt idx="106">
                  <c:v>5.8</c:v>
                </c:pt>
                <c:pt idx="107">
                  <c:v>5.8</c:v>
                </c:pt>
                <c:pt idx="108">
                  <c:v>5.8</c:v>
                </c:pt>
                <c:pt idx="109">
                  <c:v>5.8</c:v>
                </c:pt>
                <c:pt idx="110">
                  <c:v>5.8</c:v>
                </c:pt>
                <c:pt idx="111">
                  <c:v>5.8</c:v>
                </c:pt>
                <c:pt idx="112">
                  <c:v>5.8</c:v>
                </c:pt>
                <c:pt idx="113">
                  <c:v>5.8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5.8</c:v>
                </c:pt>
                <c:pt idx="119">
                  <c:v>5.8</c:v>
                </c:pt>
                <c:pt idx="120">
                  <c:v>5.8</c:v>
                </c:pt>
                <c:pt idx="121">
                  <c:v>5.8</c:v>
                </c:pt>
                <c:pt idx="122">
                  <c:v>5.8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5.8</c:v>
                </c:pt>
                <c:pt idx="133">
                  <c:v>5.8</c:v>
                </c:pt>
                <c:pt idx="134">
                  <c:v>5.8</c:v>
                </c:pt>
                <c:pt idx="135">
                  <c:v>5.8</c:v>
                </c:pt>
                <c:pt idx="136">
                  <c:v>5.8</c:v>
                </c:pt>
                <c:pt idx="137">
                  <c:v>5.8</c:v>
                </c:pt>
                <c:pt idx="138">
                  <c:v>5.8</c:v>
                </c:pt>
                <c:pt idx="139">
                  <c:v>5.8</c:v>
                </c:pt>
                <c:pt idx="140">
                  <c:v>5.8</c:v>
                </c:pt>
                <c:pt idx="141">
                  <c:v>5.8</c:v>
                </c:pt>
                <c:pt idx="142">
                  <c:v>5.8</c:v>
                </c:pt>
                <c:pt idx="143">
                  <c:v>5.8</c:v>
                </c:pt>
                <c:pt idx="144">
                  <c:v>5.8</c:v>
                </c:pt>
                <c:pt idx="145">
                  <c:v>5.8</c:v>
                </c:pt>
                <c:pt idx="146">
                  <c:v>5.8</c:v>
                </c:pt>
                <c:pt idx="147">
                  <c:v>5.8</c:v>
                </c:pt>
                <c:pt idx="148">
                  <c:v>5.8</c:v>
                </c:pt>
                <c:pt idx="149">
                  <c:v>5.8</c:v>
                </c:pt>
                <c:pt idx="150">
                  <c:v>5.8</c:v>
                </c:pt>
                <c:pt idx="151">
                  <c:v>5.8</c:v>
                </c:pt>
                <c:pt idx="152">
                  <c:v>5.8</c:v>
                </c:pt>
                <c:pt idx="153">
                  <c:v>5.8</c:v>
                </c:pt>
                <c:pt idx="154">
                  <c:v>5.8</c:v>
                </c:pt>
                <c:pt idx="155">
                  <c:v>5.8</c:v>
                </c:pt>
                <c:pt idx="156">
                  <c:v>5.8</c:v>
                </c:pt>
                <c:pt idx="157">
                  <c:v>5.8</c:v>
                </c:pt>
                <c:pt idx="158">
                  <c:v>5.8</c:v>
                </c:pt>
                <c:pt idx="159">
                  <c:v>5.8</c:v>
                </c:pt>
                <c:pt idx="160">
                  <c:v>5.8</c:v>
                </c:pt>
                <c:pt idx="161">
                  <c:v>5.8</c:v>
                </c:pt>
                <c:pt idx="162">
                  <c:v>5.8</c:v>
                </c:pt>
                <c:pt idx="163">
                  <c:v>5.8</c:v>
                </c:pt>
                <c:pt idx="164">
                  <c:v>5.8</c:v>
                </c:pt>
                <c:pt idx="165">
                  <c:v>5.8</c:v>
                </c:pt>
                <c:pt idx="166">
                  <c:v>5.8</c:v>
                </c:pt>
                <c:pt idx="167">
                  <c:v>5.8</c:v>
                </c:pt>
                <c:pt idx="168">
                  <c:v>5.8</c:v>
                </c:pt>
                <c:pt idx="169">
                  <c:v>5.8</c:v>
                </c:pt>
                <c:pt idx="170">
                  <c:v>5.8</c:v>
                </c:pt>
                <c:pt idx="171">
                  <c:v>5.8</c:v>
                </c:pt>
                <c:pt idx="172">
                  <c:v>5.8</c:v>
                </c:pt>
                <c:pt idx="173">
                  <c:v>5.8</c:v>
                </c:pt>
                <c:pt idx="174">
                  <c:v>5.8</c:v>
                </c:pt>
                <c:pt idx="175">
                  <c:v>5.8</c:v>
                </c:pt>
                <c:pt idx="176">
                  <c:v>5.8</c:v>
                </c:pt>
                <c:pt idx="177">
                  <c:v>5.8</c:v>
                </c:pt>
                <c:pt idx="178">
                  <c:v>5.8</c:v>
                </c:pt>
                <c:pt idx="179">
                  <c:v>5.8</c:v>
                </c:pt>
                <c:pt idx="180">
                  <c:v>5.8</c:v>
                </c:pt>
                <c:pt idx="181">
                  <c:v>5.8</c:v>
                </c:pt>
                <c:pt idx="182">
                  <c:v>5.8</c:v>
                </c:pt>
                <c:pt idx="183">
                  <c:v>5.8</c:v>
                </c:pt>
                <c:pt idx="184">
                  <c:v>5.8</c:v>
                </c:pt>
                <c:pt idx="185">
                  <c:v>5.8</c:v>
                </c:pt>
                <c:pt idx="186">
                  <c:v>5.8</c:v>
                </c:pt>
                <c:pt idx="187">
                  <c:v>5.8</c:v>
                </c:pt>
                <c:pt idx="188">
                  <c:v>5.8</c:v>
                </c:pt>
                <c:pt idx="189">
                  <c:v>5.8</c:v>
                </c:pt>
                <c:pt idx="190">
                  <c:v>5.8</c:v>
                </c:pt>
                <c:pt idx="191">
                  <c:v>5.8</c:v>
                </c:pt>
                <c:pt idx="192">
                  <c:v>5.8</c:v>
                </c:pt>
                <c:pt idx="193">
                  <c:v>5.8</c:v>
                </c:pt>
                <c:pt idx="194">
                  <c:v>5.8</c:v>
                </c:pt>
                <c:pt idx="195">
                  <c:v>5.8</c:v>
                </c:pt>
                <c:pt idx="196">
                  <c:v>5.8</c:v>
                </c:pt>
                <c:pt idx="197">
                  <c:v>5.8</c:v>
                </c:pt>
                <c:pt idx="198">
                  <c:v>5.8</c:v>
                </c:pt>
                <c:pt idx="199">
                  <c:v>5.8</c:v>
                </c:pt>
                <c:pt idx="200">
                  <c:v>5.8</c:v>
                </c:pt>
                <c:pt idx="201">
                  <c:v>5.8</c:v>
                </c:pt>
                <c:pt idx="202">
                  <c:v>5.8</c:v>
                </c:pt>
                <c:pt idx="203">
                  <c:v>5.8</c:v>
                </c:pt>
                <c:pt idx="204">
                  <c:v>5.8</c:v>
                </c:pt>
                <c:pt idx="205">
                  <c:v>5.8</c:v>
                </c:pt>
                <c:pt idx="206">
                  <c:v>5.8</c:v>
                </c:pt>
                <c:pt idx="207">
                  <c:v>5.8</c:v>
                </c:pt>
                <c:pt idx="208">
                  <c:v>5.8</c:v>
                </c:pt>
                <c:pt idx="209">
                  <c:v>5.8</c:v>
                </c:pt>
                <c:pt idx="210">
                  <c:v>5.8</c:v>
                </c:pt>
                <c:pt idx="211">
                  <c:v>5.8</c:v>
                </c:pt>
                <c:pt idx="212">
                  <c:v>5.8</c:v>
                </c:pt>
                <c:pt idx="213">
                  <c:v>5.8</c:v>
                </c:pt>
                <c:pt idx="214">
                  <c:v>5.8</c:v>
                </c:pt>
                <c:pt idx="215">
                  <c:v>5.8</c:v>
                </c:pt>
                <c:pt idx="216">
                  <c:v>5.8</c:v>
                </c:pt>
                <c:pt idx="217">
                  <c:v>5.8</c:v>
                </c:pt>
                <c:pt idx="218">
                  <c:v>5.8</c:v>
                </c:pt>
                <c:pt idx="219">
                  <c:v>5.8</c:v>
                </c:pt>
                <c:pt idx="220">
                  <c:v>5.8</c:v>
                </c:pt>
                <c:pt idx="221">
                  <c:v>5.8</c:v>
                </c:pt>
                <c:pt idx="222">
                  <c:v>5.8</c:v>
                </c:pt>
                <c:pt idx="223">
                  <c:v>5.8</c:v>
                </c:pt>
                <c:pt idx="224">
                  <c:v>5.8</c:v>
                </c:pt>
                <c:pt idx="225">
                  <c:v>5.8</c:v>
                </c:pt>
                <c:pt idx="226">
                  <c:v>5.8</c:v>
                </c:pt>
                <c:pt idx="227">
                  <c:v>5.8</c:v>
                </c:pt>
                <c:pt idx="228">
                  <c:v>5.8</c:v>
                </c:pt>
                <c:pt idx="229">
                  <c:v>5.8</c:v>
                </c:pt>
                <c:pt idx="230">
                  <c:v>5.8</c:v>
                </c:pt>
                <c:pt idx="231">
                  <c:v>5.8</c:v>
                </c:pt>
                <c:pt idx="232">
                  <c:v>5.8</c:v>
                </c:pt>
                <c:pt idx="233">
                  <c:v>5.8</c:v>
                </c:pt>
                <c:pt idx="234">
                  <c:v>5.8</c:v>
                </c:pt>
                <c:pt idx="235">
                  <c:v>5.8</c:v>
                </c:pt>
                <c:pt idx="236">
                  <c:v>5.8</c:v>
                </c:pt>
                <c:pt idx="237">
                  <c:v>5.8</c:v>
                </c:pt>
                <c:pt idx="238">
                  <c:v>5.8</c:v>
                </c:pt>
                <c:pt idx="239">
                  <c:v>5.8</c:v>
                </c:pt>
                <c:pt idx="240">
                  <c:v>5.8</c:v>
                </c:pt>
                <c:pt idx="241">
                  <c:v>5.8</c:v>
                </c:pt>
                <c:pt idx="242">
                  <c:v>5.8</c:v>
                </c:pt>
                <c:pt idx="243">
                  <c:v>5.8</c:v>
                </c:pt>
                <c:pt idx="244">
                  <c:v>5.8</c:v>
                </c:pt>
                <c:pt idx="245">
                  <c:v>5.8</c:v>
                </c:pt>
                <c:pt idx="246">
                  <c:v>5.8</c:v>
                </c:pt>
                <c:pt idx="247">
                  <c:v>5.8</c:v>
                </c:pt>
                <c:pt idx="248">
                  <c:v>5.8</c:v>
                </c:pt>
                <c:pt idx="249">
                  <c:v>5.8</c:v>
                </c:pt>
                <c:pt idx="250">
                  <c:v>5.8</c:v>
                </c:pt>
                <c:pt idx="251">
                  <c:v>5.8</c:v>
                </c:pt>
                <c:pt idx="252">
                  <c:v>5.8</c:v>
                </c:pt>
                <c:pt idx="253">
                  <c:v>5.8</c:v>
                </c:pt>
                <c:pt idx="254">
                  <c:v>5.8</c:v>
                </c:pt>
                <c:pt idx="255">
                  <c:v>5.8</c:v>
                </c:pt>
                <c:pt idx="256">
                  <c:v>5.8</c:v>
                </c:pt>
                <c:pt idx="257">
                  <c:v>5.8</c:v>
                </c:pt>
                <c:pt idx="258">
                  <c:v>5.8</c:v>
                </c:pt>
                <c:pt idx="259">
                  <c:v>5.8</c:v>
                </c:pt>
                <c:pt idx="260">
                  <c:v>5.8</c:v>
                </c:pt>
                <c:pt idx="261">
                  <c:v>5.8</c:v>
                </c:pt>
                <c:pt idx="262">
                  <c:v>5.8</c:v>
                </c:pt>
                <c:pt idx="26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B3-4859-9898-66A9B30C9D69}"/>
            </c:ext>
          </c:extLst>
        </c:ser>
        <c:ser>
          <c:idx val="4"/>
          <c:order val="4"/>
          <c:tx>
            <c:strRef>
              <c:f>Deraniyagala!$G$4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Deraniyagala!$A$5:$A$268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Deraniyagala!$G$5:$G$268</c:f>
              <c:numCache>
                <c:formatCode>0.00</c:formatCode>
                <c:ptCount val="264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6.4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  <c:pt idx="24">
                  <c:v>6.4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6.4</c:v>
                </c:pt>
                <c:pt idx="37">
                  <c:v>6.4</c:v>
                </c:pt>
                <c:pt idx="38">
                  <c:v>6.4</c:v>
                </c:pt>
                <c:pt idx="39">
                  <c:v>6.4</c:v>
                </c:pt>
                <c:pt idx="40">
                  <c:v>6.4</c:v>
                </c:pt>
                <c:pt idx="41">
                  <c:v>6.4</c:v>
                </c:pt>
                <c:pt idx="42">
                  <c:v>6.4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6.4</c:v>
                </c:pt>
                <c:pt idx="47">
                  <c:v>6.4</c:v>
                </c:pt>
                <c:pt idx="48">
                  <c:v>6.4</c:v>
                </c:pt>
                <c:pt idx="49">
                  <c:v>6.4</c:v>
                </c:pt>
                <c:pt idx="50">
                  <c:v>6.4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6.4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</c:v>
                </c:pt>
                <c:pt idx="77">
                  <c:v>6.4</c:v>
                </c:pt>
                <c:pt idx="78">
                  <c:v>6.4</c:v>
                </c:pt>
                <c:pt idx="79">
                  <c:v>6.4</c:v>
                </c:pt>
                <c:pt idx="80">
                  <c:v>6.4</c:v>
                </c:pt>
                <c:pt idx="81">
                  <c:v>6.4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6.4</c:v>
                </c:pt>
                <c:pt idx="111">
                  <c:v>6.4</c:v>
                </c:pt>
                <c:pt idx="112">
                  <c:v>6.4</c:v>
                </c:pt>
                <c:pt idx="113">
                  <c:v>6.4</c:v>
                </c:pt>
                <c:pt idx="114">
                  <c:v>6.4</c:v>
                </c:pt>
                <c:pt idx="115">
                  <c:v>6.4</c:v>
                </c:pt>
                <c:pt idx="116">
                  <c:v>6.4</c:v>
                </c:pt>
                <c:pt idx="117">
                  <c:v>6.4</c:v>
                </c:pt>
                <c:pt idx="118">
                  <c:v>6.4</c:v>
                </c:pt>
                <c:pt idx="119">
                  <c:v>6.4</c:v>
                </c:pt>
                <c:pt idx="120">
                  <c:v>6.4</c:v>
                </c:pt>
                <c:pt idx="121">
                  <c:v>6.4</c:v>
                </c:pt>
                <c:pt idx="122">
                  <c:v>6.4</c:v>
                </c:pt>
                <c:pt idx="123">
                  <c:v>6.4</c:v>
                </c:pt>
                <c:pt idx="124">
                  <c:v>6.4</c:v>
                </c:pt>
                <c:pt idx="125">
                  <c:v>6.4</c:v>
                </c:pt>
                <c:pt idx="126">
                  <c:v>6.4</c:v>
                </c:pt>
                <c:pt idx="127">
                  <c:v>6.4</c:v>
                </c:pt>
                <c:pt idx="128">
                  <c:v>6.4</c:v>
                </c:pt>
                <c:pt idx="129">
                  <c:v>6.4</c:v>
                </c:pt>
                <c:pt idx="130">
                  <c:v>6.4</c:v>
                </c:pt>
                <c:pt idx="131">
                  <c:v>6.4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6.4</c:v>
                </c:pt>
                <c:pt idx="136">
                  <c:v>6.4</c:v>
                </c:pt>
                <c:pt idx="137">
                  <c:v>6.4</c:v>
                </c:pt>
                <c:pt idx="138">
                  <c:v>6.4</c:v>
                </c:pt>
                <c:pt idx="139">
                  <c:v>6.4</c:v>
                </c:pt>
                <c:pt idx="140">
                  <c:v>6.4</c:v>
                </c:pt>
                <c:pt idx="141">
                  <c:v>6.4</c:v>
                </c:pt>
                <c:pt idx="142">
                  <c:v>6.4</c:v>
                </c:pt>
                <c:pt idx="143">
                  <c:v>6.4</c:v>
                </c:pt>
                <c:pt idx="144">
                  <c:v>6.4</c:v>
                </c:pt>
                <c:pt idx="145">
                  <c:v>6.4</c:v>
                </c:pt>
                <c:pt idx="146">
                  <c:v>6.4</c:v>
                </c:pt>
                <c:pt idx="147">
                  <c:v>6.4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6.4</c:v>
                </c:pt>
                <c:pt idx="152">
                  <c:v>6.4</c:v>
                </c:pt>
                <c:pt idx="153">
                  <c:v>6.4</c:v>
                </c:pt>
                <c:pt idx="154">
                  <c:v>6.4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6.4</c:v>
                </c:pt>
                <c:pt idx="160">
                  <c:v>6.4</c:v>
                </c:pt>
                <c:pt idx="161">
                  <c:v>6.4</c:v>
                </c:pt>
                <c:pt idx="162">
                  <c:v>6.4</c:v>
                </c:pt>
                <c:pt idx="163">
                  <c:v>6.4</c:v>
                </c:pt>
                <c:pt idx="164">
                  <c:v>6.4</c:v>
                </c:pt>
                <c:pt idx="165">
                  <c:v>6.4</c:v>
                </c:pt>
                <c:pt idx="166">
                  <c:v>6.4</c:v>
                </c:pt>
                <c:pt idx="167">
                  <c:v>6.4</c:v>
                </c:pt>
                <c:pt idx="168">
                  <c:v>6.4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</c:v>
                </c:pt>
                <c:pt idx="217">
                  <c:v>6.4</c:v>
                </c:pt>
                <c:pt idx="218">
                  <c:v>6.4</c:v>
                </c:pt>
                <c:pt idx="219">
                  <c:v>6.4</c:v>
                </c:pt>
                <c:pt idx="220">
                  <c:v>6.4</c:v>
                </c:pt>
                <c:pt idx="221">
                  <c:v>6.4</c:v>
                </c:pt>
                <c:pt idx="222">
                  <c:v>6.4</c:v>
                </c:pt>
                <c:pt idx="223">
                  <c:v>6.4</c:v>
                </c:pt>
                <c:pt idx="224">
                  <c:v>6.4</c:v>
                </c:pt>
                <c:pt idx="225">
                  <c:v>6.4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6.4</c:v>
                </c:pt>
                <c:pt idx="231">
                  <c:v>6.4</c:v>
                </c:pt>
                <c:pt idx="232">
                  <c:v>6.4</c:v>
                </c:pt>
                <c:pt idx="233">
                  <c:v>6.4</c:v>
                </c:pt>
                <c:pt idx="234">
                  <c:v>6.4</c:v>
                </c:pt>
                <c:pt idx="235">
                  <c:v>6.4</c:v>
                </c:pt>
                <c:pt idx="236">
                  <c:v>6.4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</c:v>
                </c:pt>
                <c:pt idx="243">
                  <c:v>6.4</c:v>
                </c:pt>
                <c:pt idx="244">
                  <c:v>6.4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B3-4859-9898-66A9B30C9D69}"/>
            </c:ext>
          </c:extLst>
        </c:ser>
        <c:ser>
          <c:idx val="5"/>
          <c:order val="5"/>
          <c:tx>
            <c:strRef>
              <c:f>Deraniyagala!$J$2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BB3-4859-9898-66A9B30C9D69}"/>
            </c:ext>
          </c:extLst>
        </c:ser>
        <c:ser>
          <c:idx val="6"/>
          <c:order val="6"/>
          <c:tx>
            <c:strRef>
              <c:f>Deraniyagala!$K$2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BB3-4859-9898-66A9B30C9D69}"/>
            </c:ext>
          </c:extLst>
        </c:ser>
        <c:ser>
          <c:idx val="7"/>
          <c:order val="7"/>
          <c:tx>
            <c:strRef>
              <c:f>Deraniyagala!$L$2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BB3-4859-9898-66A9B30C9D69}"/>
            </c:ext>
          </c:extLst>
        </c:ser>
        <c:ser>
          <c:idx val="8"/>
          <c:order val="8"/>
          <c:tx>
            <c:strRef>
              <c:f>Deraniyagala!$M$2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Deraniyagala!$M$3:$M$4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Deraniyagala!$I$3:$I$4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BB3-4859-9898-66A9B30C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Norwood</a:t>
            </a:r>
          </a:p>
        </c:rich>
      </c:tx>
      <c:layout>
        <c:manualLayout>
          <c:xMode val="edge"/>
          <c:yMode val="edge"/>
          <c:x val="0.46503099725656466"/>
          <c:y val="2.0222446916076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80501419225"/>
          <c:y val="0.10354283331912031"/>
          <c:w val="0.81020534197931127"/>
          <c:h val="0.563050557308495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Norwood!$D$4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Norwood!$D$5:$D$268</c:f>
              <c:numCache>
                <c:formatCode>0.00</c:formatCode>
                <c:ptCount val="264"/>
                <c:pt idx="0">
                  <c:v>1.5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1.2</c:v>
                </c:pt>
                <c:pt idx="69">
                  <c:v>0.5</c:v>
                </c:pt>
                <c:pt idx="70">
                  <c:v>0.4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27.7</c:v>
                </c:pt>
                <c:pt idx="76">
                  <c:v>11.5</c:v>
                </c:pt>
                <c:pt idx="77">
                  <c:v>1.3</c:v>
                </c:pt>
                <c:pt idx="78">
                  <c:v>1.8</c:v>
                </c:pt>
                <c:pt idx="79">
                  <c:v>1.4</c:v>
                </c:pt>
                <c:pt idx="80">
                  <c:v>3.2</c:v>
                </c:pt>
                <c:pt idx="81">
                  <c:v>0.7</c:v>
                </c:pt>
                <c:pt idx="82">
                  <c:v>0</c:v>
                </c:pt>
                <c:pt idx="83">
                  <c:v>0</c:v>
                </c:pt>
                <c:pt idx="84">
                  <c:v>1.1000000000000001</c:v>
                </c:pt>
                <c:pt idx="85">
                  <c:v>0.5</c:v>
                </c:pt>
                <c:pt idx="86">
                  <c:v>1.2</c:v>
                </c:pt>
                <c:pt idx="87">
                  <c:v>3.3</c:v>
                </c:pt>
                <c:pt idx="88">
                  <c:v>1.8</c:v>
                </c:pt>
                <c:pt idx="89">
                  <c:v>0.8</c:v>
                </c:pt>
                <c:pt idx="90">
                  <c:v>0.3</c:v>
                </c:pt>
                <c:pt idx="91">
                  <c:v>0</c:v>
                </c:pt>
                <c:pt idx="92">
                  <c:v>0.5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1.4</c:v>
                </c:pt>
                <c:pt idx="108">
                  <c:v>0</c:v>
                </c:pt>
                <c:pt idx="109">
                  <c:v>1.8</c:v>
                </c:pt>
                <c:pt idx="110">
                  <c:v>2.2000000000000002</c:v>
                </c:pt>
                <c:pt idx="111">
                  <c:v>2.6</c:v>
                </c:pt>
                <c:pt idx="112">
                  <c:v>0</c:v>
                </c:pt>
                <c:pt idx="113">
                  <c:v>7.5</c:v>
                </c:pt>
                <c:pt idx="114">
                  <c:v>8.6999999999999993</c:v>
                </c:pt>
                <c:pt idx="115">
                  <c:v>5.3</c:v>
                </c:pt>
                <c:pt idx="116">
                  <c:v>1.3</c:v>
                </c:pt>
                <c:pt idx="117">
                  <c:v>7.6</c:v>
                </c:pt>
                <c:pt idx="118">
                  <c:v>6.1</c:v>
                </c:pt>
                <c:pt idx="119">
                  <c:v>11.9</c:v>
                </c:pt>
                <c:pt idx="120">
                  <c:v>9.1</c:v>
                </c:pt>
                <c:pt idx="121">
                  <c:v>7.2</c:v>
                </c:pt>
                <c:pt idx="122">
                  <c:v>9.5</c:v>
                </c:pt>
                <c:pt idx="123">
                  <c:v>5.9</c:v>
                </c:pt>
                <c:pt idx="124">
                  <c:v>8.6999999999999993</c:v>
                </c:pt>
                <c:pt idx="125">
                  <c:v>3.4</c:v>
                </c:pt>
                <c:pt idx="126">
                  <c:v>1.2</c:v>
                </c:pt>
                <c:pt idx="127">
                  <c:v>4.5999999999999996</c:v>
                </c:pt>
                <c:pt idx="128">
                  <c:v>21.4</c:v>
                </c:pt>
                <c:pt idx="129">
                  <c:v>34.799999999999997</c:v>
                </c:pt>
                <c:pt idx="130">
                  <c:v>4.8</c:v>
                </c:pt>
                <c:pt idx="131">
                  <c:v>28.6</c:v>
                </c:pt>
                <c:pt idx="132">
                  <c:v>22.8</c:v>
                </c:pt>
                <c:pt idx="133">
                  <c:v>10.199999999999999</c:v>
                </c:pt>
                <c:pt idx="134">
                  <c:v>8.1999999999999993</c:v>
                </c:pt>
                <c:pt idx="135">
                  <c:v>2.4</c:v>
                </c:pt>
                <c:pt idx="136">
                  <c:v>0.5</c:v>
                </c:pt>
                <c:pt idx="137">
                  <c:v>0</c:v>
                </c:pt>
                <c:pt idx="138">
                  <c:v>4.8</c:v>
                </c:pt>
                <c:pt idx="139">
                  <c:v>0</c:v>
                </c:pt>
                <c:pt idx="140">
                  <c:v>0.3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1.8</c:v>
                </c:pt>
                <c:pt idx="146">
                  <c:v>1.2</c:v>
                </c:pt>
                <c:pt idx="147">
                  <c:v>0</c:v>
                </c:pt>
                <c:pt idx="148">
                  <c:v>3.8</c:v>
                </c:pt>
                <c:pt idx="149">
                  <c:v>2.4</c:v>
                </c:pt>
                <c:pt idx="150">
                  <c:v>0.8</c:v>
                </c:pt>
                <c:pt idx="151">
                  <c:v>9.1999999999999993</c:v>
                </c:pt>
                <c:pt idx="152">
                  <c:v>7.9</c:v>
                </c:pt>
                <c:pt idx="153">
                  <c:v>1.4</c:v>
                </c:pt>
                <c:pt idx="154">
                  <c:v>1.1000000000000001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4317-88BB-0DCEC4F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997280767"/>
        <c:axId val="1997281727"/>
      </c:barChart>
      <c:scatterChart>
        <c:scatterStyle val="smoothMarker"/>
        <c:varyColors val="0"/>
        <c:ser>
          <c:idx val="0"/>
          <c:order val="0"/>
          <c:tx>
            <c:strRef>
              <c:f>Norwood!$B$4</c:f>
              <c:strCache>
                <c:ptCount val="1"/>
                <c:pt idx="0">
                  <c:v>WL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Norwood!$A$5:$A$268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Norwood!$B$5:$B$268</c:f>
              <c:numCache>
                <c:formatCode>0.00</c:formatCode>
                <c:ptCount val="264"/>
                <c:pt idx="0">
                  <c:v>0.42</c:v>
                </c:pt>
                <c:pt idx="1">
                  <c:v>0.42</c:v>
                </c:pt>
                <c:pt idx="2">
                  <c:v>0.41</c:v>
                </c:pt>
                <c:pt idx="3">
                  <c:v>0.42</c:v>
                </c:pt>
                <c:pt idx="4">
                  <c:v>0.44</c:v>
                </c:pt>
                <c:pt idx="5">
                  <c:v>0.45</c:v>
                </c:pt>
                <c:pt idx="6">
                  <c:v>0.45</c:v>
                </c:pt>
                <c:pt idx="7">
                  <c:v>0.46</c:v>
                </c:pt>
                <c:pt idx="8">
                  <c:v>0.46</c:v>
                </c:pt>
                <c:pt idx="9">
                  <c:v>0.47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0.47</c:v>
                </c:pt>
                <c:pt idx="14">
                  <c:v>0.47</c:v>
                </c:pt>
                <c:pt idx="15">
                  <c:v>0.46</c:v>
                </c:pt>
                <c:pt idx="16">
                  <c:v>0.46</c:v>
                </c:pt>
                <c:pt idx="17">
                  <c:v>0.46</c:v>
                </c:pt>
                <c:pt idx="18">
                  <c:v>0.46</c:v>
                </c:pt>
                <c:pt idx="19">
                  <c:v>0.44</c:v>
                </c:pt>
                <c:pt idx="20">
                  <c:v>0.44</c:v>
                </c:pt>
                <c:pt idx="21">
                  <c:v>0.44</c:v>
                </c:pt>
                <c:pt idx="22">
                  <c:v>0.44</c:v>
                </c:pt>
                <c:pt idx="23">
                  <c:v>0.44</c:v>
                </c:pt>
                <c:pt idx="24">
                  <c:v>0.44</c:v>
                </c:pt>
                <c:pt idx="25">
                  <c:v>0.43</c:v>
                </c:pt>
                <c:pt idx="26">
                  <c:v>0.43</c:v>
                </c:pt>
                <c:pt idx="27">
                  <c:v>0.43</c:v>
                </c:pt>
                <c:pt idx="28">
                  <c:v>0.43</c:v>
                </c:pt>
                <c:pt idx="29">
                  <c:v>0.43</c:v>
                </c:pt>
                <c:pt idx="30">
                  <c:v>0.43</c:v>
                </c:pt>
                <c:pt idx="31">
                  <c:v>0.43</c:v>
                </c:pt>
                <c:pt idx="32">
                  <c:v>0.43</c:v>
                </c:pt>
                <c:pt idx="33">
                  <c:v>0.43</c:v>
                </c:pt>
                <c:pt idx="34">
                  <c:v>0.43</c:v>
                </c:pt>
                <c:pt idx="35">
                  <c:v>0.43</c:v>
                </c:pt>
                <c:pt idx="36">
                  <c:v>0.43</c:v>
                </c:pt>
                <c:pt idx="37">
                  <c:v>0.43</c:v>
                </c:pt>
                <c:pt idx="38">
                  <c:v>0.43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0.42</c:v>
                </c:pt>
                <c:pt idx="43">
                  <c:v>0.42</c:v>
                </c:pt>
                <c:pt idx="44">
                  <c:v>0.42</c:v>
                </c:pt>
                <c:pt idx="45">
                  <c:v>0.42</c:v>
                </c:pt>
                <c:pt idx="46">
                  <c:v>0.42</c:v>
                </c:pt>
                <c:pt idx="47">
                  <c:v>0.41</c:v>
                </c:pt>
                <c:pt idx="48">
                  <c:v>0.41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0.43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0.43</c:v>
                </c:pt>
                <c:pt idx="60">
                  <c:v>0.43</c:v>
                </c:pt>
                <c:pt idx="61">
                  <c:v>0.43</c:v>
                </c:pt>
                <c:pt idx="62">
                  <c:v>0.43</c:v>
                </c:pt>
                <c:pt idx="63">
                  <c:v>0.42</c:v>
                </c:pt>
                <c:pt idx="64">
                  <c:v>0.42</c:v>
                </c:pt>
                <c:pt idx="65">
                  <c:v>0.42</c:v>
                </c:pt>
                <c:pt idx="66">
                  <c:v>0.42</c:v>
                </c:pt>
                <c:pt idx="67">
                  <c:v>0.42</c:v>
                </c:pt>
                <c:pt idx="68">
                  <c:v>0.42</c:v>
                </c:pt>
                <c:pt idx="69">
                  <c:v>0.42</c:v>
                </c:pt>
                <c:pt idx="70">
                  <c:v>0.43</c:v>
                </c:pt>
                <c:pt idx="71">
                  <c:v>0.43</c:v>
                </c:pt>
                <c:pt idx="72">
                  <c:v>0.43</c:v>
                </c:pt>
                <c:pt idx="73">
                  <c:v>0.44</c:v>
                </c:pt>
                <c:pt idx="74">
                  <c:v>0.44</c:v>
                </c:pt>
                <c:pt idx="75">
                  <c:v>0.66</c:v>
                </c:pt>
                <c:pt idx="76">
                  <c:v>1.02</c:v>
                </c:pt>
                <c:pt idx="77">
                  <c:v>0.98</c:v>
                </c:pt>
                <c:pt idx="78">
                  <c:v>0.95</c:v>
                </c:pt>
                <c:pt idx="79">
                  <c:v>0.93</c:v>
                </c:pt>
                <c:pt idx="80">
                  <c:v>0.85</c:v>
                </c:pt>
                <c:pt idx="81">
                  <c:v>0.81</c:v>
                </c:pt>
                <c:pt idx="82">
                  <c:v>0.81</c:v>
                </c:pt>
                <c:pt idx="83">
                  <c:v>0.76</c:v>
                </c:pt>
                <c:pt idx="84">
                  <c:v>0.75</c:v>
                </c:pt>
                <c:pt idx="85">
                  <c:v>0.74</c:v>
                </c:pt>
                <c:pt idx="86">
                  <c:v>0.72</c:v>
                </c:pt>
                <c:pt idx="87">
                  <c:v>0.68</c:v>
                </c:pt>
                <c:pt idx="88">
                  <c:v>0.67</c:v>
                </c:pt>
                <c:pt idx="89">
                  <c:v>0.67</c:v>
                </c:pt>
                <c:pt idx="90">
                  <c:v>0.66</c:v>
                </c:pt>
                <c:pt idx="91">
                  <c:v>0.66</c:v>
                </c:pt>
                <c:pt idx="92">
                  <c:v>0.66</c:v>
                </c:pt>
                <c:pt idx="93">
                  <c:v>0.65</c:v>
                </c:pt>
                <c:pt idx="94">
                  <c:v>0.65</c:v>
                </c:pt>
                <c:pt idx="95">
                  <c:v>0.64</c:v>
                </c:pt>
                <c:pt idx="96">
                  <c:v>0.64</c:v>
                </c:pt>
                <c:pt idx="97">
                  <c:v>0.64</c:v>
                </c:pt>
                <c:pt idx="98">
                  <c:v>0.64</c:v>
                </c:pt>
                <c:pt idx="99">
                  <c:v>0.64</c:v>
                </c:pt>
                <c:pt idx="100">
                  <c:v>0.63</c:v>
                </c:pt>
                <c:pt idx="101">
                  <c:v>0.63</c:v>
                </c:pt>
                <c:pt idx="102">
                  <c:v>0.62</c:v>
                </c:pt>
                <c:pt idx="103">
                  <c:v>0.62</c:v>
                </c:pt>
                <c:pt idx="104">
                  <c:v>0.65</c:v>
                </c:pt>
                <c:pt idx="105">
                  <c:v>0.67</c:v>
                </c:pt>
                <c:pt idx="106">
                  <c:v>0.69</c:v>
                </c:pt>
                <c:pt idx="107">
                  <c:v>0.69</c:v>
                </c:pt>
                <c:pt idx="108">
                  <c:v>0.7</c:v>
                </c:pt>
                <c:pt idx="109">
                  <c:v>0.71</c:v>
                </c:pt>
                <c:pt idx="110">
                  <c:v>0.7</c:v>
                </c:pt>
                <c:pt idx="111">
                  <c:v>0.7</c:v>
                </c:pt>
                <c:pt idx="112">
                  <c:v>0.73</c:v>
                </c:pt>
                <c:pt idx="113">
                  <c:v>0.83</c:v>
                </c:pt>
                <c:pt idx="114">
                  <c:v>0.94</c:v>
                </c:pt>
                <c:pt idx="115">
                  <c:v>1.01</c:v>
                </c:pt>
                <c:pt idx="116">
                  <c:v>1.04</c:v>
                </c:pt>
                <c:pt idx="117">
                  <c:v>1.1100000000000001</c:v>
                </c:pt>
                <c:pt idx="118">
                  <c:v>1.1200000000000001</c:v>
                </c:pt>
                <c:pt idx="119">
                  <c:v>1.39</c:v>
                </c:pt>
                <c:pt idx="120">
                  <c:v>1.57</c:v>
                </c:pt>
                <c:pt idx="121">
                  <c:v>1.68</c:v>
                </c:pt>
                <c:pt idx="122">
                  <c:v>2.08</c:v>
                </c:pt>
                <c:pt idx="123">
                  <c:v>2.21</c:v>
                </c:pt>
                <c:pt idx="124">
                  <c:v>2.14</c:v>
                </c:pt>
                <c:pt idx="125">
                  <c:v>2.13</c:v>
                </c:pt>
                <c:pt idx="126">
                  <c:v>2.1</c:v>
                </c:pt>
                <c:pt idx="127">
                  <c:v>2.02</c:v>
                </c:pt>
                <c:pt idx="128">
                  <c:v>2.19</c:v>
                </c:pt>
                <c:pt idx="129">
                  <c:v>3.06</c:v>
                </c:pt>
                <c:pt idx="130">
                  <c:v>3.3</c:v>
                </c:pt>
                <c:pt idx="131">
                  <c:v>3.19</c:v>
                </c:pt>
                <c:pt idx="132">
                  <c:v>3.42</c:v>
                </c:pt>
                <c:pt idx="133">
                  <c:v>3.38</c:v>
                </c:pt>
                <c:pt idx="134">
                  <c:v>3.11</c:v>
                </c:pt>
                <c:pt idx="135">
                  <c:v>2.78</c:v>
                </c:pt>
                <c:pt idx="136">
                  <c:v>2.5499999999999998</c:v>
                </c:pt>
                <c:pt idx="137">
                  <c:v>2.2799999999999998</c:v>
                </c:pt>
                <c:pt idx="138">
                  <c:v>2.23</c:v>
                </c:pt>
                <c:pt idx="139">
                  <c:v>2.09</c:v>
                </c:pt>
                <c:pt idx="140">
                  <c:v>1.82</c:v>
                </c:pt>
                <c:pt idx="141">
                  <c:v>1.71</c:v>
                </c:pt>
                <c:pt idx="142">
                  <c:v>1.68</c:v>
                </c:pt>
                <c:pt idx="143">
                  <c:v>1.56</c:v>
                </c:pt>
                <c:pt idx="144">
                  <c:v>1.5</c:v>
                </c:pt>
                <c:pt idx="145">
                  <c:v>1.45</c:v>
                </c:pt>
                <c:pt idx="146">
                  <c:v>1.45</c:v>
                </c:pt>
                <c:pt idx="147">
                  <c:v>1.43</c:v>
                </c:pt>
                <c:pt idx="148">
                  <c:v>1.38</c:v>
                </c:pt>
                <c:pt idx="149">
                  <c:v>1.33</c:v>
                </c:pt>
                <c:pt idx="150">
                  <c:v>1.31</c:v>
                </c:pt>
                <c:pt idx="151">
                  <c:v>1.27</c:v>
                </c:pt>
                <c:pt idx="152">
                  <c:v>1.32</c:v>
                </c:pt>
                <c:pt idx="153">
                  <c:v>1.42</c:v>
                </c:pt>
                <c:pt idx="154">
                  <c:v>1.38</c:v>
                </c:pt>
                <c:pt idx="155">
                  <c:v>1.36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1B-4317-88BB-0DCEC4F2E545}"/>
            </c:ext>
          </c:extLst>
        </c:ser>
        <c:ser>
          <c:idx val="2"/>
          <c:order val="2"/>
          <c:tx>
            <c:strRef>
              <c:f>Norwood!$E$4</c:f>
              <c:strCache>
                <c:ptCount val="1"/>
                <c:pt idx="0">
                  <c:v>Alert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Norwood!$A$5:$A$268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Norwood!$E$5:$E$268</c:f>
              <c:numCache>
                <c:formatCode>0.00</c:formatCode>
                <c:ptCount val="264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1.5</c:v>
                </c:pt>
                <c:pt idx="167">
                  <c:v>1.5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1.5</c:v>
                </c:pt>
                <c:pt idx="172">
                  <c:v>1.5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1.5</c:v>
                </c:pt>
                <c:pt idx="179">
                  <c:v>1.5</c:v>
                </c:pt>
                <c:pt idx="180">
                  <c:v>1.5</c:v>
                </c:pt>
                <c:pt idx="181">
                  <c:v>1.5</c:v>
                </c:pt>
                <c:pt idx="182">
                  <c:v>1.5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1.5</c:v>
                </c:pt>
                <c:pt idx="190">
                  <c:v>1.5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1.5</c:v>
                </c:pt>
                <c:pt idx="201">
                  <c:v>1.5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1.5</c:v>
                </c:pt>
                <c:pt idx="224">
                  <c:v>1.5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1.5</c:v>
                </c:pt>
                <c:pt idx="230">
                  <c:v>1.5</c:v>
                </c:pt>
                <c:pt idx="231">
                  <c:v>1.5</c:v>
                </c:pt>
                <c:pt idx="232">
                  <c:v>1.5</c:v>
                </c:pt>
                <c:pt idx="233">
                  <c:v>1.5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</c:v>
                </c:pt>
                <c:pt idx="240">
                  <c:v>1.5</c:v>
                </c:pt>
                <c:pt idx="241">
                  <c:v>1.5</c:v>
                </c:pt>
                <c:pt idx="242">
                  <c:v>1.5</c:v>
                </c:pt>
                <c:pt idx="243">
                  <c:v>1.5</c:v>
                </c:pt>
                <c:pt idx="244">
                  <c:v>1.5</c:v>
                </c:pt>
                <c:pt idx="245">
                  <c:v>1.5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1.5</c:v>
                </c:pt>
                <c:pt idx="250">
                  <c:v>1.5</c:v>
                </c:pt>
                <c:pt idx="251">
                  <c:v>1.5</c:v>
                </c:pt>
                <c:pt idx="252">
                  <c:v>1.5</c:v>
                </c:pt>
                <c:pt idx="253">
                  <c:v>1.5</c:v>
                </c:pt>
                <c:pt idx="254">
                  <c:v>1.5</c:v>
                </c:pt>
                <c:pt idx="255">
                  <c:v>1.5</c:v>
                </c:pt>
                <c:pt idx="256">
                  <c:v>1.5</c:v>
                </c:pt>
                <c:pt idx="257">
                  <c:v>1.5</c:v>
                </c:pt>
                <c:pt idx="258">
                  <c:v>1.5</c:v>
                </c:pt>
                <c:pt idx="259">
                  <c:v>1.5</c:v>
                </c:pt>
                <c:pt idx="260">
                  <c:v>1.5</c:v>
                </c:pt>
                <c:pt idx="261">
                  <c:v>1.5</c:v>
                </c:pt>
                <c:pt idx="262">
                  <c:v>1.5</c:v>
                </c:pt>
                <c:pt idx="26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1B-4317-88BB-0DCEC4F2E545}"/>
            </c:ext>
          </c:extLst>
        </c:ser>
        <c:ser>
          <c:idx val="3"/>
          <c:order val="3"/>
          <c:tx>
            <c:strRef>
              <c:f>Norwood!$F$4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Norwood!$A$5:$A$268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Norwood!$F$5:$F$268</c:f>
              <c:numCache>
                <c:formatCode>0.00</c:formatCode>
                <c:ptCount val="26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1B-4317-88BB-0DCEC4F2E545}"/>
            </c:ext>
          </c:extLst>
        </c:ser>
        <c:ser>
          <c:idx val="4"/>
          <c:order val="4"/>
          <c:tx>
            <c:strRef>
              <c:f>Norwood!$G$4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Norwood!$A$5:$A$268</c:f>
              <c:numCache>
                <c:formatCode>m/d/yyyy\ h:mm</c:formatCode>
                <c:ptCount val="264"/>
                <c:pt idx="0">
                  <c:v>46232.041666666664</c:v>
                </c:pt>
                <c:pt idx="1">
                  <c:v>46232.083333333328</c:v>
                </c:pt>
                <c:pt idx="2">
                  <c:v>46232.124999999993</c:v>
                </c:pt>
                <c:pt idx="3">
                  <c:v>46232.166666666657</c:v>
                </c:pt>
                <c:pt idx="4">
                  <c:v>46232.208333333321</c:v>
                </c:pt>
                <c:pt idx="5">
                  <c:v>46232.249999999985</c:v>
                </c:pt>
                <c:pt idx="6">
                  <c:v>46232.29166666665</c:v>
                </c:pt>
                <c:pt idx="7">
                  <c:v>46232.333333333314</c:v>
                </c:pt>
                <c:pt idx="8">
                  <c:v>46232.374999999978</c:v>
                </c:pt>
                <c:pt idx="9">
                  <c:v>46232.416666666642</c:v>
                </c:pt>
                <c:pt idx="10">
                  <c:v>46232.458333333307</c:v>
                </c:pt>
                <c:pt idx="11">
                  <c:v>46232.499999999971</c:v>
                </c:pt>
                <c:pt idx="12">
                  <c:v>46232.541666666635</c:v>
                </c:pt>
                <c:pt idx="13">
                  <c:v>46232.583333333299</c:v>
                </c:pt>
                <c:pt idx="14">
                  <c:v>46232.624999999964</c:v>
                </c:pt>
                <c:pt idx="15">
                  <c:v>46232.666666666628</c:v>
                </c:pt>
                <c:pt idx="16">
                  <c:v>46232.708333333292</c:v>
                </c:pt>
                <c:pt idx="17">
                  <c:v>46232.749999999956</c:v>
                </c:pt>
                <c:pt idx="18">
                  <c:v>46232.791666666621</c:v>
                </c:pt>
                <c:pt idx="19">
                  <c:v>46232.833333333285</c:v>
                </c:pt>
                <c:pt idx="20">
                  <c:v>46232.874999999949</c:v>
                </c:pt>
                <c:pt idx="21">
                  <c:v>46232.916666666613</c:v>
                </c:pt>
                <c:pt idx="22">
                  <c:v>46232.958333333278</c:v>
                </c:pt>
                <c:pt idx="23">
                  <c:v>46232.999999999942</c:v>
                </c:pt>
                <c:pt idx="24">
                  <c:v>46233.041666666606</c:v>
                </c:pt>
                <c:pt idx="25">
                  <c:v>46233.08333333327</c:v>
                </c:pt>
                <c:pt idx="26">
                  <c:v>46233.124999999935</c:v>
                </c:pt>
                <c:pt idx="27">
                  <c:v>46233.166666666599</c:v>
                </c:pt>
                <c:pt idx="28">
                  <c:v>46233.208333333263</c:v>
                </c:pt>
                <c:pt idx="29">
                  <c:v>46233.249999999927</c:v>
                </c:pt>
                <c:pt idx="30">
                  <c:v>46233.291666666591</c:v>
                </c:pt>
                <c:pt idx="31">
                  <c:v>46233.333333333256</c:v>
                </c:pt>
                <c:pt idx="32">
                  <c:v>46233.37499999992</c:v>
                </c:pt>
                <c:pt idx="33">
                  <c:v>46233.416666666584</c:v>
                </c:pt>
                <c:pt idx="34">
                  <c:v>46233.458333333248</c:v>
                </c:pt>
                <c:pt idx="35">
                  <c:v>46233.499999999913</c:v>
                </c:pt>
                <c:pt idx="36">
                  <c:v>46233.541666666577</c:v>
                </c:pt>
                <c:pt idx="37">
                  <c:v>46233.583333333241</c:v>
                </c:pt>
                <c:pt idx="38">
                  <c:v>46233.624999999905</c:v>
                </c:pt>
                <c:pt idx="39">
                  <c:v>46233.66666666657</c:v>
                </c:pt>
                <c:pt idx="40">
                  <c:v>46233.708333333234</c:v>
                </c:pt>
                <c:pt idx="41">
                  <c:v>46233.749999999898</c:v>
                </c:pt>
                <c:pt idx="42">
                  <c:v>46233.791666666562</c:v>
                </c:pt>
                <c:pt idx="43">
                  <c:v>46233.833333333227</c:v>
                </c:pt>
                <c:pt idx="44">
                  <c:v>46233.874999999891</c:v>
                </c:pt>
                <c:pt idx="45">
                  <c:v>46233.916666666555</c:v>
                </c:pt>
                <c:pt idx="46">
                  <c:v>46233.958333333219</c:v>
                </c:pt>
                <c:pt idx="47">
                  <c:v>46233.999999999884</c:v>
                </c:pt>
                <c:pt idx="48">
                  <c:v>46234.041666666548</c:v>
                </c:pt>
                <c:pt idx="49">
                  <c:v>46234.083333333212</c:v>
                </c:pt>
                <c:pt idx="50">
                  <c:v>46234.124999999876</c:v>
                </c:pt>
                <c:pt idx="51">
                  <c:v>46234.166666666541</c:v>
                </c:pt>
                <c:pt idx="52">
                  <c:v>46234.208333333205</c:v>
                </c:pt>
                <c:pt idx="53">
                  <c:v>46234.249999999869</c:v>
                </c:pt>
                <c:pt idx="54">
                  <c:v>46234.291666666533</c:v>
                </c:pt>
                <c:pt idx="55">
                  <c:v>46234.333333333198</c:v>
                </c:pt>
                <c:pt idx="56">
                  <c:v>46234.374999999862</c:v>
                </c:pt>
                <c:pt idx="57">
                  <c:v>46234.416666666526</c:v>
                </c:pt>
                <c:pt idx="58">
                  <c:v>46234.45833333319</c:v>
                </c:pt>
                <c:pt idx="59">
                  <c:v>46234.499999999854</c:v>
                </c:pt>
                <c:pt idx="60">
                  <c:v>46234.541666666519</c:v>
                </c:pt>
                <c:pt idx="61">
                  <c:v>46234.583333333183</c:v>
                </c:pt>
                <c:pt idx="62">
                  <c:v>46234.624999999847</c:v>
                </c:pt>
                <c:pt idx="63">
                  <c:v>46234.666666666511</c:v>
                </c:pt>
                <c:pt idx="64">
                  <c:v>46234.708333333176</c:v>
                </c:pt>
                <c:pt idx="65">
                  <c:v>46234.74999999984</c:v>
                </c:pt>
                <c:pt idx="66">
                  <c:v>46234.791666666504</c:v>
                </c:pt>
                <c:pt idx="67">
                  <c:v>46234.833333333168</c:v>
                </c:pt>
                <c:pt idx="68">
                  <c:v>46234.874999999833</c:v>
                </c:pt>
                <c:pt idx="69">
                  <c:v>46234.916666666497</c:v>
                </c:pt>
                <c:pt idx="70">
                  <c:v>46234.958333333161</c:v>
                </c:pt>
                <c:pt idx="71">
                  <c:v>46234.999999999825</c:v>
                </c:pt>
                <c:pt idx="72">
                  <c:v>46235.04166666649</c:v>
                </c:pt>
                <c:pt idx="73">
                  <c:v>46235.083333333154</c:v>
                </c:pt>
                <c:pt idx="74">
                  <c:v>46235.124999999818</c:v>
                </c:pt>
                <c:pt idx="75">
                  <c:v>46235.166666666482</c:v>
                </c:pt>
                <c:pt idx="76">
                  <c:v>46235.208333333147</c:v>
                </c:pt>
                <c:pt idx="77">
                  <c:v>46235.249999999811</c:v>
                </c:pt>
                <c:pt idx="78">
                  <c:v>46235.291666666475</c:v>
                </c:pt>
                <c:pt idx="79">
                  <c:v>46235.333333333139</c:v>
                </c:pt>
                <c:pt idx="80">
                  <c:v>46235.374999999804</c:v>
                </c:pt>
                <c:pt idx="81">
                  <c:v>46235.416666666468</c:v>
                </c:pt>
                <c:pt idx="82">
                  <c:v>46235.458333333132</c:v>
                </c:pt>
                <c:pt idx="83">
                  <c:v>46235.499999999796</c:v>
                </c:pt>
                <c:pt idx="84">
                  <c:v>46235.541666666461</c:v>
                </c:pt>
                <c:pt idx="85">
                  <c:v>46235.583333333125</c:v>
                </c:pt>
                <c:pt idx="86">
                  <c:v>46235.624999999789</c:v>
                </c:pt>
                <c:pt idx="87">
                  <c:v>46235.666666666453</c:v>
                </c:pt>
                <c:pt idx="88">
                  <c:v>46235.708333333117</c:v>
                </c:pt>
                <c:pt idx="89">
                  <c:v>46235.749999999782</c:v>
                </c:pt>
                <c:pt idx="90">
                  <c:v>46235.791666666446</c:v>
                </c:pt>
                <c:pt idx="91">
                  <c:v>46235.83333333311</c:v>
                </c:pt>
                <c:pt idx="92">
                  <c:v>46235.874999999774</c:v>
                </c:pt>
                <c:pt idx="93">
                  <c:v>46235.916666666439</c:v>
                </c:pt>
                <c:pt idx="94">
                  <c:v>46235.958333333103</c:v>
                </c:pt>
                <c:pt idx="95">
                  <c:v>46235.999999999767</c:v>
                </c:pt>
                <c:pt idx="96">
                  <c:v>46236.041666666431</c:v>
                </c:pt>
                <c:pt idx="97">
                  <c:v>46236.083333333096</c:v>
                </c:pt>
                <c:pt idx="98">
                  <c:v>46236.12499999976</c:v>
                </c:pt>
                <c:pt idx="99">
                  <c:v>46236.166666666424</c:v>
                </c:pt>
                <c:pt idx="100">
                  <c:v>46236.208333333088</c:v>
                </c:pt>
                <c:pt idx="101">
                  <c:v>46236.249999999753</c:v>
                </c:pt>
                <c:pt idx="102">
                  <c:v>46236.291666666417</c:v>
                </c:pt>
                <c:pt idx="103">
                  <c:v>46236.333333333081</c:v>
                </c:pt>
                <c:pt idx="104">
                  <c:v>46236.374999999745</c:v>
                </c:pt>
                <c:pt idx="105">
                  <c:v>46236.41666666641</c:v>
                </c:pt>
                <c:pt idx="106">
                  <c:v>46236.458333333074</c:v>
                </c:pt>
                <c:pt idx="107">
                  <c:v>46236.499999999738</c:v>
                </c:pt>
                <c:pt idx="108">
                  <c:v>46236.541666666402</c:v>
                </c:pt>
                <c:pt idx="109">
                  <c:v>46236.583333333067</c:v>
                </c:pt>
                <c:pt idx="110">
                  <c:v>46236.624999999731</c:v>
                </c:pt>
                <c:pt idx="111">
                  <c:v>46236.666666666395</c:v>
                </c:pt>
                <c:pt idx="112">
                  <c:v>46236.708333333059</c:v>
                </c:pt>
                <c:pt idx="113">
                  <c:v>46236.749999999724</c:v>
                </c:pt>
                <c:pt idx="114">
                  <c:v>46236.791666666388</c:v>
                </c:pt>
                <c:pt idx="115">
                  <c:v>46236.833333333052</c:v>
                </c:pt>
                <c:pt idx="116">
                  <c:v>46236.874999999716</c:v>
                </c:pt>
                <c:pt idx="117">
                  <c:v>46236.91666666638</c:v>
                </c:pt>
                <c:pt idx="118">
                  <c:v>46236.958333333045</c:v>
                </c:pt>
                <c:pt idx="119">
                  <c:v>46236.999999999709</c:v>
                </c:pt>
                <c:pt idx="120">
                  <c:v>46237.041666666373</c:v>
                </c:pt>
                <c:pt idx="121">
                  <c:v>46237.083333333037</c:v>
                </c:pt>
                <c:pt idx="122">
                  <c:v>46237.124999999702</c:v>
                </c:pt>
                <c:pt idx="123">
                  <c:v>46237.166666666366</c:v>
                </c:pt>
                <c:pt idx="124">
                  <c:v>46237.20833333303</c:v>
                </c:pt>
                <c:pt idx="125">
                  <c:v>46237.249999999694</c:v>
                </c:pt>
                <c:pt idx="126">
                  <c:v>46237.291666666359</c:v>
                </c:pt>
                <c:pt idx="127">
                  <c:v>46237.333333333023</c:v>
                </c:pt>
                <c:pt idx="128">
                  <c:v>46237.374999999687</c:v>
                </c:pt>
                <c:pt idx="129">
                  <c:v>46237.416666666351</c:v>
                </c:pt>
                <c:pt idx="130">
                  <c:v>46237.458333333016</c:v>
                </c:pt>
                <c:pt idx="131">
                  <c:v>46237.49999999968</c:v>
                </c:pt>
                <c:pt idx="132">
                  <c:v>46237.541666666344</c:v>
                </c:pt>
                <c:pt idx="133">
                  <c:v>46237.583333333008</c:v>
                </c:pt>
                <c:pt idx="134">
                  <c:v>46237.624999999673</c:v>
                </c:pt>
                <c:pt idx="135">
                  <c:v>46237.666666666337</c:v>
                </c:pt>
                <c:pt idx="136">
                  <c:v>46237.708333333001</c:v>
                </c:pt>
                <c:pt idx="137">
                  <c:v>46237.749999999665</c:v>
                </c:pt>
                <c:pt idx="138">
                  <c:v>46237.79166666633</c:v>
                </c:pt>
                <c:pt idx="139">
                  <c:v>46237.833333332994</c:v>
                </c:pt>
                <c:pt idx="140">
                  <c:v>46237.874999999658</c:v>
                </c:pt>
                <c:pt idx="141">
                  <c:v>46237.916666666322</c:v>
                </c:pt>
                <c:pt idx="142">
                  <c:v>46237.958333332987</c:v>
                </c:pt>
                <c:pt idx="143">
                  <c:v>46237.999999999651</c:v>
                </c:pt>
                <c:pt idx="144">
                  <c:v>46238.041666666315</c:v>
                </c:pt>
                <c:pt idx="145">
                  <c:v>46238.083333332979</c:v>
                </c:pt>
                <c:pt idx="146">
                  <c:v>46238.124999999643</c:v>
                </c:pt>
                <c:pt idx="147">
                  <c:v>46238.166666666308</c:v>
                </c:pt>
                <c:pt idx="148">
                  <c:v>46238.208333332972</c:v>
                </c:pt>
                <c:pt idx="149">
                  <c:v>46238.249999999636</c:v>
                </c:pt>
                <c:pt idx="150">
                  <c:v>46238.2916666663</c:v>
                </c:pt>
                <c:pt idx="151">
                  <c:v>46238.333333332965</c:v>
                </c:pt>
                <c:pt idx="152">
                  <c:v>46238.374999999629</c:v>
                </c:pt>
                <c:pt idx="153">
                  <c:v>46238.416666666293</c:v>
                </c:pt>
                <c:pt idx="154">
                  <c:v>46238.458333332957</c:v>
                </c:pt>
                <c:pt idx="155">
                  <c:v>46238.499999999622</c:v>
                </c:pt>
                <c:pt idx="156">
                  <c:v>46238.541666666286</c:v>
                </c:pt>
                <c:pt idx="157">
                  <c:v>46238.58333333295</c:v>
                </c:pt>
                <c:pt idx="158">
                  <c:v>46238.624999999614</c:v>
                </c:pt>
                <c:pt idx="159">
                  <c:v>46238.666666666279</c:v>
                </c:pt>
                <c:pt idx="160">
                  <c:v>46238.708333332943</c:v>
                </c:pt>
                <c:pt idx="161">
                  <c:v>46238.749999999607</c:v>
                </c:pt>
                <c:pt idx="162">
                  <c:v>46238.791666666271</c:v>
                </c:pt>
                <c:pt idx="163">
                  <c:v>46238.833333332936</c:v>
                </c:pt>
                <c:pt idx="164">
                  <c:v>46238.8749999996</c:v>
                </c:pt>
                <c:pt idx="165">
                  <c:v>46238.916666666264</c:v>
                </c:pt>
                <c:pt idx="166">
                  <c:v>46238.958333332928</c:v>
                </c:pt>
                <c:pt idx="167">
                  <c:v>46238.999999999593</c:v>
                </c:pt>
                <c:pt idx="168">
                  <c:v>46239.041666666257</c:v>
                </c:pt>
                <c:pt idx="169">
                  <c:v>46239.083333332921</c:v>
                </c:pt>
                <c:pt idx="170">
                  <c:v>46239.124999999585</c:v>
                </c:pt>
                <c:pt idx="171">
                  <c:v>46239.16666666625</c:v>
                </c:pt>
                <c:pt idx="172">
                  <c:v>46239.208333332914</c:v>
                </c:pt>
                <c:pt idx="173">
                  <c:v>46239.249999999578</c:v>
                </c:pt>
                <c:pt idx="174">
                  <c:v>46239.291666666242</c:v>
                </c:pt>
                <c:pt idx="175">
                  <c:v>46239.333333332906</c:v>
                </c:pt>
                <c:pt idx="176">
                  <c:v>46239.374999999571</c:v>
                </c:pt>
                <c:pt idx="177">
                  <c:v>46239.416666666235</c:v>
                </c:pt>
                <c:pt idx="178">
                  <c:v>46239.458333332899</c:v>
                </c:pt>
                <c:pt idx="179">
                  <c:v>46239.499999999563</c:v>
                </c:pt>
                <c:pt idx="180">
                  <c:v>46239.541666666228</c:v>
                </c:pt>
                <c:pt idx="181">
                  <c:v>46239.583333332892</c:v>
                </c:pt>
                <c:pt idx="182">
                  <c:v>46239.624999999556</c:v>
                </c:pt>
                <c:pt idx="183">
                  <c:v>46239.66666666622</c:v>
                </c:pt>
                <c:pt idx="184">
                  <c:v>46239.708333332885</c:v>
                </c:pt>
                <c:pt idx="185">
                  <c:v>46239.749999999549</c:v>
                </c:pt>
                <c:pt idx="186">
                  <c:v>46239.791666666213</c:v>
                </c:pt>
                <c:pt idx="187">
                  <c:v>46239.833333332877</c:v>
                </c:pt>
                <c:pt idx="188">
                  <c:v>46239.874999999542</c:v>
                </c:pt>
                <c:pt idx="189">
                  <c:v>46239.916666666206</c:v>
                </c:pt>
                <c:pt idx="190">
                  <c:v>46239.95833333287</c:v>
                </c:pt>
                <c:pt idx="191">
                  <c:v>46239.999999999534</c:v>
                </c:pt>
                <c:pt idx="192">
                  <c:v>46240.041666666199</c:v>
                </c:pt>
                <c:pt idx="193">
                  <c:v>46240.083333332863</c:v>
                </c:pt>
                <c:pt idx="194">
                  <c:v>46240.124999999527</c:v>
                </c:pt>
                <c:pt idx="195">
                  <c:v>46240.166666666191</c:v>
                </c:pt>
                <c:pt idx="196">
                  <c:v>46240.208333332856</c:v>
                </c:pt>
                <c:pt idx="197">
                  <c:v>46240.24999999952</c:v>
                </c:pt>
                <c:pt idx="198">
                  <c:v>46240.291666666184</c:v>
                </c:pt>
                <c:pt idx="199">
                  <c:v>46240.333333332848</c:v>
                </c:pt>
                <c:pt idx="200">
                  <c:v>46240.374999999513</c:v>
                </c:pt>
                <c:pt idx="201">
                  <c:v>46240.416666666177</c:v>
                </c:pt>
                <c:pt idx="202">
                  <c:v>46240.458333332841</c:v>
                </c:pt>
                <c:pt idx="203">
                  <c:v>46240.499999999505</c:v>
                </c:pt>
                <c:pt idx="204">
                  <c:v>46240.541666666169</c:v>
                </c:pt>
                <c:pt idx="205">
                  <c:v>46240.583333332834</c:v>
                </c:pt>
                <c:pt idx="206">
                  <c:v>46240.624999999498</c:v>
                </c:pt>
                <c:pt idx="207">
                  <c:v>46240.666666666162</c:v>
                </c:pt>
                <c:pt idx="208">
                  <c:v>46240.708333332826</c:v>
                </c:pt>
                <c:pt idx="209">
                  <c:v>46240.749999999491</c:v>
                </c:pt>
                <c:pt idx="210">
                  <c:v>46240.791666666155</c:v>
                </c:pt>
                <c:pt idx="211">
                  <c:v>46240.833333332819</c:v>
                </c:pt>
                <c:pt idx="212">
                  <c:v>46240.874999999483</c:v>
                </c:pt>
                <c:pt idx="213">
                  <c:v>46240.916666666148</c:v>
                </c:pt>
                <c:pt idx="214">
                  <c:v>46240.958333332812</c:v>
                </c:pt>
                <c:pt idx="215">
                  <c:v>46240.999999999476</c:v>
                </c:pt>
                <c:pt idx="216">
                  <c:v>46241.04166666614</c:v>
                </c:pt>
                <c:pt idx="217">
                  <c:v>46241.083333332805</c:v>
                </c:pt>
                <c:pt idx="218">
                  <c:v>46241.124999999469</c:v>
                </c:pt>
                <c:pt idx="219">
                  <c:v>46241.166666666133</c:v>
                </c:pt>
                <c:pt idx="220">
                  <c:v>46241.208333332797</c:v>
                </c:pt>
                <c:pt idx="221">
                  <c:v>46241.249999999462</c:v>
                </c:pt>
                <c:pt idx="222">
                  <c:v>46241.291666666126</c:v>
                </c:pt>
                <c:pt idx="223">
                  <c:v>46241.33333333279</c:v>
                </c:pt>
                <c:pt idx="224">
                  <c:v>46241.374999999454</c:v>
                </c:pt>
                <c:pt idx="225">
                  <c:v>46241.416666666119</c:v>
                </c:pt>
                <c:pt idx="226">
                  <c:v>46241.458333332783</c:v>
                </c:pt>
                <c:pt idx="227">
                  <c:v>46241.499999999447</c:v>
                </c:pt>
                <c:pt idx="228">
                  <c:v>46241.541666666111</c:v>
                </c:pt>
                <c:pt idx="229">
                  <c:v>46241.583333332776</c:v>
                </c:pt>
                <c:pt idx="230">
                  <c:v>46241.62499999944</c:v>
                </c:pt>
                <c:pt idx="231">
                  <c:v>46241.666666666104</c:v>
                </c:pt>
                <c:pt idx="232">
                  <c:v>46241.708333332768</c:v>
                </c:pt>
                <c:pt idx="233">
                  <c:v>46241.749999999432</c:v>
                </c:pt>
                <c:pt idx="234">
                  <c:v>46241.791666666097</c:v>
                </c:pt>
                <c:pt idx="235">
                  <c:v>46241.833333332761</c:v>
                </c:pt>
                <c:pt idx="236">
                  <c:v>46241.874999999425</c:v>
                </c:pt>
                <c:pt idx="237">
                  <c:v>46241.916666666089</c:v>
                </c:pt>
                <c:pt idx="238">
                  <c:v>46241.958333332754</c:v>
                </c:pt>
                <c:pt idx="239">
                  <c:v>46241.999999999418</c:v>
                </c:pt>
                <c:pt idx="240">
                  <c:v>46242.041666666082</c:v>
                </c:pt>
                <c:pt idx="241">
                  <c:v>46242.083333332746</c:v>
                </c:pt>
                <c:pt idx="242">
                  <c:v>46242.124999999411</c:v>
                </c:pt>
                <c:pt idx="243">
                  <c:v>46242.166666666075</c:v>
                </c:pt>
                <c:pt idx="244">
                  <c:v>46242.208333332739</c:v>
                </c:pt>
                <c:pt idx="245">
                  <c:v>46242.249999999403</c:v>
                </c:pt>
                <c:pt idx="246">
                  <c:v>46242.291666666068</c:v>
                </c:pt>
                <c:pt idx="247">
                  <c:v>46242.333333332732</c:v>
                </c:pt>
                <c:pt idx="248">
                  <c:v>46242.374999999396</c:v>
                </c:pt>
                <c:pt idx="249">
                  <c:v>46242.41666666606</c:v>
                </c:pt>
                <c:pt idx="250">
                  <c:v>46242.458333332725</c:v>
                </c:pt>
                <c:pt idx="251">
                  <c:v>46242.499999999389</c:v>
                </c:pt>
                <c:pt idx="252">
                  <c:v>46242.541666666053</c:v>
                </c:pt>
                <c:pt idx="253">
                  <c:v>46242.583333332717</c:v>
                </c:pt>
                <c:pt idx="254">
                  <c:v>46242.624999999382</c:v>
                </c:pt>
                <c:pt idx="255">
                  <c:v>46242.666666666046</c:v>
                </c:pt>
                <c:pt idx="256">
                  <c:v>46242.70833333271</c:v>
                </c:pt>
                <c:pt idx="257">
                  <c:v>46242.749999999374</c:v>
                </c:pt>
                <c:pt idx="258">
                  <c:v>46242.791666666039</c:v>
                </c:pt>
                <c:pt idx="259">
                  <c:v>46242.833333332703</c:v>
                </c:pt>
                <c:pt idx="260">
                  <c:v>46242.874999999367</c:v>
                </c:pt>
                <c:pt idx="261">
                  <c:v>46242.916666666031</c:v>
                </c:pt>
                <c:pt idx="262">
                  <c:v>46242.958333332695</c:v>
                </c:pt>
                <c:pt idx="263">
                  <c:v>46242.99999999936</c:v>
                </c:pt>
              </c:numCache>
            </c:numRef>
          </c:xVal>
          <c:yVal>
            <c:numRef>
              <c:f>Norwood!$G$5:$G$268</c:f>
              <c:numCache>
                <c:formatCode>0.00</c:formatCode>
                <c:ptCount val="264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</c:v>
                </c:pt>
                <c:pt idx="29">
                  <c:v>4.5</c:v>
                </c:pt>
                <c:pt idx="30">
                  <c:v>4.5</c:v>
                </c:pt>
                <c:pt idx="31">
                  <c:v>4.5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4.5</c:v>
                </c:pt>
                <c:pt idx="40">
                  <c:v>4.5</c:v>
                </c:pt>
                <c:pt idx="41">
                  <c:v>4.5</c:v>
                </c:pt>
                <c:pt idx="42">
                  <c:v>4.5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4.5</c:v>
                </c:pt>
                <c:pt idx="49">
                  <c:v>4.5</c:v>
                </c:pt>
                <c:pt idx="50">
                  <c:v>4.5</c:v>
                </c:pt>
                <c:pt idx="51">
                  <c:v>4.5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4.5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</c:v>
                </c:pt>
                <c:pt idx="62">
                  <c:v>4.5</c:v>
                </c:pt>
                <c:pt idx="63">
                  <c:v>4.5</c:v>
                </c:pt>
                <c:pt idx="64">
                  <c:v>4.5</c:v>
                </c:pt>
                <c:pt idx="65">
                  <c:v>4.5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4.5</c:v>
                </c:pt>
                <c:pt idx="70">
                  <c:v>4.5</c:v>
                </c:pt>
                <c:pt idx="71">
                  <c:v>4.5</c:v>
                </c:pt>
                <c:pt idx="72">
                  <c:v>4.5</c:v>
                </c:pt>
                <c:pt idx="73">
                  <c:v>4.5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  <c:pt idx="93">
                  <c:v>4.5</c:v>
                </c:pt>
                <c:pt idx="94">
                  <c:v>4.5</c:v>
                </c:pt>
                <c:pt idx="95">
                  <c:v>4.5</c:v>
                </c:pt>
                <c:pt idx="96">
                  <c:v>4.5</c:v>
                </c:pt>
                <c:pt idx="97">
                  <c:v>4.5</c:v>
                </c:pt>
                <c:pt idx="98">
                  <c:v>4.5</c:v>
                </c:pt>
                <c:pt idx="99">
                  <c:v>4.5</c:v>
                </c:pt>
                <c:pt idx="100">
                  <c:v>4.5</c:v>
                </c:pt>
                <c:pt idx="101">
                  <c:v>4.5</c:v>
                </c:pt>
                <c:pt idx="102">
                  <c:v>4.5</c:v>
                </c:pt>
                <c:pt idx="103">
                  <c:v>4.5</c:v>
                </c:pt>
                <c:pt idx="104">
                  <c:v>4.5</c:v>
                </c:pt>
                <c:pt idx="105">
                  <c:v>4.5</c:v>
                </c:pt>
                <c:pt idx="106">
                  <c:v>4.5</c:v>
                </c:pt>
                <c:pt idx="107">
                  <c:v>4.5</c:v>
                </c:pt>
                <c:pt idx="108">
                  <c:v>4.5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4.5</c:v>
                </c:pt>
                <c:pt idx="115">
                  <c:v>4.5</c:v>
                </c:pt>
                <c:pt idx="116">
                  <c:v>4.5</c:v>
                </c:pt>
                <c:pt idx="117">
                  <c:v>4.5</c:v>
                </c:pt>
                <c:pt idx="118">
                  <c:v>4.5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4.5</c:v>
                </c:pt>
                <c:pt idx="128">
                  <c:v>4.5</c:v>
                </c:pt>
                <c:pt idx="129">
                  <c:v>4.5</c:v>
                </c:pt>
                <c:pt idx="130">
                  <c:v>4.5</c:v>
                </c:pt>
                <c:pt idx="131">
                  <c:v>4.5</c:v>
                </c:pt>
                <c:pt idx="132">
                  <c:v>4.5</c:v>
                </c:pt>
                <c:pt idx="133">
                  <c:v>4.5</c:v>
                </c:pt>
                <c:pt idx="134">
                  <c:v>4.5</c:v>
                </c:pt>
                <c:pt idx="135">
                  <c:v>4.5</c:v>
                </c:pt>
                <c:pt idx="136">
                  <c:v>4.5</c:v>
                </c:pt>
                <c:pt idx="137">
                  <c:v>4.5</c:v>
                </c:pt>
                <c:pt idx="138">
                  <c:v>4.5</c:v>
                </c:pt>
                <c:pt idx="139">
                  <c:v>4.5</c:v>
                </c:pt>
                <c:pt idx="140">
                  <c:v>4.5</c:v>
                </c:pt>
                <c:pt idx="141">
                  <c:v>4.5</c:v>
                </c:pt>
                <c:pt idx="142">
                  <c:v>4.5</c:v>
                </c:pt>
                <c:pt idx="143">
                  <c:v>4.5</c:v>
                </c:pt>
                <c:pt idx="144">
                  <c:v>4.5</c:v>
                </c:pt>
                <c:pt idx="145">
                  <c:v>4.5</c:v>
                </c:pt>
                <c:pt idx="146">
                  <c:v>4.5</c:v>
                </c:pt>
                <c:pt idx="147">
                  <c:v>4.5</c:v>
                </c:pt>
                <c:pt idx="148">
                  <c:v>4.5</c:v>
                </c:pt>
                <c:pt idx="149">
                  <c:v>4.5</c:v>
                </c:pt>
                <c:pt idx="150">
                  <c:v>4.5</c:v>
                </c:pt>
                <c:pt idx="151">
                  <c:v>4.5</c:v>
                </c:pt>
                <c:pt idx="152">
                  <c:v>4.5</c:v>
                </c:pt>
                <c:pt idx="153">
                  <c:v>4.5</c:v>
                </c:pt>
                <c:pt idx="154">
                  <c:v>4.5</c:v>
                </c:pt>
                <c:pt idx="155">
                  <c:v>4.5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4.5</c:v>
                </c:pt>
                <c:pt idx="160">
                  <c:v>4.5</c:v>
                </c:pt>
                <c:pt idx="161">
                  <c:v>4.5</c:v>
                </c:pt>
                <c:pt idx="162">
                  <c:v>4.5</c:v>
                </c:pt>
                <c:pt idx="163">
                  <c:v>4.5</c:v>
                </c:pt>
                <c:pt idx="164">
                  <c:v>4.5</c:v>
                </c:pt>
                <c:pt idx="165">
                  <c:v>4.5</c:v>
                </c:pt>
                <c:pt idx="166">
                  <c:v>4.5</c:v>
                </c:pt>
                <c:pt idx="167">
                  <c:v>4.5</c:v>
                </c:pt>
                <c:pt idx="168">
                  <c:v>4.5</c:v>
                </c:pt>
                <c:pt idx="169">
                  <c:v>4.5</c:v>
                </c:pt>
                <c:pt idx="170">
                  <c:v>4.5</c:v>
                </c:pt>
                <c:pt idx="171">
                  <c:v>4.5</c:v>
                </c:pt>
                <c:pt idx="172">
                  <c:v>4.5</c:v>
                </c:pt>
                <c:pt idx="173">
                  <c:v>4.5</c:v>
                </c:pt>
                <c:pt idx="174">
                  <c:v>4.5</c:v>
                </c:pt>
                <c:pt idx="175">
                  <c:v>4.5</c:v>
                </c:pt>
                <c:pt idx="176">
                  <c:v>4.5</c:v>
                </c:pt>
                <c:pt idx="177">
                  <c:v>4.5</c:v>
                </c:pt>
                <c:pt idx="178">
                  <c:v>4.5</c:v>
                </c:pt>
                <c:pt idx="179">
                  <c:v>4.5</c:v>
                </c:pt>
                <c:pt idx="180">
                  <c:v>4.5</c:v>
                </c:pt>
                <c:pt idx="181">
                  <c:v>4.5</c:v>
                </c:pt>
                <c:pt idx="182">
                  <c:v>4.5</c:v>
                </c:pt>
                <c:pt idx="183">
                  <c:v>4.5</c:v>
                </c:pt>
                <c:pt idx="184">
                  <c:v>4.5</c:v>
                </c:pt>
                <c:pt idx="185">
                  <c:v>4.5</c:v>
                </c:pt>
                <c:pt idx="186">
                  <c:v>4.5</c:v>
                </c:pt>
                <c:pt idx="187">
                  <c:v>4.5</c:v>
                </c:pt>
                <c:pt idx="188">
                  <c:v>4.5</c:v>
                </c:pt>
                <c:pt idx="189">
                  <c:v>4.5</c:v>
                </c:pt>
                <c:pt idx="190">
                  <c:v>4.5</c:v>
                </c:pt>
                <c:pt idx="191">
                  <c:v>4.5</c:v>
                </c:pt>
                <c:pt idx="192">
                  <c:v>4.5</c:v>
                </c:pt>
                <c:pt idx="193">
                  <c:v>4.5</c:v>
                </c:pt>
                <c:pt idx="194">
                  <c:v>4.5</c:v>
                </c:pt>
                <c:pt idx="195">
                  <c:v>4.5</c:v>
                </c:pt>
                <c:pt idx="196">
                  <c:v>4.5</c:v>
                </c:pt>
                <c:pt idx="197">
                  <c:v>4.5</c:v>
                </c:pt>
                <c:pt idx="198">
                  <c:v>4.5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</c:v>
                </c:pt>
                <c:pt idx="203">
                  <c:v>4.5</c:v>
                </c:pt>
                <c:pt idx="204">
                  <c:v>4.5</c:v>
                </c:pt>
                <c:pt idx="205">
                  <c:v>4.5</c:v>
                </c:pt>
                <c:pt idx="206">
                  <c:v>4.5</c:v>
                </c:pt>
                <c:pt idx="207">
                  <c:v>4.5</c:v>
                </c:pt>
                <c:pt idx="208">
                  <c:v>4.5</c:v>
                </c:pt>
                <c:pt idx="209">
                  <c:v>4.5</c:v>
                </c:pt>
                <c:pt idx="210">
                  <c:v>4.5</c:v>
                </c:pt>
                <c:pt idx="211">
                  <c:v>4.5</c:v>
                </c:pt>
                <c:pt idx="212">
                  <c:v>4.5</c:v>
                </c:pt>
                <c:pt idx="213">
                  <c:v>4.5</c:v>
                </c:pt>
                <c:pt idx="214">
                  <c:v>4.5</c:v>
                </c:pt>
                <c:pt idx="215">
                  <c:v>4.5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4.5</c:v>
                </c:pt>
                <c:pt idx="232">
                  <c:v>4.5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4.5</c:v>
                </c:pt>
                <c:pt idx="238">
                  <c:v>4.5</c:v>
                </c:pt>
                <c:pt idx="239">
                  <c:v>4.5</c:v>
                </c:pt>
                <c:pt idx="240">
                  <c:v>4.5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4.5</c:v>
                </c:pt>
                <c:pt idx="245">
                  <c:v>4.5</c:v>
                </c:pt>
                <c:pt idx="246">
                  <c:v>4.5</c:v>
                </c:pt>
                <c:pt idx="247">
                  <c:v>4.5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4.5</c:v>
                </c:pt>
                <c:pt idx="252">
                  <c:v>4.5</c:v>
                </c:pt>
                <c:pt idx="253">
                  <c:v>4.5</c:v>
                </c:pt>
                <c:pt idx="254">
                  <c:v>4.5</c:v>
                </c:pt>
                <c:pt idx="255">
                  <c:v>4.5</c:v>
                </c:pt>
                <c:pt idx="256">
                  <c:v>4.5</c:v>
                </c:pt>
                <c:pt idx="257">
                  <c:v>4.5</c:v>
                </c:pt>
                <c:pt idx="258">
                  <c:v>4.5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1B-4317-88BB-0DCEC4F2E545}"/>
            </c:ext>
          </c:extLst>
        </c:ser>
        <c:ser>
          <c:idx val="5"/>
          <c:order val="5"/>
          <c:tx>
            <c:strRef>
              <c:f>Norwood!$J$2</c:f>
              <c:strCache>
                <c:ptCount val="1"/>
                <c:pt idx="0">
                  <c:v>No 01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Norwood!$J$3:$J$4</c:f>
              <c:numCache>
                <c:formatCode>m/d/yyyy\ h:mm</c:formatCode>
                <c:ptCount val="2"/>
                <c:pt idx="0">
                  <c:v>46235.3125</c:v>
                </c:pt>
                <c:pt idx="1">
                  <c:v>46235.3125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1B-4317-88BB-0DCEC4F2E545}"/>
            </c:ext>
          </c:extLst>
        </c:ser>
        <c:ser>
          <c:idx val="6"/>
          <c:order val="6"/>
          <c:tx>
            <c:strRef>
              <c:f>Norwood!$K$2</c:f>
              <c:strCache>
                <c:ptCount val="1"/>
                <c:pt idx="0">
                  <c:v>No 02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Norwood!$K$3:$K$4</c:f>
              <c:numCache>
                <c:formatCode>m/d/yyyy\ h:mm</c:formatCode>
                <c:ptCount val="2"/>
                <c:pt idx="0">
                  <c:v>46237.479166666664</c:v>
                </c:pt>
                <c:pt idx="1">
                  <c:v>46237.479166666664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B-4317-88BB-0DCEC4F2E545}"/>
            </c:ext>
          </c:extLst>
        </c:ser>
        <c:ser>
          <c:idx val="7"/>
          <c:order val="7"/>
          <c:tx>
            <c:strRef>
              <c:f>Norwood!$L$2</c:f>
              <c:strCache>
                <c:ptCount val="1"/>
                <c:pt idx="0">
                  <c:v>No 03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Norwood!$L$3:$L$4</c:f>
              <c:numCache>
                <c:formatCode>m/d/yyyy\ h:mm</c:formatCode>
                <c:ptCount val="2"/>
                <c:pt idx="0">
                  <c:v>46237.5625</c:v>
                </c:pt>
                <c:pt idx="1">
                  <c:v>46237.5625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1B-4317-88BB-0DCEC4F2E545}"/>
            </c:ext>
          </c:extLst>
        </c:ser>
        <c:ser>
          <c:idx val="8"/>
          <c:order val="8"/>
          <c:tx>
            <c:strRef>
              <c:f>Norwood!$M$2</c:f>
              <c:strCache>
                <c:ptCount val="1"/>
                <c:pt idx="0">
                  <c:v>No 04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Norwood!$M$3:$M$4</c:f>
              <c:numCache>
                <c:formatCode>m/d/yyyy\ h:mm</c:formatCode>
                <c:ptCount val="2"/>
                <c:pt idx="0">
                  <c:v>46237.645833333336</c:v>
                </c:pt>
                <c:pt idx="1">
                  <c:v>46237.645833333336</c:v>
                </c:pt>
              </c:numCache>
            </c:numRef>
          </c:xVal>
          <c:yVal>
            <c:numRef>
              <c:f>Norwood!$I$3:$I$4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1B-4317-88BB-0DCEC4F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542927"/>
        <c:axId val="1844541487"/>
      </c:scatterChart>
      <c:valAx>
        <c:axId val="1844542927"/>
        <c:scaling>
          <c:orientation val="minMax"/>
          <c:max val="46242.999999999403"/>
          <c:min val="46232.04166666669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 &amp; Time</a:t>
                </a:r>
              </a:p>
            </c:rich>
          </c:tx>
          <c:layout>
            <c:manualLayout>
              <c:xMode val="edge"/>
              <c:yMode val="edge"/>
              <c:x val="0.47398887780430154"/>
              <c:y val="0.919772616896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1487"/>
        <c:crosses val="autoZero"/>
        <c:crossBetween val="midCat"/>
      </c:valAx>
      <c:valAx>
        <c:axId val="18445414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 Level in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542927"/>
        <c:crosses val="autoZero"/>
        <c:crossBetween val="midCat"/>
      </c:valAx>
      <c:valAx>
        <c:axId val="1997281727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RF in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80767"/>
        <c:crosses val="max"/>
        <c:crossBetween val="midCat"/>
      </c:valAx>
      <c:catAx>
        <c:axId val="1997280767"/>
        <c:scaling>
          <c:orientation val="minMax"/>
        </c:scaling>
        <c:delete val="1"/>
        <c:axPos val="t"/>
        <c:numFmt formatCode="General" sourceLinked="0"/>
        <c:majorTickMark val="none"/>
        <c:minorTickMark val="none"/>
        <c:tickLblPos val="nextTo"/>
        <c:crossAx val="1997281727"/>
        <c:crossesAt val="0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54CC6-7837-B085-87BB-FC32C41CA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B92CB-5874-4E3C-9A14-BB67BE22A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9505EE-9D71-4C53-8DDA-C70ADC9AAABA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161764-941D-4B1B-B7A5-3060978D2BA1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21BFCF-C885-4E86-B672-80CF39BDEB15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853EDD-3EC6-4C9B-A9CA-CDE2B5E6C56E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F4147-3497-40E0-8A69-874BDD80A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C706-9591-4AF8-AAC1-9900AECD0CB7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1F4730-EC0B-4C5B-ADA3-822B84B8B0B0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4E456B-EC40-46C4-A83D-1D6F5FCA000F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FAE4DA-8CB9-4CC5-B780-C283D5DB4D07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FEE73-AAB5-4958-9408-F9B8CAF41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57612-4CBE-4021-BFF6-A9848A4A60B2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354C98-98CF-4C92-B799-745CC9A2633C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97CBD0-26F4-4890-B965-944EE8AE4B12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FB3639-0C96-40BD-84B3-AE0F17D667B9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366E1-B1E0-4200-B414-B695A195F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1D8770-D8C4-496B-BA44-AB49FBE1FC7B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A020E4-3AD4-4154-9749-C54D9754DA73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ABEC7D-9AFA-492B-96E0-452C25DC98DC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3054EA-AEA0-49A5-BF8F-0061109B6753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11430</xdr:rowOff>
    </xdr:from>
    <xdr:to>
      <xdr:col>17</xdr:col>
      <xdr:colOff>259080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839BB-7743-4A54-88C1-4E4469E7F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811530</xdr:colOff>
      <xdr:row>16</xdr:row>
      <xdr:rowOff>133350</xdr:rowOff>
    </xdr:from>
    <xdr:to>
      <xdr:col>10</xdr:col>
      <xdr:colOff>1032510</xdr:colOff>
      <xdr:row>20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3E04F2-8718-4C34-AC56-AE08617D52F0}"/>
            </a:ext>
          </a:extLst>
        </xdr:cNvPr>
        <xdr:cNvSpPr txBox="1"/>
      </xdr:nvSpPr>
      <xdr:spPr>
        <a:xfrm rot="16200000">
          <a:off x="6858000" y="338328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01</a:t>
          </a:r>
        </a:p>
      </xdr:txBody>
    </xdr:sp>
    <xdr:clientData/>
  </xdr:twoCellAnchor>
  <xdr:twoCellAnchor>
    <xdr:from>
      <xdr:col>11</xdr:col>
      <xdr:colOff>209550</xdr:colOff>
      <xdr:row>16</xdr:row>
      <xdr:rowOff>148590</xdr:rowOff>
    </xdr:from>
    <xdr:to>
      <xdr:col>11</xdr:col>
      <xdr:colOff>430530</xdr:colOff>
      <xdr:row>20</xdr:row>
      <xdr:rowOff>72390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EBF913-1EA5-4756-9593-0A1912C9AF98}"/>
            </a:ext>
          </a:extLst>
        </xdr:cNvPr>
        <xdr:cNvSpPr txBox="1"/>
      </xdr:nvSpPr>
      <xdr:spPr>
        <a:xfrm rot="16200000">
          <a:off x="730758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02</a:t>
          </a:r>
        </a:p>
      </xdr:txBody>
    </xdr:sp>
    <xdr:clientData/>
  </xdr:twoCellAnchor>
  <xdr:twoCellAnchor>
    <xdr:from>
      <xdr:col>11</xdr:col>
      <xdr:colOff>582930</xdr:colOff>
      <xdr:row>16</xdr:row>
      <xdr:rowOff>148590</xdr:rowOff>
    </xdr:from>
    <xdr:to>
      <xdr:col>11</xdr:col>
      <xdr:colOff>803910</xdr:colOff>
      <xdr:row>20</xdr:row>
      <xdr:rowOff>72390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B1116E-BF7C-4132-8F4D-85D3ADA89A42}"/>
            </a:ext>
          </a:extLst>
        </xdr:cNvPr>
        <xdr:cNvSpPr txBox="1"/>
      </xdr:nvSpPr>
      <xdr:spPr>
        <a:xfrm rot="16200000">
          <a:off x="7680960" y="339852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03</a:t>
          </a:r>
        </a:p>
      </xdr:txBody>
    </xdr:sp>
    <xdr:clientData/>
  </xdr:twoCellAnchor>
  <xdr:twoCellAnchor>
    <xdr:from>
      <xdr:col>12</xdr:col>
      <xdr:colOff>826770</xdr:colOff>
      <xdr:row>16</xdr:row>
      <xdr:rowOff>156210</xdr:rowOff>
    </xdr:from>
    <xdr:to>
      <xdr:col>12</xdr:col>
      <xdr:colOff>1047750</xdr:colOff>
      <xdr:row>20</xdr:row>
      <xdr:rowOff>80010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8F2EB7-1E44-4E52-B50F-234A864A2249}"/>
            </a:ext>
          </a:extLst>
        </xdr:cNvPr>
        <xdr:cNvSpPr txBox="1"/>
      </xdr:nvSpPr>
      <xdr:spPr>
        <a:xfrm rot="16200000">
          <a:off x="8953500" y="3406140"/>
          <a:ext cx="65532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n>
                <a:noFill/>
              </a:ln>
            </a:rPr>
            <a:t>No 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9DB7-BC47-41A4-8972-DA6D81674FB2}">
  <dimension ref="A1:T268"/>
  <sheetViews>
    <sheetView tabSelected="1" workbookViewId="0">
      <selection activeCell="U16" sqref="U16"/>
    </sheetView>
  </sheetViews>
  <sheetFormatPr defaultRowHeight="14.4" x14ac:dyDescent="0.3"/>
  <cols>
    <col min="1" max="1" width="17.88671875" customWidth="1"/>
    <col min="2" max="2" width="10.77734375" style="4" customWidth="1"/>
    <col min="3" max="4" width="7.6640625" style="4" customWidth="1"/>
    <col min="5" max="5" width="7.6640625" style="3" customWidth="1"/>
    <col min="6" max="7" width="7.6640625" style="4" customWidth="1"/>
    <col min="8" max="8" width="7.6640625" style="3" customWidth="1"/>
    <col min="9" max="10" width="7.6640625" style="4" customWidth="1"/>
    <col min="11" max="11" width="7.6640625" style="3" customWidth="1"/>
    <col min="12" max="13" width="7.6640625" style="4" customWidth="1"/>
    <col min="14" max="14" width="7.6640625" style="3" customWidth="1"/>
    <col min="15" max="16" width="7.6640625" style="4" customWidth="1"/>
    <col min="17" max="17" width="7.6640625" style="3" customWidth="1"/>
    <col min="18" max="18" width="7.6640625" style="4" customWidth="1"/>
    <col min="19" max="19" width="8.88671875" style="4"/>
  </cols>
  <sheetData>
    <row r="1" spans="1:20" ht="21" x14ac:dyDescent="0.4">
      <c r="A1" s="2" t="s">
        <v>29</v>
      </c>
    </row>
    <row r="2" spans="1:20" ht="18" x14ac:dyDescent="0.35">
      <c r="A2" s="21" t="s">
        <v>26</v>
      </c>
    </row>
    <row r="3" spans="1:20" x14ac:dyDescent="0.3">
      <c r="A3" s="22"/>
      <c r="B3" s="30" t="s">
        <v>0</v>
      </c>
      <c r="C3" s="34" t="s">
        <v>1</v>
      </c>
      <c r="D3" s="34"/>
      <c r="E3" s="34"/>
      <c r="F3" s="34" t="s">
        <v>2</v>
      </c>
      <c r="G3" s="34"/>
      <c r="H3" s="34"/>
      <c r="I3" s="34" t="s">
        <v>3</v>
      </c>
      <c r="J3" s="34"/>
      <c r="K3" s="34"/>
      <c r="L3" s="34" t="s">
        <v>4</v>
      </c>
      <c r="M3" s="34"/>
      <c r="N3" s="34"/>
      <c r="O3" s="34" t="s">
        <v>5</v>
      </c>
      <c r="P3" s="34"/>
      <c r="Q3" s="34"/>
      <c r="R3" s="34" t="s">
        <v>6</v>
      </c>
      <c r="S3" s="34"/>
      <c r="T3" s="34"/>
    </row>
    <row r="4" spans="1:20" ht="16.2" x14ac:dyDescent="0.3">
      <c r="B4" s="4" t="s">
        <v>7</v>
      </c>
      <c r="C4" s="4" t="s">
        <v>8</v>
      </c>
      <c r="D4" s="4" t="s">
        <v>9</v>
      </c>
      <c r="E4" s="3" t="s">
        <v>28</v>
      </c>
      <c r="F4" s="4" t="s">
        <v>8</v>
      </c>
      <c r="G4" s="4" t="s">
        <v>9</v>
      </c>
      <c r="H4" s="3" t="s">
        <v>28</v>
      </c>
      <c r="I4" s="4" t="s">
        <v>8</v>
      </c>
      <c r="J4" s="4" t="s">
        <v>9</v>
      </c>
      <c r="K4" s="3" t="s">
        <v>28</v>
      </c>
      <c r="L4" s="4" t="s">
        <v>8</v>
      </c>
      <c r="M4" s="4" t="s">
        <v>9</v>
      </c>
      <c r="N4" s="3" t="s">
        <v>28</v>
      </c>
      <c r="O4" s="4" t="s">
        <v>8</v>
      </c>
      <c r="P4" s="4" t="s">
        <v>9</v>
      </c>
      <c r="Q4" s="3" t="s">
        <v>28</v>
      </c>
      <c r="R4" s="4" t="s">
        <v>8</v>
      </c>
      <c r="S4" s="4" t="s">
        <v>9</v>
      </c>
      <c r="T4" s="3" t="s">
        <v>28</v>
      </c>
    </row>
    <row r="5" spans="1:20" x14ac:dyDescent="0.3">
      <c r="A5" s="1">
        <v>46232.041666666664</v>
      </c>
      <c r="B5" s="4">
        <v>1.2</v>
      </c>
      <c r="C5" s="29">
        <v>0.47</v>
      </c>
      <c r="D5" s="25">
        <f t="shared" ref="D5:D160" si="0">IF(C5="","",IF((C5+0.56)&gt;4,13.194*(C5+0.56)^2+13.311*(C5+0.56)-0.8227,27.012*(C5+0.56)^1.6477))</f>
        <v>28.36015735595501</v>
      </c>
      <c r="E5" s="26">
        <v>0</v>
      </c>
      <c r="F5" s="29">
        <v>8.85</v>
      </c>
      <c r="G5" s="27">
        <f t="shared" ref="G5:G160" si="1">IF(F5="","",IF((F5-0.118)&gt;14,9.8381*((F5-0.118)-7.5)^2+42.44*((F5-0.118)-7.5)-16.777,35.535*((F5-0.118)-7.5)^1.5414))</f>
        <v>49.014397082337581</v>
      </c>
      <c r="H5" s="26">
        <v>0</v>
      </c>
      <c r="I5" s="29">
        <v>1.68</v>
      </c>
      <c r="J5" s="27">
        <f>IF(I5="","",IF(I5&lt;=2.1,7.5134*(I5)^3.1739,31.402*(I5)^2-35.839*(I5)+15.632))</f>
        <v>38.989318107689378</v>
      </c>
      <c r="K5" s="26">
        <v>0</v>
      </c>
      <c r="L5" s="29">
        <v>0.3</v>
      </c>
      <c r="M5" s="27">
        <f t="shared" ref="M5:M160" si="2">IF(L5="","",IF((L5)&gt;2,8.9271*((L5)^2)+9.2434*(L5)-1.6791,14.51*(((L5)-0.1)^1.846)))</f>
        <v>0.74365034615895032</v>
      </c>
      <c r="N5" s="26">
        <v>0</v>
      </c>
      <c r="O5" s="29">
        <v>0.56999999999999995</v>
      </c>
      <c r="P5" s="27">
        <f t="shared" ref="P5:P160" si="3">IF(O5="","",28.62*(O5)^1.3838)</f>
        <v>13.147683917799467</v>
      </c>
      <c r="Q5" s="26">
        <v>2.2999999999999998</v>
      </c>
      <c r="R5" s="29">
        <v>0.42</v>
      </c>
      <c r="S5" s="27">
        <f t="shared" ref="S5:S160" si="4">IF(R5="","",IF(R5&gt;2.5,19.135*(R5+0.5)^2-29.477*(R5+0.5)+32.54,3.0494*((R5+0.5)^2.8875)))</f>
        <v>2.3969101110500004</v>
      </c>
      <c r="T5" s="26">
        <v>1.5</v>
      </c>
    </row>
    <row r="6" spans="1:20" x14ac:dyDescent="0.3">
      <c r="A6" s="1">
        <f>A5+1/24</f>
        <v>46232.083333333328</v>
      </c>
      <c r="B6" s="4">
        <v>1.4</v>
      </c>
      <c r="C6" s="29">
        <v>0.47</v>
      </c>
      <c r="D6" s="25">
        <f t="shared" si="0"/>
        <v>28.36015735595501</v>
      </c>
      <c r="E6" s="26">
        <v>0</v>
      </c>
      <c r="F6" s="29">
        <v>8.91</v>
      </c>
      <c r="G6" s="27">
        <f t="shared" si="1"/>
        <v>52.741971330213161</v>
      </c>
      <c r="H6" s="26">
        <v>1</v>
      </c>
      <c r="I6" s="29">
        <v>1.66</v>
      </c>
      <c r="J6" s="27">
        <f t="shared" ref="J6:J69" si="5">IF(I6="","",IF(I6&lt;=2.1,7.5134*(I6)^3.1739,31.402*(I6)^2-35.839*(I6)+15.632))</f>
        <v>37.535099473545145</v>
      </c>
      <c r="K6" s="26">
        <v>0</v>
      </c>
      <c r="L6" s="29">
        <v>0.27</v>
      </c>
      <c r="M6" s="27">
        <f t="shared" si="2"/>
        <v>0.55090424811277949</v>
      </c>
      <c r="N6" s="26">
        <v>2.8</v>
      </c>
      <c r="O6" s="29">
        <v>0.51</v>
      </c>
      <c r="P6" s="27">
        <f t="shared" si="3"/>
        <v>11.272110541952166</v>
      </c>
      <c r="Q6" s="26">
        <v>0.5</v>
      </c>
      <c r="R6" s="29">
        <v>0.42</v>
      </c>
      <c r="S6" s="27">
        <f t="shared" si="4"/>
        <v>2.3969101110500004</v>
      </c>
      <c r="T6" s="26">
        <v>0</v>
      </c>
    </row>
    <row r="7" spans="1:20" x14ac:dyDescent="0.3">
      <c r="A7" s="1">
        <f t="shared" ref="A7:A70" si="6">A6+1/24</f>
        <v>46232.124999999993</v>
      </c>
      <c r="B7" s="4">
        <v>1.3</v>
      </c>
      <c r="C7" s="29">
        <v>0.48</v>
      </c>
      <c r="D7" s="25">
        <f t="shared" si="0"/>
        <v>28.815262099165182</v>
      </c>
      <c r="E7" s="26">
        <v>0</v>
      </c>
      <c r="F7" s="29">
        <v>9.0500000000000007</v>
      </c>
      <c r="G7" s="27">
        <f t="shared" si="1"/>
        <v>61.805466344232642</v>
      </c>
      <c r="H7" s="26">
        <v>0</v>
      </c>
      <c r="I7" s="29">
        <v>1.66</v>
      </c>
      <c r="J7" s="27">
        <f t="shared" si="5"/>
        <v>37.535099473545145</v>
      </c>
      <c r="K7" s="26">
        <v>0</v>
      </c>
      <c r="L7" s="29">
        <v>0.24</v>
      </c>
      <c r="M7" s="27">
        <f t="shared" si="2"/>
        <v>0.38496368802210973</v>
      </c>
      <c r="N7" s="26">
        <v>0</v>
      </c>
      <c r="O7" s="29">
        <v>0.45</v>
      </c>
      <c r="P7" s="27">
        <f t="shared" si="3"/>
        <v>9.4794929078407559</v>
      </c>
      <c r="Q7" s="26">
        <v>0</v>
      </c>
      <c r="R7" s="29">
        <v>0.41</v>
      </c>
      <c r="S7" s="27">
        <f t="shared" si="4"/>
        <v>2.3224502323231424</v>
      </c>
      <c r="T7" s="26">
        <v>1</v>
      </c>
    </row>
    <row r="8" spans="1:20" x14ac:dyDescent="0.3">
      <c r="A8" s="1">
        <f t="shared" si="6"/>
        <v>46232.166666666657</v>
      </c>
      <c r="B8" s="4">
        <v>1</v>
      </c>
      <c r="C8" s="29">
        <v>0.49</v>
      </c>
      <c r="D8" s="25">
        <f t="shared" si="0"/>
        <v>29.273210056241769</v>
      </c>
      <c r="E8" s="26">
        <v>0</v>
      </c>
      <c r="F8" s="29">
        <v>9.1300000000000008</v>
      </c>
      <c r="G8" s="27">
        <f t="shared" si="1"/>
        <v>67.207455116808589</v>
      </c>
      <c r="H8" s="26">
        <v>0</v>
      </c>
      <c r="I8" s="29">
        <v>1.59</v>
      </c>
      <c r="J8" s="27">
        <f t="shared" si="5"/>
        <v>32.737901930706272</v>
      </c>
      <c r="K8" s="26">
        <v>0</v>
      </c>
      <c r="L8" s="29">
        <v>0.22</v>
      </c>
      <c r="M8" s="27">
        <f t="shared" si="2"/>
        <v>0.28962496388385889</v>
      </c>
      <c r="N8" s="26">
        <v>0</v>
      </c>
      <c r="O8" s="29">
        <v>0.43</v>
      </c>
      <c r="P8" s="27">
        <f t="shared" si="3"/>
        <v>8.9015016823120501</v>
      </c>
      <c r="Q8" s="26">
        <v>0</v>
      </c>
      <c r="R8" s="29">
        <v>0.42</v>
      </c>
      <c r="S8" s="27">
        <f t="shared" si="4"/>
        <v>2.3969101110500004</v>
      </c>
      <c r="T8" s="26">
        <v>0</v>
      </c>
    </row>
    <row r="9" spans="1:20" x14ac:dyDescent="0.3">
      <c r="A9" s="1">
        <f t="shared" si="6"/>
        <v>46232.208333333321</v>
      </c>
      <c r="B9" s="4">
        <v>0.8</v>
      </c>
      <c r="C9" s="29">
        <v>0.51</v>
      </c>
      <c r="D9" s="25">
        <f t="shared" si="0"/>
        <v>30.197597456718235</v>
      </c>
      <c r="E9" s="26">
        <v>0</v>
      </c>
      <c r="F9" s="29">
        <v>9.1</v>
      </c>
      <c r="G9" s="27">
        <f t="shared" si="1"/>
        <v>65.163100612571611</v>
      </c>
      <c r="H9" s="26">
        <v>3.3</v>
      </c>
      <c r="I9" s="29">
        <v>1.59</v>
      </c>
      <c r="J9" s="27">
        <f t="shared" si="5"/>
        <v>32.737901930706272</v>
      </c>
      <c r="K9" s="26">
        <v>9.8000000000000007</v>
      </c>
      <c r="L9" s="29">
        <v>0.22</v>
      </c>
      <c r="M9" s="27">
        <f t="shared" si="2"/>
        <v>0.28962496388385889</v>
      </c>
      <c r="N9" s="26">
        <v>0</v>
      </c>
      <c r="O9" s="29">
        <v>0.43</v>
      </c>
      <c r="P9" s="27">
        <f t="shared" si="3"/>
        <v>8.9015016823120501</v>
      </c>
      <c r="Q9" s="26">
        <v>8.1999999999999993</v>
      </c>
      <c r="R9" s="29">
        <v>0.44</v>
      </c>
      <c r="S9" s="27">
        <f t="shared" si="4"/>
        <v>2.5504750137381222</v>
      </c>
      <c r="T9" s="26">
        <v>0</v>
      </c>
    </row>
    <row r="10" spans="1:20" x14ac:dyDescent="0.3">
      <c r="A10" s="1">
        <f t="shared" si="6"/>
        <v>46232.249999999985</v>
      </c>
      <c r="B10" s="4">
        <v>0.6</v>
      </c>
      <c r="C10" s="29">
        <v>0.55000000000000004</v>
      </c>
      <c r="D10" s="25">
        <f t="shared" si="0"/>
        <v>32.080077825020702</v>
      </c>
      <c r="E10" s="26">
        <v>3.1</v>
      </c>
      <c r="F10" s="29">
        <v>9.08</v>
      </c>
      <c r="G10" s="27">
        <f t="shared" si="1"/>
        <v>63.812564725327</v>
      </c>
      <c r="H10" s="26">
        <v>0</v>
      </c>
      <c r="I10" s="29">
        <v>1.61</v>
      </c>
      <c r="J10" s="27">
        <f t="shared" si="5"/>
        <v>34.062863834124222</v>
      </c>
      <c r="K10" s="26">
        <v>7</v>
      </c>
      <c r="L10" s="29">
        <v>0.21</v>
      </c>
      <c r="M10" s="27">
        <f t="shared" si="2"/>
        <v>0.2466484037974217</v>
      </c>
      <c r="N10" s="26">
        <v>0</v>
      </c>
      <c r="O10" s="29">
        <v>0.45</v>
      </c>
      <c r="P10" s="27">
        <f t="shared" si="3"/>
        <v>9.4794929078407559</v>
      </c>
      <c r="Q10" s="26">
        <v>0.9</v>
      </c>
      <c r="R10" s="29">
        <v>0.45</v>
      </c>
      <c r="S10" s="27">
        <f t="shared" si="4"/>
        <v>2.6296097796156164</v>
      </c>
      <c r="T10" s="26">
        <v>0</v>
      </c>
    </row>
    <row r="11" spans="1:20" x14ac:dyDescent="0.3">
      <c r="A11" s="1">
        <f t="shared" si="6"/>
        <v>46232.29166666665</v>
      </c>
      <c r="B11" s="4">
        <v>0.6</v>
      </c>
      <c r="C11" s="29">
        <v>0.64</v>
      </c>
      <c r="D11" s="25">
        <f t="shared" si="0"/>
        <v>36.477383589027653</v>
      </c>
      <c r="E11" s="26">
        <v>1.5</v>
      </c>
      <c r="F11" s="29">
        <v>9.06</v>
      </c>
      <c r="G11" s="27">
        <f t="shared" si="1"/>
        <v>62.471994578776211</v>
      </c>
      <c r="H11" s="26">
        <v>0.4</v>
      </c>
      <c r="I11" s="29">
        <v>1.68</v>
      </c>
      <c r="J11" s="27">
        <f t="shared" si="5"/>
        <v>38.989318107689378</v>
      </c>
      <c r="K11" s="26">
        <v>1.2</v>
      </c>
      <c r="L11" s="29">
        <v>0.21</v>
      </c>
      <c r="M11" s="27">
        <f t="shared" si="2"/>
        <v>0.2466484037974217</v>
      </c>
      <c r="N11" s="26">
        <v>1.1000000000000001</v>
      </c>
      <c r="O11" s="29">
        <v>0.51</v>
      </c>
      <c r="P11" s="27">
        <f t="shared" si="3"/>
        <v>11.272110541952166</v>
      </c>
      <c r="Q11" s="26">
        <v>0.6</v>
      </c>
      <c r="R11" s="29">
        <v>0.45</v>
      </c>
      <c r="S11" s="27">
        <f t="shared" si="4"/>
        <v>2.6296097796156164</v>
      </c>
      <c r="T11" s="26">
        <v>1.2</v>
      </c>
    </row>
    <row r="12" spans="1:20" x14ac:dyDescent="0.3">
      <c r="A12" s="1">
        <f t="shared" si="6"/>
        <v>46232.333333333314</v>
      </c>
      <c r="B12" s="4">
        <v>0.5</v>
      </c>
      <c r="C12" s="29">
        <v>0.66</v>
      </c>
      <c r="D12" s="25">
        <f t="shared" si="0"/>
        <v>37.484509651125741</v>
      </c>
      <c r="E12" s="26">
        <v>0</v>
      </c>
      <c r="F12" s="29">
        <v>9.0399999999999991</v>
      </c>
      <c r="G12" s="27">
        <f t="shared" si="1"/>
        <v>61.141453327723845</v>
      </c>
      <c r="H12" s="26">
        <v>0</v>
      </c>
      <c r="I12" s="29">
        <v>1.55</v>
      </c>
      <c r="J12" s="27">
        <f t="shared" si="5"/>
        <v>30.194669986793375</v>
      </c>
      <c r="K12" s="26">
        <v>0</v>
      </c>
      <c r="L12" s="29">
        <v>0.2</v>
      </c>
      <c r="M12" s="27">
        <f t="shared" si="2"/>
        <v>0.20685566183167753</v>
      </c>
      <c r="N12" s="26">
        <v>0</v>
      </c>
      <c r="O12" s="29">
        <v>0.54</v>
      </c>
      <c r="P12" s="27">
        <f t="shared" si="3"/>
        <v>12.199895600830567</v>
      </c>
      <c r="Q12" s="26">
        <v>0</v>
      </c>
      <c r="R12" s="29">
        <v>0.46</v>
      </c>
      <c r="S12" s="27">
        <f t="shared" si="4"/>
        <v>2.7103325533560008</v>
      </c>
      <c r="T12" s="26">
        <v>0</v>
      </c>
    </row>
    <row r="13" spans="1:20" x14ac:dyDescent="0.3">
      <c r="A13" s="1">
        <f t="shared" si="6"/>
        <v>46232.374999999978</v>
      </c>
      <c r="B13" s="4">
        <v>0.5</v>
      </c>
      <c r="C13" s="29">
        <v>0.68</v>
      </c>
      <c r="D13" s="25">
        <f t="shared" si="0"/>
        <v>38.50238671260351</v>
      </c>
      <c r="E13" s="26">
        <v>0</v>
      </c>
      <c r="F13" s="29">
        <v>9.0299999999999994</v>
      </c>
      <c r="G13" s="27">
        <f t="shared" si="1"/>
        <v>60.479963625627157</v>
      </c>
      <c r="H13" s="26">
        <v>0</v>
      </c>
      <c r="I13" s="29">
        <v>1.55</v>
      </c>
      <c r="J13" s="27">
        <f t="shared" si="5"/>
        <v>30.194669986793375</v>
      </c>
      <c r="K13" s="26">
        <v>0</v>
      </c>
      <c r="L13" s="29">
        <v>0.2</v>
      </c>
      <c r="M13" s="27">
        <f t="shared" si="2"/>
        <v>0.20685566183167753</v>
      </c>
      <c r="N13" s="26">
        <v>0</v>
      </c>
      <c r="O13" s="29">
        <v>0.63</v>
      </c>
      <c r="P13" s="27">
        <f t="shared" si="3"/>
        <v>15.100700072125402</v>
      </c>
      <c r="Q13" s="26">
        <v>0</v>
      </c>
      <c r="R13" s="29">
        <v>0.46</v>
      </c>
      <c r="S13" s="27">
        <f t="shared" si="4"/>
        <v>2.7103325533560008</v>
      </c>
      <c r="T13" s="26">
        <v>0</v>
      </c>
    </row>
    <row r="14" spans="1:20" x14ac:dyDescent="0.3">
      <c r="A14" s="1">
        <f t="shared" si="6"/>
        <v>46232.416666666642</v>
      </c>
      <c r="B14" s="4">
        <v>0.7</v>
      </c>
      <c r="C14" s="29">
        <v>0.69</v>
      </c>
      <c r="D14" s="25">
        <f t="shared" si="0"/>
        <v>39.015337623392981</v>
      </c>
      <c r="E14" s="26">
        <v>0</v>
      </c>
      <c r="F14" s="29">
        <v>9.01</v>
      </c>
      <c r="G14" s="27">
        <f t="shared" si="1"/>
        <v>59.164586969029159</v>
      </c>
      <c r="H14" s="26">
        <v>1.2</v>
      </c>
      <c r="I14" s="29">
        <v>1.33</v>
      </c>
      <c r="J14" s="27">
        <f t="shared" si="5"/>
        <v>18.575017593695101</v>
      </c>
      <c r="K14" s="26">
        <v>0</v>
      </c>
      <c r="L14" s="29">
        <v>0.2</v>
      </c>
      <c r="M14" s="27">
        <f t="shared" si="2"/>
        <v>0.20685566183167753</v>
      </c>
      <c r="N14" s="26">
        <v>0</v>
      </c>
      <c r="O14" s="29">
        <v>0.63</v>
      </c>
      <c r="P14" s="27">
        <f t="shared" si="3"/>
        <v>15.100700072125402</v>
      </c>
      <c r="Q14" s="26">
        <v>0</v>
      </c>
      <c r="R14" s="29">
        <v>0.47</v>
      </c>
      <c r="S14" s="27">
        <f t="shared" si="4"/>
        <v>2.7926581615765333</v>
      </c>
      <c r="T14" s="26">
        <v>0</v>
      </c>
    </row>
    <row r="15" spans="1:20" x14ac:dyDescent="0.3">
      <c r="A15" s="1">
        <f t="shared" si="6"/>
        <v>46232.458333333307</v>
      </c>
      <c r="B15" s="4">
        <v>1.1000000000000001</v>
      </c>
      <c r="C15" s="29">
        <v>0.7</v>
      </c>
      <c r="D15" s="25">
        <f t="shared" si="0"/>
        <v>39.530953357904352</v>
      </c>
      <c r="E15" s="26">
        <v>0</v>
      </c>
      <c r="F15" s="29">
        <v>9</v>
      </c>
      <c r="G15" s="27">
        <f t="shared" si="1"/>
        <v>58.510716630552523</v>
      </c>
      <c r="H15" s="26">
        <v>0</v>
      </c>
      <c r="I15" s="29">
        <v>1.43</v>
      </c>
      <c r="J15" s="27">
        <f t="shared" si="5"/>
        <v>23.380702711634079</v>
      </c>
      <c r="K15" s="26">
        <v>1.8</v>
      </c>
      <c r="L15" s="29">
        <v>0.2</v>
      </c>
      <c r="M15" s="27">
        <f t="shared" si="2"/>
        <v>0.20685566183167753</v>
      </c>
      <c r="N15" s="26">
        <v>0</v>
      </c>
      <c r="O15" s="29">
        <v>0.48</v>
      </c>
      <c r="P15" s="27">
        <f t="shared" si="3"/>
        <v>10.365046474324068</v>
      </c>
      <c r="Q15" s="26">
        <v>0</v>
      </c>
      <c r="R15" s="29">
        <v>0.48</v>
      </c>
      <c r="S15" s="27">
        <f t="shared" si="4"/>
        <v>2.8766014135290252</v>
      </c>
      <c r="T15" s="26">
        <v>1.6</v>
      </c>
    </row>
    <row r="16" spans="1:20" x14ac:dyDescent="0.3">
      <c r="A16" s="1">
        <f t="shared" si="6"/>
        <v>46232.499999999971</v>
      </c>
      <c r="B16" s="4">
        <v>1.5</v>
      </c>
      <c r="C16" s="29">
        <v>0.7</v>
      </c>
      <c r="D16" s="25">
        <f t="shared" si="0"/>
        <v>39.530953357904352</v>
      </c>
      <c r="E16" s="26">
        <v>0</v>
      </c>
      <c r="F16" s="29">
        <v>8.98</v>
      </c>
      <c r="G16" s="27">
        <f t="shared" si="1"/>
        <v>57.210654130826192</v>
      </c>
      <c r="H16" s="26">
        <v>0</v>
      </c>
      <c r="I16" s="29">
        <v>1.45</v>
      </c>
      <c r="J16" s="27">
        <f t="shared" si="5"/>
        <v>24.434441277084307</v>
      </c>
      <c r="K16" s="26">
        <v>4</v>
      </c>
      <c r="L16" s="29">
        <v>0.2</v>
      </c>
      <c r="M16" s="27">
        <f t="shared" si="2"/>
        <v>0.20685566183167753</v>
      </c>
      <c r="N16" s="26">
        <v>0</v>
      </c>
      <c r="O16" s="29">
        <v>0.44</v>
      </c>
      <c r="P16" s="27">
        <f t="shared" si="3"/>
        <v>9.1892368004139104</v>
      </c>
      <c r="Q16" s="26">
        <v>0.4</v>
      </c>
      <c r="R16" s="29">
        <v>0.48</v>
      </c>
      <c r="S16" s="27">
        <f t="shared" si="4"/>
        <v>2.8766014135290252</v>
      </c>
      <c r="T16" s="26">
        <v>0</v>
      </c>
    </row>
    <row r="17" spans="1:20" x14ac:dyDescent="0.3">
      <c r="A17" s="1">
        <f t="shared" si="6"/>
        <v>46232.541666666635</v>
      </c>
      <c r="B17" s="4">
        <v>1.8</v>
      </c>
      <c r="C17" s="29">
        <v>0.72</v>
      </c>
      <c r="D17" s="25">
        <f t="shared" si="0"/>
        <v>40.570149496750176</v>
      </c>
      <c r="E17" s="26">
        <v>0</v>
      </c>
      <c r="F17" s="29">
        <v>9.02</v>
      </c>
      <c r="G17" s="27">
        <f t="shared" si="1"/>
        <v>59.821005417797565</v>
      </c>
      <c r="H17" s="26">
        <v>0</v>
      </c>
      <c r="I17" s="29">
        <v>1.63</v>
      </c>
      <c r="J17" s="27">
        <f t="shared" si="5"/>
        <v>35.424093715214703</v>
      </c>
      <c r="K17" s="26">
        <v>0</v>
      </c>
      <c r="L17" s="29">
        <v>0.2</v>
      </c>
      <c r="M17" s="27">
        <f t="shared" si="2"/>
        <v>0.20685566183167753</v>
      </c>
      <c r="N17" s="26">
        <v>0</v>
      </c>
      <c r="O17" s="29">
        <v>0.68</v>
      </c>
      <c r="P17" s="27">
        <f t="shared" si="3"/>
        <v>16.783999689944796</v>
      </c>
      <c r="Q17" s="26">
        <v>0</v>
      </c>
      <c r="R17" s="29">
        <v>0.48</v>
      </c>
      <c r="S17" s="27">
        <f t="shared" si="4"/>
        <v>2.8766014135290252</v>
      </c>
      <c r="T17" s="26">
        <v>0</v>
      </c>
    </row>
    <row r="18" spans="1:20" x14ac:dyDescent="0.3">
      <c r="A18" s="1">
        <f t="shared" si="6"/>
        <v>46232.583333333299</v>
      </c>
      <c r="B18" s="4">
        <v>2</v>
      </c>
      <c r="C18" s="29">
        <v>0.72</v>
      </c>
      <c r="D18" s="25">
        <f t="shared" si="0"/>
        <v>40.570149496750176</v>
      </c>
      <c r="E18" s="26">
        <v>0</v>
      </c>
      <c r="F18" s="29">
        <v>9.0500000000000007</v>
      </c>
      <c r="G18" s="27">
        <f t="shared" si="1"/>
        <v>61.805466344232642</v>
      </c>
      <c r="H18" s="26">
        <v>0</v>
      </c>
      <c r="I18" s="29">
        <v>1.71</v>
      </c>
      <c r="J18" s="27">
        <f t="shared" si="5"/>
        <v>41.242298886671307</v>
      </c>
      <c r="K18" s="26">
        <v>0</v>
      </c>
      <c r="L18" s="29">
        <v>0.2</v>
      </c>
      <c r="M18" s="27">
        <f t="shared" si="2"/>
        <v>0.20685566183167753</v>
      </c>
      <c r="N18" s="26">
        <v>0</v>
      </c>
      <c r="O18" s="29">
        <v>0.71</v>
      </c>
      <c r="P18" s="27">
        <f t="shared" si="3"/>
        <v>17.817260609488788</v>
      </c>
      <c r="Q18" s="26">
        <v>0</v>
      </c>
      <c r="R18" s="29">
        <v>0.47</v>
      </c>
      <c r="S18" s="27">
        <f t="shared" si="4"/>
        <v>2.7926581615765333</v>
      </c>
      <c r="T18" s="26">
        <v>0</v>
      </c>
    </row>
    <row r="19" spans="1:20" x14ac:dyDescent="0.3">
      <c r="A19" s="1">
        <f t="shared" si="6"/>
        <v>46232.624999999964</v>
      </c>
      <c r="B19" s="4">
        <v>1.9</v>
      </c>
      <c r="C19" s="29">
        <v>0.74</v>
      </c>
      <c r="D19" s="25">
        <f t="shared" si="0"/>
        <v>41.619916315174329</v>
      </c>
      <c r="E19" s="26">
        <v>0</v>
      </c>
      <c r="F19" s="29">
        <v>9.06</v>
      </c>
      <c r="G19" s="27">
        <f t="shared" si="1"/>
        <v>62.471994578776211</v>
      </c>
      <c r="H19" s="26">
        <v>0</v>
      </c>
      <c r="I19" s="29">
        <v>1.71</v>
      </c>
      <c r="J19" s="27">
        <f t="shared" si="5"/>
        <v>41.242298886671307</v>
      </c>
      <c r="K19" s="26">
        <v>0</v>
      </c>
      <c r="L19" s="29">
        <v>0.2</v>
      </c>
      <c r="M19" s="27">
        <f t="shared" si="2"/>
        <v>0.20685566183167753</v>
      </c>
      <c r="N19" s="26">
        <v>0</v>
      </c>
      <c r="O19" s="29">
        <v>0.68</v>
      </c>
      <c r="P19" s="27">
        <f t="shared" si="3"/>
        <v>16.783999689944796</v>
      </c>
      <c r="Q19" s="26">
        <v>0</v>
      </c>
      <c r="R19" s="29">
        <v>0.47</v>
      </c>
      <c r="S19" s="27">
        <f t="shared" si="4"/>
        <v>2.7926581615765333</v>
      </c>
      <c r="T19" s="26">
        <v>0</v>
      </c>
    </row>
    <row r="20" spans="1:20" x14ac:dyDescent="0.3">
      <c r="A20" s="1">
        <f t="shared" si="6"/>
        <v>46232.666666666628</v>
      </c>
      <c r="B20" s="4">
        <v>1.7</v>
      </c>
      <c r="C20" s="29">
        <v>0.76</v>
      </c>
      <c r="D20" s="25">
        <f t="shared" si="0"/>
        <v>42.680196229093255</v>
      </c>
      <c r="E20" s="26">
        <v>0</v>
      </c>
      <c r="F20" s="29">
        <v>9.0500000000000007</v>
      </c>
      <c r="G20" s="27">
        <f t="shared" si="1"/>
        <v>61.805466344232642</v>
      </c>
      <c r="H20" s="26">
        <v>0</v>
      </c>
      <c r="I20" s="29">
        <v>1.45</v>
      </c>
      <c r="J20" s="27">
        <f t="shared" si="5"/>
        <v>24.434441277084307</v>
      </c>
      <c r="K20" s="26">
        <v>0</v>
      </c>
      <c r="L20" s="29">
        <v>0.2</v>
      </c>
      <c r="M20" s="27">
        <f t="shared" si="2"/>
        <v>0.20685566183167753</v>
      </c>
      <c r="N20" s="26">
        <v>0</v>
      </c>
      <c r="O20" s="29">
        <v>0.65</v>
      </c>
      <c r="P20" s="27">
        <f t="shared" si="3"/>
        <v>15.768091533334557</v>
      </c>
      <c r="Q20" s="26">
        <v>0</v>
      </c>
      <c r="R20" s="29">
        <v>0.46</v>
      </c>
      <c r="S20" s="27">
        <f t="shared" si="4"/>
        <v>2.7103325533560008</v>
      </c>
      <c r="T20" s="26">
        <v>0</v>
      </c>
    </row>
    <row r="21" spans="1:20" x14ac:dyDescent="0.3">
      <c r="A21" s="1">
        <f t="shared" si="6"/>
        <v>46232.708333333292</v>
      </c>
      <c r="B21" s="4">
        <v>1.4</v>
      </c>
      <c r="C21" s="29">
        <v>0.76</v>
      </c>
      <c r="D21" s="25">
        <f t="shared" si="0"/>
        <v>42.680196229093255</v>
      </c>
      <c r="E21" s="26">
        <v>0</v>
      </c>
      <c r="F21" s="29">
        <v>8.98</v>
      </c>
      <c r="G21" s="27">
        <f t="shared" si="1"/>
        <v>57.210654130826192</v>
      </c>
      <c r="H21" s="26">
        <v>0</v>
      </c>
      <c r="I21" s="29">
        <v>1.43</v>
      </c>
      <c r="J21" s="27">
        <f t="shared" si="5"/>
        <v>23.380702711634079</v>
      </c>
      <c r="K21" s="26">
        <v>0</v>
      </c>
      <c r="L21" s="29">
        <v>0.2</v>
      </c>
      <c r="M21" s="27">
        <f t="shared" si="2"/>
        <v>0.20685566183167753</v>
      </c>
      <c r="N21" s="26">
        <v>0</v>
      </c>
      <c r="O21" s="29">
        <v>0.64</v>
      </c>
      <c r="P21" s="27">
        <f t="shared" si="3"/>
        <v>15.433395207033694</v>
      </c>
      <c r="Q21" s="26">
        <v>0</v>
      </c>
      <c r="R21" s="29">
        <v>0.46</v>
      </c>
      <c r="S21" s="27">
        <f t="shared" si="4"/>
        <v>2.7103325533560008</v>
      </c>
      <c r="T21" s="26">
        <v>0</v>
      </c>
    </row>
    <row r="22" spans="1:20" x14ac:dyDescent="0.3">
      <c r="A22" s="1">
        <f t="shared" si="6"/>
        <v>46232.749999999956</v>
      </c>
      <c r="B22" s="4">
        <v>1.2</v>
      </c>
      <c r="C22" s="29">
        <v>0.77</v>
      </c>
      <c r="D22" s="25">
        <f t="shared" si="0"/>
        <v>43.21426092724483</v>
      </c>
      <c r="E22" s="26">
        <v>0</v>
      </c>
      <c r="F22" s="29">
        <v>8.9</v>
      </c>
      <c r="G22" s="27">
        <f t="shared" si="1"/>
        <v>52.114061577663563</v>
      </c>
      <c r="H22" s="26">
        <v>0</v>
      </c>
      <c r="I22" s="29">
        <v>1.7</v>
      </c>
      <c r="J22" s="27">
        <f t="shared" si="5"/>
        <v>40.481662713133296</v>
      </c>
      <c r="K22" s="26">
        <v>0</v>
      </c>
      <c r="L22" s="29">
        <v>0.2</v>
      </c>
      <c r="M22" s="27">
        <f t="shared" si="2"/>
        <v>0.20685566183167753</v>
      </c>
      <c r="N22" s="26">
        <v>0</v>
      </c>
      <c r="O22" s="29">
        <v>0.61</v>
      </c>
      <c r="P22" s="27">
        <f t="shared" si="3"/>
        <v>14.441391946428789</v>
      </c>
      <c r="Q22" s="26">
        <v>0</v>
      </c>
      <c r="R22" s="29">
        <v>0.46</v>
      </c>
      <c r="S22" s="27">
        <f t="shared" si="4"/>
        <v>2.7103325533560008</v>
      </c>
      <c r="T22" s="26">
        <v>0</v>
      </c>
    </row>
    <row r="23" spans="1:20" x14ac:dyDescent="0.3">
      <c r="A23" s="1">
        <f t="shared" si="6"/>
        <v>46232.791666666621</v>
      </c>
      <c r="B23" s="4">
        <v>1</v>
      </c>
      <c r="C23" s="29">
        <v>0.77</v>
      </c>
      <c r="D23" s="25">
        <f t="shared" si="0"/>
        <v>43.21426092724483</v>
      </c>
      <c r="E23" s="26">
        <v>0</v>
      </c>
      <c r="F23" s="29">
        <v>8.86</v>
      </c>
      <c r="G23" s="27">
        <f t="shared" si="1"/>
        <v>49.628979789594709</v>
      </c>
      <c r="H23" s="26">
        <v>0</v>
      </c>
      <c r="I23" s="29">
        <v>1.8</v>
      </c>
      <c r="J23" s="27">
        <f t="shared" si="5"/>
        <v>48.533980852738132</v>
      </c>
      <c r="K23" s="26">
        <v>0</v>
      </c>
      <c r="L23" s="29">
        <v>0.2</v>
      </c>
      <c r="M23" s="27">
        <f t="shared" si="2"/>
        <v>0.20685566183167753</v>
      </c>
      <c r="N23" s="26">
        <v>0</v>
      </c>
      <c r="O23" s="29">
        <v>0.56999999999999995</v>
      </c>
      <c r="P23" s="27">
        <f t="shared" si="3"/>
        <v>13.147683917799467</v>
      </c>
      <c r="Q23" s="26">
        <v>0</v>
      </c>
      <c r="R23" s="29">
        <v>0.46</v>
      </c>
      <c r="S23" s="27">
        <f t="shared" si="4"/>
        <v>2.7103325533560008</v>
      </c>
      <c r="T23" s="26">
        <v>0</v>
      </c>
    </row>
    <row r="24" spans="1:20" x14ac:dyDescent="0.3">
      <c r="A24" s="1">
        <f t="shared" si="6"/>
        <v>46232.833333333285</v>
      </c>
      <c r="B24" s="4">
        <v>0.9</v>
      </c>
      <c r="C24" s="29">
        <v>0.76</v>
      </c>
      <c r="D24" s="25">
        <f t="shared" si="0"/>
        <v>42.680196229093255</v>
      </c>
      <c r="E24" s="26">
        <v>0</v>
      </c>
      <c r="F24" s="29">
        <v>8.85</v>
      </c>
      <c r="G24" s="27">
        <f t="shared" si="1"/>
        <v>49.014397082337581</v>
      </c>
      <c r="H24" s="26">
        <v>0</v>
      </c>
      <c r="I24" s="29">
        <v>1.8</v>
      </c>
      <c r="J24" s="27">
        <f t="shared" si="5"/>
        <v>48.533980852738132</v>
      </c>
      <c r="K24" s="26">
        <v>0</v>
      </c>
      <c r="L24" s="29">
        <v>0.2</v>
      </c>
      <c r="M24" s="27">
        <f t="shared" si="2"/>
        <v>0.20685566183167753</v>
      </c>
      <c r="N24" s="26">
        <v>0</v>
      </c>
      <c r="O24" s="29">
        <v>0.64</v>
      </c>
      <c r="P24" s="27">
        <f t="shared" si="3"/>
        <v>15.433395207033694</v>
      </c>
      <c r="Q24" s="26">
        <v>0</v>
      </c>
      <c r="R24" s="29">
        <v>0.44</v>
      </c>
      <c r="S24" s="27">
        <f t="shared" si="4"/>
        <v>2.5504750137381222</v>
      </c>
      <c r="T24" s="26">
        <v>0</v>
      </c>
    </row>
    <row r="25" spans="1:20" x14ac:dyDescent="0.3">
      <c r="A25" s="1">
        <f t="shared" si="6"/>
        <v>46232.874999999949</v>
      </c>
      <c r="B25" s="4">
        <v>0.8</v>
      </c>
      <c r="C25" s="29">
        <v>0.73</v>
      </c>
      <c r="D25" s="25">
        <f t="shared" si="0"/>
        <v>41.093715198318087</v>
      </c>
      <c r="E25" s="26">
        <v>0</v>
      </c>
      <c r="F25" s="29">
        <v>8.9</v>
      </c>
      <c r="G25" s="27">
        <f t="shared" si="1"/>
        <v>52.114061577663563</v>
      </c>
      <c r="H25" s="26">
        <v>0</v>
      </c>
      <c r="I25" s="29">
        <v>1.77</v>
      </c>
      <c r="J25" s="27">
        <f t="shared" si="5"/>
        <v>46.012821040545028</v>
      </c>
      <c r="K25" s="26">
        <v>0</v>
      </c>
      <c r="L25" s="29">
        <v>0.32</v>
      </c>
      <c r="M25" s="27">
        <f t="shared" si="2"/>
        <v>0.88670606953344155</v>
      </c>
      <c r="N25" s="26">
        <v>0</v>
      </c>
      <c r="O25" s="29">
        <v>0.76</v>
      </c>
      <c r="P25" s="27">
        <f t="shared" si="3"/>
        <v>19.576699676476153</v>
      </c>
      <c r="Q25" s="26">
        <v>0</v>
      </c>
      <c r="R25" s="29">
        <v>0.44</v>
      </c>
      <c r="S25" s="27">
        <f t="shared" si="4"/>
        <v>2.5504750137381222</v>
      </c>
      <c r="T25" s="26">
        <v>0</v>
      </c>
    </row>
    <row r="26" spans="1:20" x14ac:dyDescent="0.3">
      <c r="A26" s="1">
        <f t="shared" si="6"/>
        <v>46232.916666666613</v>
      </c>
      <c r="B26" s="4">
        <v>0.7</v>
      </c>
      <c r="C26" s="29">
        <v>0.69</v>
      </c>
      <c r="D26" s="25">
        <f t="shared" si="0"/>
        <v>39.015337623392981</v>
      </c>
      <c r="E26" s="26">
        <v>0</v>
      </c>
      <c r="F26" s="29">
        <v>8.98</v>
      </c>
      <c r="G26" s="27">
        <f t="shared" si="1"/>
        <v>57.210654130826192</v>
      </c>
      <c r="H26" s="26">
        <v>0</v>
      </c>
      <c r="I26" s="29">
        <v>1.77</v>
      </c>
      <c r="J26" s="27">
        <f t="shared" si="5"/>
        <v>46.012821040545028</v>
      </c>
      <c r="K26" s="26">
        <v>0</v>
      </c>
      <c r="L26" s="29">
        <v>0.39</v>
      </c>
      <c r="M26" s="27">
        <f t="shared" si="2"/>
        <v>1.4765702587318628</v>
      </c>
      <c r="N26" s="26">
        <v>0</v>
      </c>
      <c r="O26" s="29">
        <v>0.65</v>
      </c>
      <c r="P26" s="27">
        <f t="shared" si="3"/>
        <v>15.768091533334557</v>
      </c>
      <c r="Q26" s="26">
        <v>0</v>
      </c>
      <c r="R26" s="29">
        <v>0.44</v>
      </c>
      <c r="S26" s="27">
        <f t="shared" si="4"/>
        <v>2.5504750137381222</v>
      </c>
      <c r="T26" s="26">
        <v>0</v>
      </c>
    </row>
    <row r="27" spans="1:20" x14ac:dyDescent="0.3">
      <c r="A27" s="1">
        <f t="shared" si="6"/>
        <v>46232.958333333278</v>
      </c>
      <c r="B27" s="4">
        <v>0.7</v>
      </c>
      <c r="C27" s="29">
        <v>0.67</v>
      </c>
      <c r="D27" s="25">
        <f t="shared" si="0"/>
        <v>37.992108177067628</v>
      </c>
      <c r="E27" s="26">
        <v>0</v>
      </c>
      <c r="F27" s="29">
        <v>9.0299999999999994</v>
      </c>
      <c r="G27" s="27">
        <f t="shared" si="1"/>
        <v>60.479963625627157</v>
      </c>
      <c r="H27" s="26">
        <v>0</v>
      </c>
      <c r="I27" s="29">
        <v>1.8</v>
      </c>
      <c r="J27" s="27">
        <f t="shared" si="5"/>
        <v>48.533980852738132</v>
      </c>
      <c r="K27" s="26">
        <v>0</v>
      </c>
      <c r="L27" s="29">
        <v>0.42</v>
      </c>
      <c r="M27" s="27">
        <f t="shared" si="2"/>
        <v>1.770819404983436</v>
      </c>
      <c r="N27" s="26">
        <v>0</v>
      </c>
      <c r="O27" s="29">
        <v>0.53</v>
      </c>
      <c r="P27" s="27">
        <f t="shared" si="3"/>
        <v>11.888377244988892</v>
      </c>
      <c r="Q27" s="26">
        <v>0</v>
      </c>
      <c r="R27" s="29">
        <v>0.44</v>
      </c>
      <c r="S27" s="27">
        <f t="shared" si="4"/>
        <v>2.5504750137381222</v>
      </c>
      <c r="T27" s="26">
        <v>0</v>
      </c>
    </row>
    <row r="28" spans="1:20" x14ac:dyDescent="0.3">
      <c r="A28" s="1">
        <f t="shared" si="6"/>
        <v>46232.999999999942</v>
      </c>
      <c r="B28" s="4">
        <v>0.7</v>
      </c>
      <c r="C28" s="29">
        <v>0.66</v>
      </c>
      <c r="D28" s="25">
        <f t="shared" si="0"/>
        <v>37.484509651125741</v>
      </c>
      <c r="E28" s="26">
        <v>0</v>
      </c>
      <c r="F28" s="29">
        <v>8.9700000000000006</v>
      </c>
      <c r="G28" s="27">
        <f t="shared" si="1"/>
        <v>56.564479118227055</v>
      </c>
      <c r="H28" s="26">
        <v>0</v>
      </c>
      <c r="I28" s="29">
        <v>1.57</v>
      </c>
      <c r="J28" s="27">
        <f t="shared" si="5"/>
        <v>31.448679698832702</v>
      </c>
      <c r="K28" s="26">
        <v>0</v>
      </c>
      <c r="L28" s="29">
        <v>0.41</v>
      </c>
      <c r="M28" s="27">
        <f t="shared" si="2"/>
        <v>1.6700177966385283</v>
      </c>
      <c r="N28" s="26">
        <v>0</v>
      </c>
      <c r="O28" s="29">
        <v>0.5</v>
      </c>
      <c r="P28" s="27">
        <f t="shared" si="3"/>
        <v>10.96741611661685</v>
      </c>
      <c r="Q28" s="26">
        <v>0</v>
      </c>
      <c r="R28" s="29">
        <v>0.44</v>
      </c>
      <c r="S28" s="27">
        <f t="shared" si="4"/>
        <v>2.5504750137381222</v>
      </c>
      <c r="T28" s="26">
        <v>0</v>
      </c>
    </row>
    <row r="29" spans="1:20" x14ac:dyDescent="0.3">
      <c r="A29" s="1">
        <f t="shared" si="6"/>
        <v>46233.041666666606</v>
      </c>
      <c r="B29" s="4">
        <v>1.2</v>
      </c>
      <c r="C29" s="29">
        <v>0.66</v>
      </c>
      <c r="D29" s="25">
        <f t="shared" si="0"/>
        <v>37.484509651125741</v>
      </c>
      <c r="E29" s="26">
        <v>0</v>
      </c>
      <c r="F29" s="29">
        <v>8.9700000000000006</v>
      </c>
      <c r="G29" s="27">
        <f t="shared" si="1"/>
        <v>56.564479118227055</v>
      </c>
      <c r="H29" s="26">
        <v>0</v>
      </c>
      <c r="I29" s="29">
        <v>1.57</v>
      </c>
      <c r="J29" s="27">
        <f t="shared" si="5"/>
        <v>31.448679698832702</v>
      </c>
      <c r="K29" s="26">
        <v>0</v>
      </c>
      <c r="L29" s="29">
        <v>0.4</v>
      </c>
      <c r="M29" s="27">
        <f t="shared" si="2"/>
        <v>1.5719301671856853</v>
      </c>
      <c r="N29" s="26">
        <v>0</v>
      </c>
      <c r="O29" s="29">
        <v>0.45</v>
      </c>
      <c r="P29" s="27">
        <f t="shared" si="3"/>
        <v>9.4794929078407559</v>
      </c>
      <c r="Q29" s="26">
        <v>0</v>
      </c>
      <c r="R29" s="29">
        <v>0.44</v>
      </c>
      <c r="S29" s="27">
        <f t="shared" si="4"/>
        <v>2.5504750137381222</v>
      </c>
      <c r="T29" s="26">
        <v>0</v>
      </c>
    </row>
    <row r="30" spans="1:20" x14ac:dyDescent="0.3">
      <c r="A30" s="1">
        <f t="shared" si="6"/>
        <v>46233.08333333327</v>
      </c>
      <c r="B30" s="4">
        <v>1.5</v>
      </c>
      <c r="C30" s="29">
        <v>0.68</v>
      </c>
      <c r="D30" s="25">
        <f t="shared" si="0"/>
        <v>38.50238671260351</v>
      </c>
      <c r="E30" s="26">
        <v>0</v>
      </c>
      <c r="F30" s="29">
        <v>9.08</v>
      </c>
      <c r="G30" s="27">
        <f t="shared" si="1"/>
        <v>63.812564725327</v>
      </c>
      <c r="H30" s="26">
        <v>0</v>
      </c>
      <c r="I30" s="29">
        <v>1.57</v>
      </c>
      <c r="J30" s="27">
        <f t="shared" si="5"/>
        <v>31.448679698832702</v>
      </c>
      <c r="K30" s="26">
        <v>0</v>
      </c>
      <c r="L30" s="29">
        <v>0.35</v>
      </c>
      <c r="M30" s="27">
        <f t="shared" si="2"/>
        <v>1.1227024450032077</v>
      </c>
      <c r="N30" s="26">
        <v>0</v>
      </c>
      <c r="O30" s="29">
        <v>0.43</v>
      </c>
      <c r="P30" s="27">
        <f t="shared" si="3"/>
        <v>8.9015016823120501</v>
      </c>
      <c r="Q30" s="26">
        <v>0</v>
      </c>
      <c r="R30" s="29">
        <v>0.43</v>
      </c>
      <c r="S30" s="27">
        <f t="shared" si="4"/>
        <v>2.4729134115373199</v>
      </c>
      <c r="T30" s="26">
        <v>0</v>
      </c>
    </row>
    <row r="31" spans="1:20" x14ac:dyDescent="0.3">
      <c r="A31" s="1">
        <f t="shared" si="6"/>
        <v>46233.124999999935</v>
      </c>
      <c r="B31" s="4">
        <v>1.6</v>
      </c>
      <c r="C31" s="29">
        <v>0.71</v>
      </c>
      <c r="D31" s="25">
        <f t="shared" si="0"/>
        <v>40.049226445864555</v>
      </c>
      <c r="E31" s="26">
        <v>0</v>
      </c>
      <c r="F31" s="29">
        <v>9.16</v>
      </c>
      <c r="G31" s="27">
        <f t="shared" si="1"/>
        <v>69.273889643730769</v>
      </c>
      <c r="H31" s="26">
        <v>0</v>
      </c>
      <c r="I31" s="29">
        <v>1.57</v>
      </c>
      <c r="J31" s="27">
        <f t="shared" si="5"/>
        <v>31.448679698832702</v>
      </c>
      <c r="K31" s="26">
        <v>0</v>
      </c>
      <c r="L31" s="29">
        <v>0.33</v>
      </c>
      <c r="M31" s="27">
        <f t="shared" si="2"/>
        <v>0.96253603570002277</v>
      </c>
      <c r="N31" s="26">
        <v>0</v>
      </c>
      <c r="O31" s="29">
        <v>0.46</v>
      </c>
      <c r="P31" s="27">
        <f t="shared" si="3"/>
        <v>9.7722353304186864</v>
      </c>
      <c r="Q31" s="26">
        <v>0</v>
      </c>
      <c r="R31" s="29">
        <v>0.43</v>
      </c>
      <c r="S31" s="27">
        <f t="shared" si="4"/>
        <v>2.4729134115373199</v>
      </c>
      <c r="T31" s="26">
        <v>0</v>
      </c>
    </row>
    <row r="32" spans="1:20" x14ac:dyDescent="0.3">
      <c r="A32" s="1">
        <f t="shared" si="6"/>
        <v>46233.166666666599</v>
      </c>
      <c r="B32" s="4">
        <v>1.3</v>
      </c>
      <c r="C32" s="29">
        <v>0.73</v>
      </c>
      <c r="D32" s="25">
        <f t="shared" si="0"/>
        <v>41.093715198318087</v>
      </c>
      <c r="E32" s="26">
        <v>0</v>
      </c>
      <c r="F32" s="29">
        <v>9.1999999999999993</v>
      </c>
      <c r="G32" s="27">
        <f t="shared" si="1"/>
        <v>72.063140844477729</v>
      </c>
      <c r="H32" s="26">
        <v>0</v>
      </c>
      <c r="I32" s="29">
        <v>1.57</v>
      </c>
      <c r="J32" s="27">
        <f t="shared" si="5"/>
        <v>31.448679698832702</v>
      </c>
      <c r="K32" s="26">
        <v>0</v>
      </c>
      <c r="L32" s="29">
        <v>0.3</v>
      </c>
      <c r="M32" s="27">
        <f t="shared" si="2"/>
        <v>0.74365034615895032</v>
      </c>
      <c r="N32" s="26">
        <v>0</v>
      </c>
      <c r="O32" s="29">
        <v>0.46</v>
      </c>
      <c r="P32" s="27">
        <f t="shared" si="3"/>
        <v>9.7722353304186864</v>
      </c>
      <c r="Q32" s="26">
        <v>0</v>
      </c>
      <c r="R32" s="29">
        <v>0.43</v>
      </c>
      <c r="S32" s="27">
        <f t="shared" si="4"/>
        <v>2.4729134115373199</v>
      </c>
      <c r="T32" s="26">
        <v>0</v>
      </c>
    </row>
    <row r="33" spans="1:20" x14ac:dyDescent="0.3">
      <c r="A33" s="1">
        <f t="shared" si="6"/>
        <v>46233.208333333263</v>
      </c>
      <c r="B33" s="4">
        <v>1</v>
      </c>
      <c r="C33" s="29">
        <v>0.74</v>
      </c>
      <c r="D33" s="25">
        <f t="shared" si="0"/>
        <v>41.619916315174329</v>
      </c>
      <c r="E33" s="26">
        <v>0</v>
      </c>
      <c r="F33" s="29">
        <v>9.18</v>
      </c>
      <c r="G33" s="27">
        <f t="shared" si="1"/>
        <v>70.663681298372936</v>
      </c>
      <c r="H33" s="26">
        <v>0</v>
      </c>
      <c r="I33" s="29">
        <v>1.57</v>
      </c>
      <c r="J33" s="27">
        <f t="shared" si="5"/>
        <v>31.448679698832702</v>
      </c>
      <c r="K33" s="26">
        <v>0</v>
      </c>
      <c r="L33" s="29">
        <v>0.28000000000000003</v>
      </c>
      <c r="M33" s="27">
        <f t="shared" si="2"/>
        <v>0.61221005308560861</v>
      </c>
      <c r="N33" s="26">
        <v>0</v>
      </c>
      <c r="O33" s="29">
        <v>0.51</v>
      </c>
      <c r="P33" s="27">
        <f t="shared" si="3"/>
        <v>11.272110541952166</v>
      </c>
      <c r="Q33" s="26">
        <v>0</v>
      </c>
      <c r="R33" s="29">
        <v>0.43</v>
      </c>
      <c r="S33" s="27">
        <f t="shared" si="4"/>
        <v>2.4729134115373199</v>
      </c>
      <c r="T33" s="26">
        <v>0</v>
      </c>
    </row>
    <row r="34" spans="1:20" x14ac:dyDescent="0.3">
      <c r="A34" s="1">
        <f t="shared" si="6"/>
        <v>46233.249999999927</v>
      </c>
      <c r="B34" s="4">
        <v>0.7</v>
      </c>
      <c r="C34" s="29">
        <v>0.76</v>
      </c>
      <c r="D34" s="25">
        <f t="shared" si="0"/>
        <v>42.680196229093255</v>
      </c>
      <c r="E34" s="26">
        <v>0</v>
      </c>
      <c r="F34" s="29">
        <v>9.16</v>
      </c>
      <c r="G34" s="27">
        <f t="shared" si="1"/>
        <v>69.273889643730769</v>
      </c>
      <c r="H34" s="26">
        <v>0</v>
      </c>
      <c r="I34" s="29">
        <v>1.57</v>
      </c>
      <c r="J34" s="27">
        <f t="shared" si="5"/>
        <v>31.448679698832702</v>
      </c>
      <c r="K34" s="26">
        <v>0</v>
      </c>
      <c r="L34" s="29">
        <v>0.25</v>
      </c>
      <c r="M34" s="27">
        <f t="shared" si="2"/>
        <v>0.43725207251752263</v>
      </c>
      <c r="N34" s="26">
        <v>0</v>
      </c>
      <c r="O34" s="29">
        <v>0.42</v>
      </c>
      <c r="P34" s="27">
        <f t="shared" si="3"/>
        <v>8.6163235255389186</v>
      </c>
      <c r="Q34" s="26">
        <v>0</v>
      </c>
      <c r="R34" s="29">
        <v>0.43</v>
      </c>
      <c r="S34" s="27">
        <f t="shared" si="4"/>
        <v>2.4729134115373199</v>
      </c>
      <c r="T34" s="26">
        <v>0</v>
      </c>
    </row>
    <row r="35" spans="1:20" x14ac:dyDescent="0.3">
      <c r="A35" s="1">
        <f t="shared" si="6"/>
        <v>46233.291666666591</v>
      </c>
      <c r="B35" s="4">
        <v>0.5</v>
      </c>
      <c r="C35" s="29">
        <v>0.78</v>
      </c>
      <c r="D35" s="25">
        <f t="shared" si="0"/>
        <v>43.750932840248488</v>
      </c>
      <c r="E35" s="26">
        <v>0</v>
      </c>
      <c r="F35" s="29">
        <v>9.1</v>
      </c>
      <c r="G35" s="27">
        <f t="shared" si="1"/>
        <v>65.163100612571611</v>
      </c>
      <c r="H35" s="26">
        <v>0</v>
      </c>
      <c r="I35" s="29">
        <v>1.57</v>
      </c>
      <c r="J35" s="27">
        <f t="shared" si="5"/>
        <v>31.448679698832702</v>
      </c>
      <c r="K35" s="26">
        <v>0</v>
      </c>
      <c r="L35" s="29">
        <v>0.21</v>
      </c>
      <c r="M35" s="27">
        <f t="shared" si="2"/>
        <v>0.2466484037974217</v>
      </c>
      <c r="N35" s="26">
        <v>0</v>
      </c>
      <c r="O35" s="29">
        <v>0.42</v>
      </c>
      <c r="P35" s="27">
        <f t="shared" si="3"/>
        <v>8.6163235255389186</v>
      </c>
      <c r="Q35" s="26">
        <v>0</v>
      </c>
      <c r="R35" s="29">
        <v>0.43</v>
      </c>
      <c r="S35" s="27">
        <f t="shared" si="4"/>
        <v>2.4729134115373199</v>
      </c>
      <c r="T35" s="26">
        <v>0</v>
      </c>
    </row>
    <row r="36" spans="1:20" x14ac:dyDescent="0.3">
      <c r="A36" s="1">
        <f t="shared" si="6"/>
        <v>46233.333333333256</v>
      </c>
      <c r="B36" s="4">
        <v>0.4</v>
      </c>
      <c r="C36" s="29">
        <v>0.79</v>
      </c>
      <c r="D36" s="25">
        <f t="shared" si="0"/>
        <v>44.290205096742746</v>
      </c>
      <c r="E36" s="26">
        <v>0</v>
      </c>
      <c r="F36" s="29">
        <v>9.0299999999999994</v>
      </c>
      <c r="G36" s="27">
        <f t="shared" si="1"/>
        <v>60.479963625627157</v>
      </c>
      <c r="H36" s="26">
        <v>0</v>
      </c>
      <c r="I36" s="29">
        <v>1.56</v>
      </c>
      <c r="J36" s="27">
        <f t="shared" si="5"/>
        <v>30.817306179391267</v>
      </c>
      <c r="K36" s="26">
        <v>0</v>
      </c>
      <c r="L36" s="29">
        <v>0.21</v>
      </c>
      <c r="M36" s="27">
        <f t="shared" si="2"/>
        <v>0.2466484037974217</v>
      </c>
      <c r="N36" s="26">
        <v>0</v>
      </c>
      <c r="O36" s="29">
        <v>0.41</v>
      </c>
      <c r="P36" s="27">
        <f t="shared" si="3"/>
        <v>8.3337396804343733</v>
      </c>
      <c r="Q36" s="26">
        <v>0</v>
      </c>
      <c r="R36" s="29">
        <v>0.43</v>
      </c>
      <c r="S36" s="27">
        <f t="shared" si="4"/>
        <v>2.4729134115373199</v>
      </c>
      <c r="T36" s="26">
        <v>0</v>
      </c>
    </row>
    <row r="37" spans="1:20" x14ac:dyDescent="0.3">
      <c r="A37" s="1">
        <f t="shared" si="6"/>
        <v>46233.37499999992</v>
      </c>
      <c r="B37" s="4">
        <v>0.5</v>
      </c>
      <c r="C37" s="29">
        <v>0.79</v>
      </c>
      <c r="D37" s="25">
        <f t="shared" si="0"/>
        <v>44.290205096742746</v>
      </c>
      <c r="E37" s="26">
        <v>0</v>
      </c>
      <c r="F37" s="29">
        <v>8.93</v>
      </c>
      <c r="G37" s="27">
        <f t="shared" si="1"/>
        <v>54.005691731732064</v>
      </c>
      <c r="H37" s="26">
        <v>0</v>
      </c>
      <c r="I37" s="29">
        <v>1.59</v>
      </c>
      <c r="J37" s="27">
        <f t="shared" si="5"/>
        <v>32.737901930706272</v>
      </c>
      <c r="K37" s="26">
        <v>0</v>
      </c>
      <c r="L37" s="29">
        <v>0.21</v>
      </c>
      <c r="M37" s="27">
        <f t="shared" si="2"/>
        <v>0.2466484037974217</v>
      </c>
      <c r="N37" s="26">
        <v>0</v>
      </c>
      <c r="O37" s="29">
        <v>0.41</v>
      </c>
      <c r="P37" s="27">
        <f t="shared" si="3"/>
        <v>8.3337396804343733</v>
      </c>
      <c r="Q37" s="26">
        <v>0</v>
      </c>
      <c r="R37" s="29">
        <v>0.43</v>
      </c>
      <c r="S37" s="27">
        <f t="shared" si="4"/>
        <v>2.4729134115373199</v>
      </c>
      <c r="T37" s="26">
        <v>0</v>
      </c>
    </row>
    <row r="38" spans="1:20" x14ac:dyDescent="0.3">
      <c r="A38" s="1">
        <f t="shared" si="6"/>
        <v>46233.416666666584</v>
      </c>
      <c r="B38" s="4">
        <v>0.6</v>
      </c>
      <c r="C38" s="29">
        <v>0.78</v>
      </c>
      <c r="D38" s="25">
        <f t="shared" si="0"/>
        <v>43.750932840248488</v>
      </c>
      <c r="E38" s="26">
        <v>0</v>
      </c>
      <c r="F38" s="29">
        <v>8.8800000000000008</v>
      </c>
      <c r="G38" s="27">
        <f t="shared" si="1"/>
        <v>50.86619003346506</v>
      </c>
      <c r="H38" s="26">
        <v>0</v>
      </c>
      <c r="I38" s="29">
        <v>1.2</v>
      </c>
      <c r="J38" s="27">
        <f t="shared" si="5"/>
        <v>13.401390659435847</v>
      </c>
      <c r="K38" s="26">
        <v>0</v>
      </c>
      <c r="L38" s="29">
        <v>0.2</v>
      </c>
      <c r="M38" s="27">
        <f t="shared" si="2"/>
        <v>0.20685566183167753</v>
      </c>
      <c r="N38" s="26">
        <v>0.8</v>
      </c>
      <c r="O38" s="29">
        <v>0.45</v>
      </c>
      <c r="P38" s="27">
        <f t="shared" si="3"/>
        <v>9.4794929078407559</v>
      </c>
      <c r="Q38" s="26">
        <v>0</v>
      </c>
      <c r="R38" s="29">
        <v>0.43</v>
      </c>
      <c r="S38" s="27">
        <f t="shared" si="4"/>
        <v>2.4729134115373199</v>
      </c>
      <c r="T38" s="26">
        <v>0</v>
      </c>
    </row>
    <row r="39" spans="1:20" x14ac:dyDescent="0.3">
      <c r="A39" s="1">
        <f t="shared" si="6"/>
        <v>46233.458333333248</v>
      </c>
      <c r="B39" s="4">
        <v>0.9</v>
      </c>
      <c r="C39" s="29">
        <v>0.75</v>
      </c>
      <c r="D39" s="25">
        <f t="shared" si="0"/>
        <v>42.148745687380078</v>
      </c>
      <c r="E39" s="26">
        <v>0</v>
      </c>
      <c r="F39" s="29">
        <v>8.85</v>
      </c>
      <c r="G39" s="27">
        <f t="shared" si="1"/>
        <v>49.014397082337581</v>
      </c>
      <c r="H39" s="26">
        <v>0</v>
      </c>
      <c r="I39" s="29">
        <v>1.4</v>
      </c>
      <c r="J39" s="27">
        <f t="shared" si="5"/>
        <v>21.85910030643381</v>
      </c>
      <c r="K39" s="26">
        <v>0</v>
      </c>
      <c r="L39" s="29">
        <v>0.2</v>
      </c>
      <c r="M39" s="27">
        <f t="shared" si="2"/>
        <v>0.20685566183167753</v>
      </c>
      <c r="N39" s="26">
        <v>0</v>
      </c>
      <c r="O39" s="29">
        <v>0.47</v>
      </c>
      <c r="P39" s="27">
        <f t="shared" si="3"/>
        <v>10.067430617655603</v>
      </c>
      <c r="Q39" s="26">
        <v>0</v>
      </c>
      <c r="R39" s="29">
        <v>0.43</v>
      </c>
      <c r="S39" s="27">
        <f t="shared" si="4"/>
        <v>2.4729134115373199</v>
      </c>
      <c r="T39" s="26">
        <v>0</v>
      </c>
    </row>
    <row r="40" spans="1:20" x14ac:dyDescent="0.3">
      <c r="A40" s="1">
        <f t="shared" si="6"/>
        <v>46233.499999999913</v>
      </c>
      <c r="B40" s="4">
        <v>1.4</v>
      </c>
      <c r="C40" s="29">
        <v>0.72</v>
      </c>
      <c r="D40" s="25">
        <f t="shared" si="0"/>
        <v>40.570149496750176</v>
      </c>
      <c r="E40" s="26">
        <v>0</v>
      </c>
      <c r="F40" s="29">
        <v>8.83</v>
      </c>
      <c r="G40" s="27">
        <f t="shared" si="1"/>
        <v>47.793326362270719</v>
      </c>
      <c r="H40" s="26">
        <v>0</v>
      </c>
      <c r="I40" s="29">
        <v>1.43</v>
      </c>
      <c r="J40" s="27">
        <f t="shared" si="5"/>
        <v>23.380702711634079</v>
      </c>
      <c r="K40" s="26">
        <v>1</v>
      </c>
      <c r="L40" s="29">
        <v>0.2</v>
      </c>
      <c r="M40" s="27">
        <f t="shared" si="2"/>
        <v>0.20685566183167753</v>
      </c>
      <c r="N40" s="26">
        <v>0</v>
      </c>
      <c r="O40" s="29">
        <v>0.42</v>
      </c>
      <c r="P40" s="27">
        <f t="shared" si="3"/>
        <v>8.6163235255389186</v>
      </c>
      <c r="Q40" s="26">
        <v>0</v>
      </c>
      <c r="R40" s="29">
        <v>0.43</v>
      </c>
      <c r="S40" s="27">
        <f t="shared" si="4"/>
        <v>2.4729134115373199</v>
      </c>
      <c r="T40" s="26">
        <v>0</v>
      </c>
    </row>
    <row r="41" spans="1:20" x14ac:dyDescent="0.3">
      <c r="A41" s="1">
        <f t="shared" si="6"/>
        <v>46233.541666666577</v>
      </c>
      <c r="B41" s="4">
        <v>1.5</v>
      </c>
      <c r="C41" s="29">
        <v>0.69</v>
      </c>
      <c r="D41" s="25">
        <f t="shared" si="0"/>
        <v>39.015337623392981</v>
      </c>
      <c r="E41" s="26">
        <v>0</v>
      </c>
      <c r="F41" s="29">
        <v>8.83</v>
      </c>
      <c r="G41" s="27">
        <f t="shared" si="1"/>
        <v>47.793326362270719</v>
      </c>
      <c r="H41" s="26">
        <v>0</v>
      </c>
      <c r="I41" s="29">
        <v>1.54</v>
      </c>
      <c r="J41" s="27">
        <f t="shared" si="5"/>
        <v>29.580705409444185</v>
      </c>
      <c r="K41" s="26">
        <v>0</v>
      </c>
      <c r="L41" s="29">
        <v>0.2</v>
      </c>
      <c r="M41" s="27">
        <f t="shared" si="2"/>
        <v>0.20685566183167753</v>
      </c>
      <c r="N41" s="26">
        <v>0</v>
      </c>
      <c r="O41" s="29">
        <v>0.39</v>
      </c>
      <c r="P41" s="27">
        <f t="shared" si="3"/>
        <v>7.776511751620137</v>
      </c>
      <c r="Q41" s="26">
        <v>0</v>
      </c>
      <c r="R41" s="29">
        <v>0.43</v>
      </c>
      <c r="S41" s="27">
        <f t="shared" si="4"/>
        <v>2.4729134115373199</v>
      </c>
      <c r="T41" s="26">
        <v>0</v>
      </c>
    </row>
    <row r="42" spans="1:20" x14ac:dyDescent="0.3">
      <c r="A42" s="1">
        <f t="shared" si="6"/>
        <v>46233.583333333241</v>
      </c>
      <c r="B42" s="4">
        <v>2.1</v>
      </c>
      <c r="C42" s="29">
        <v>0.66</v>
      </c>
      <c r="D42" s="25">
        <f t="shared" si="0"/>
        <v>37.484509651125741</v>
      </c>
      <c r="E42" s="26">
        <v>0</v>
      </c>
      <c r="F42" s="29">
        <v>8.7899999999999991</v>
      </c>
      <c r="G42" s="27">
        <f t="shared" si="1"/>
        <v>45.383850550762737</v>
      </c>
      <c r="H42" s="26">
        <v>0</v>
      </c>
      <c r="I42" s="29">
        <v>1.7</v>
      </c>
      <c r="J42" s="27">
        <f t="shared" si="5"/>
        <v>40.481662713133296</v>
      </c>
      <c r="K42" s="26">
        <v>0</v>
      </c>
      <c r="L42" s="29">
        <v>0.2</v>
      </c>
      <c r="M42" s="27">
        <f t="shared" si="2"/>
        <v>0.20685566183167753</v>
      </c>
      <c r="N42" s="26">
        <v>0</v>
      </c>
      <c r="O42" s="29">
        <v>0.37</v>
      </c>
      <c r="P42" s="27">
        <f t="shared" si="3"/>
        <v>7.2301477979253761</v>
      </c>
      <c r="Q42" s="26">
        <v>0</v>
      </c>
      <c r="R42" s="29">
        <v>0.43</v>
      </c>
      <c r="S42" s="27">
        <f t="shared" si="4"/>
        <v>2.4729134115373199</v>
      </c>
      <c r="T42" s="26">
        <v>0</v>
      </c>
    </row>
    <row r="43" spans="1:20" x14ac:dyDescent="0.3">
      <c r="A43" s="1">
        <f t="shared" si="6"/>
        <v>46233.624999999905</v>
      </c>
      <c r="B43" s="4">
        <v>2.5</v>
      </c>
      <c r="C43" s="29">
        <v>0.64</v>
      </c>
      <c r="D43" s="25">
        <f t="shared" si="0"/>
        <v>36.477383589027653</v>
      </c>
      <c r="E43" s="26">
        <v>0</v>
      </c>
      <c r="F43" s="29">
        <v>8.7799999999999994</v>
      </c>
      <c r="G43" s="27">
        <f t="shared" si="1"/>
        <v>44.788348164654764</v>
      </c>
      <c r="H43" s="26">
        <v>4</v>
      </c>
      <c r="I43" s="29">
        <v>1.7</v>
      </c>
      <c r="J43" s="27">
        <f t="shared" si="5"/>
        <v>40.481662713133296</v>
      </c>
      <c r="K43" s="26">
        <v>0</v>
      </c>
      <c r="L43" s="29">
        <v>0.2</v>
      </c>
      <c r="M43" s="27">
        <f t="shared" si="2"/>
        <v>0.20685566183167753</v>
      </c>
      <c r="N43" s="26">
        <v>0</v>
      </c>
      <c r="O43" s="29">
        <v>0.37</v>
      </c>
      <c r="P43" s="27">
        <f t="shared" si="3"/>
        <v>7.2301477979253761</v>
      </c>
      <c r="Q43" s="26">
        <v>2.9</v>
      </c>
      <c r="R43" s="29">
        <v>0.43</v>
      </c>
      <c r="S43" s="27">
        <f t="shared" si="4"/>
        <v>2.4729134115373199</v>
      </c>
      <c r="T43" s="26">
        <v>0</v>
      </c>
    </row>
    <row r="44" spans="1:20" x14ac:dyDescent="0.3">
      <c r="A44" s="1">
        <f t="shared" si="6"/>
        <v>46233.66666666657</v>
      </c>
      <c r="B44" s="4">
        <v>2.4</v>
      </c>
      <c r="C44" s="29">
        <v>0.63</v>
      </c>
      <c r="D44" s="25">
        <f t="shared" si="0"/>
        <v>35.977871750149596</v>
      </c>
      <c r="E44" s="26">
        <v>0</v>
      </c>
      <c r="F44" s="29">
        <v>8.7799999999999994</v>
      </c>
      <c r="G44" s="27">
        <f t="shared" si="1"/>
        <v>44.788348164654764</v>
      </c>
      <c r="H44" s="26">
        <v>2.5</v>
      </c>
      <c r="I44" s="29">
        <v>1.7</v>
      </c>
      <c r="J44" s="27">
        <f t="shared" si="5"/>
        <v>40.481662713133296</v>
      </c>
      <c r="K44" s="26">
        <v>1.8</v>
      </c>
      <c r="L44" s="29">
        <v>0.2</v>
      </c>
      <c r="M44" s="27">
        <f t="shared" si="2"/>
        <v>0.20685566183167753</v>
      </c>
      <c r="N44" s="26">
        <v>0</v>
      </c>
      <c r="O44" s="29">
        <v>0.38</v>
      </c>
      <c r="P44" s="27">
        <f t="shared" si="3"/>
        <v>7.5019500888173445</v>
      </c>
      <c r="Q44" s="26">
        <v>0.6</v>
      </c>
      <c r="R44" s="29">
        <v>0.42</v>
      </c>
      <c r="S44" s="27">
        <f t="shared" si="4"/>
        <v>2.3969101110500004</v>
      </c>
      <c r="T44" s="26">
        <v>0</v>
      </c>
    </row>
    <row r="45" spans="1:20" x14ac:dyDescent="0.3">
      <c r="A45" s="1">
        <f t="shared" si="6"/>
        <v>46233.708333333234</v>
      </c>
      <c r="B45" s="4">
        <v>2</v>
      </c>
      <c r="C45" s="29">
        <v>0.63</v>
      </c>
      <c r="D45" s="25">
        <f t="shared" si="0"/>
        <v>35.977871750149596</v>
      </c>
      <c r="E45" s="26">
        <v>0</v>
      </c>
      <c r="F45" s="29">
        <v>8.75</v>
      </c>
      <c r="G45" s="27">
        <f t="shared" si="1"/>
        <v>43.018493968164293</v>
      </c>
      <c r="H45" s="26">
        <v>6</v>
      </c>
      <c r="I45" s="29">
        <v>1.8</v>
      </c>
      <c r="J45" s="27">
        <f t="shared" si="5"/>
        <v>48.533980852738132</v>
      </c>
      <c r="K45" s="26">
        <v>4</v>
      </c>
      <c r="L45" s="29">
        <v>0.31</v>
      </c>
      <c r="M45" s="27">
        <f t="shared" si="2"/>
        <v>0.81373731297056251</v>
      </c>
      <c r="N45" s="26">
        <v>0</v>
      </c>
      <c r="O45" s="29">
        <v>0.45</v>
      </c>
      <c r="P45" s="27">
        <f t="shared" si="3"/>
        <v>9.4794929078407559</v>
      </c>
      <c r="Q45" s="26">
        <v>0</v>
      </c>
      <c r="R45" s="29">
        <v>0.42</v>
      </c>
      <c r="S45" s="27">
        <f t="shared" si="4"/>
        <v>2.3969101110500004</v>
      </c>
      <c r="T45" s="26">
        <v>0</v>
      </c>
    </row>
    <row r="46" spans="1:20" x14ac:dyDescent="0.3">
      <c r="A46" s="1">
        <f t="shared" si="6"/>
        <v>46233.749999999898</v>
      </c>
      <c r="B46" s="4">
        <v>1.6</v>
      </c>
      <c r="C46" s="29">
        <v>0.62</v>
      </c>
      <c r="D46" s="25">
        <f t="shared" si="0"/>
        <v>35.481071318833266</v>
      </c>
      <c r="E46" s="26">
        <v>0</v>
      </c>
      <c r="F46" s="29">
        <v>8.73</v>
      </c>
      <c r="G46" s="27">
        <f t="shared" si="1"/>
        <v>41.852580349382897</v>
      </c>
      <c r="H46" s="26">
        <v>0</v>
      </c>
      <c r="I46" s="29">
        <v>1.72</v>
      </c>
      <c r="J46" s="27">
        <f t="shared" si="5"/>
        <v>42.012666647869629</v>
      </c>
      <c r="K46" s="26">
        <v>0</v>
      </c>
      <c r="L46" s="29">
        <v>0.4</v>
      </c>
      <c r="M46" s="27">
        <f t="shared" si="2"/>
        <v>1.5719301671856853</v>
      </c>
      <c r="N46" s="26">
        <v>0</v>
      </c>
      <c r="O46" s="29">
        <v>0.42</v>
      </c>
      <c r="P46" s="27">
        <f t="shared" si="3"/>
        <v>8.6163235255389186</v>
      </c>
      <c r="Q46" s="26">
        <v>0.7</v>
      </c>
      <c r="R46" s="29">
        <v>0.42</v>
      </c>
      <c r="S46" s="27">
        <f t="shared" si="4"/>
        <v>2.3969101110500004</v>
      </c>
      <c r="T46" s="26">
        <v>0.5</v>
      </c>
    </row>
    <row r="47" spans="1:20" x14ac:dyDescent="0.3">
      <c r="A47" s="1">
        <f t="shared" si="6"/>
        <v>46233.791666666562</v>
      </c>
      <c r="B47" s="4">
        <v>1.2</v>
      </c>
      <c r="C47" s="29">
        <v>0.6</v>
      </c>
      <c r="D47" s="25">
        <f t="shared" si="0"/>
        <v>34.495637064644583</v>
      </c>
      <c r="E47" s="26">
        <v>0</v>
      </c>
      <c r="F47" s="29">
        <v>8.69</v>
      </c>
      <c r="G47" s="27">
        <f t="shared" si="1"/>
        <v>39.554742528327012</v>
      </c>
      <c r="H47" s="26">
        <v>0</v>
      </c>
      <c r="I47" s="29">
        <v>1.91</v>
      </c>
      <c r="J47" s="27">
        <f t="shared" si="5"/>
        <v>58.587951696097662</v>
      </c>
      <c r="K47" s="26">
        <v>0</v>
      </c>
      <c r="L47" s="29">
        <v>0.39</v>
      </c>
      <c r="M47" s="27">
        <f t="shared" si="2"/>
        <v>1.4765702587318628</v>
      </c>
      <c r="N47" s="26">
        <v>0</v>
      </c>
      <c r="O47" s="29">
        <v>0.46</v>
      </c>
      <c r="P47" s="27">
        <f t="shared" si="3"/>
        <v>9.7722353304186864</v>
      </c>
      <c r="Q47" s="26">
        <v>0</v>
      </c>
      <c r="R47" s="29">
        <v>0.42</v>
      </c>
      <c r="S47" s="27">
        <f t="shared" si="4"/>
        <v>2.3969101110500004</v>
      </c>
      <c r="T47" s="26">
        <v>0</v>
      </c>
    </row>
    <row r="48" spans="1:20" x14ac:dyDescent="0.3">
      <c r="A48" s="1">
        <f t="shared" si="6"/>
        <v>46233.833333333227</v>
      </c>
      <c r="B48" s="4">
        <v>0.9</v>
      </c>
      <c r="C48" s="29">
        <v>0.57999999999999996</v>
      </c>
      <c r="D48" s="25">
        <f t="shared" si="0"/>
        <v>33.521146539891838</v>
      </c>
      <c r="E48" s="26">
        <v>0</v>
      </c>
      <c r="F48" s="29">
        <v>8.6300000000000008</v>
      </c>
      <c r="G48" s="27">
        <f t="shared" si="1"/>
        <v>36.19441500902974</v>
      </c>
      <c r="H48" s="26">
        <v>0</v>
      </c>
      <c r="I48" s="29">
        <v>1.95</v>
      </c>
      <c r="J48" s="27">
        <f t="shared" si="5"/>
        <v>62.571614866581143</v>
      </c>
      <c r="K48" s="26">
        <v>0.5</v>
      </c>
      <c r="L48" s="29">
        <v>0.39</v>
      </c>
      <c r="M48" s="27">
        <f t="shared" si="2"/>
        <v>1.4765702587318628</v>
      </c>
      <c r="N48" s="26">
        <v>0</v>
      </c>
      <c r="O48" s="29">
        <v>0.39</v>
      </c>
      <c r="P48" s="27">
        <f t="shared" si="3"/>
        <v>7.776511751620137</v>
      </c>
      <c r="Q48" s="26">
        <v>0</v>
      </c>
      <c r="R48" s="29">
        <v>0.42</v>
      </c>
      <c r="S48" s="27">
        <f t="shared" si="4"/>
        <v>2.3969101110500004</v>
      </c>
      <c r="T48" s="26">
        <v>0</v>
      </c>
    </row>
    <row r="49" spans="1:20" x14ac:dyDescent="0.3">
      <c r="A49" s="1">
        <f t="shared" si="6"/>
        <v>46233.874999999891</v>
      </c>
      <c r="B49" s="4">
        <v>0.8</v>
      </c>
      <c r="C49" s="29">
        <v>0.56000000000000005</v>
      </c>
      <c r="D49" s="25">
        <f t="shared" si="0"/>
        <v>32.557667008462019</v>
      </c>
      <c r="E49" s="26">
        <v>0</v>
      </c>
      <c r="F49" s="29">
        <v>8.6</v>
      </c>
      <c r="G49" s="27">
        <f t="shared" si="1"/>
        <v>34.553891645763457</v>
      </c>
      <c r="H49" s="26">
        <v>0</v>
      </c>
      <c r="I49" s="29">
        <v>1.67</v>
      </c>
      <c r="J49" s="27">
        <f t="shared" si="5"/>
        <v>38.257476336117605</v>
      </c>
      <c r="K49" s="26">
        <v>0</v>
      </c>
      <c r="L49" s="29">
        <v>0.37</v>
      </c>
      <c r="M49" s="27">
        <f t="shared" si="2"/>
        <v>1.2940913106143044</v>
      </c>
      <c r="N49" s="26">
        <v>0.3</v>
      </c>
      <c r="O49" s="29">
        <v>0.38</v>
      </c>
      <c r="P49" s="27">
        <f t="shared" si="3"/>
        <v>7.5019500888173445</v>
      </c>
      <c r="Q49" s="26">
        <v>0</v>
      </c>
      <c r="R49" s="29">
        <v>0.42</v>
      </c>
      <c r="S49" s="27">
        <f t="shared" si="4"/>
        <v>2.3969101110500004</v>
      </c>
      <c r="T49" s="26">
        <v>0</v>
      </c>
    </row>
    <row r="50" spans="1:20" x14ac:dyDescent="0.3">
      <c r="A50" s="1">
        <f t="shared" si="6"/>
        <v>46233.916666666555</v>
      </c>
      <c r="B50" s="4">
        <v>1</v>
      </c>
      <c r="C50" s="29">
        <v>0.53</v>
      </c>
      <c r="D50" s="25">
        <f t="shared" si="0"/>
        <v>31.133244455336836</v>
      </c>
      <c r="E50" s="26">
        <v>0</v>
      </c>
      <c r="F50" s="29">
        <v>8.67</v>
      </c>
      <c r="G50" s="27">
        <f t="shared" si="1"/>
        <v>38.423009761815166</v>
      </c>
      <c r="H50" s="26">
        <v>0</v>
      </c>
      <c r="I50" s="29">
        <v>1.67</v>
      </c>
      <c r="J50" s="27">
        <f t="shared" si="5"/>
        <v>38.257476336117605</v>
      </c>
      <c r="K50" s="26">
        <v>0</v>
      </c>
      <c r="L50" s="29">
        <v>0.35</v>
      </c>
      <c r="M50" s="27">
        <f t="shared" si="2"/>
        <v>1.1227024450032077</v>
      </c>
      <c r="N50" s="26">
        <v>0</v>
      </c>
      <c r="O50" s="29">
        <v>0.38</v>
      </c>
      <c r="P50" s="27">
        <f t="shared" si="3"/>
        <v>7.5019500888173445</v>
      </c>
      <c r="Q50" s="26">
        <v>0</v>
      </c>
      <c r="R50" s="29">
        <v>0.42</v>
      </c>
      <c r="S50" s="27">
        <f t="shared" si="4"/>
        <v>2.3969101110500004</v>
      </c>
      <c r="T50" s="26">
        <v>0</v>
      </c>
    </row>
    <row r="51" spans="1:20" x14ac:dyDescent="0.3">
      <c r="A51" s="1">
        <f t="shared" si="6"/>
        <v>46233.958333333219</v>
      </c>
      <c r="B51" s="4">
        <v>1.3</v>
      </c>
      <c r="C51" s="29">
        <v>0.51</v>
      </c>
      <c r="D51" s="25">
        <f t="shared" si="0"/>
        <v>30.197597456718235</v>
      </c>
      <c r="E51" s="26">
        <v>0</v>
      </c>
      <c r="F51" s="29">
        <v>8.7799999999999994</v>
      </c>
      <c r="G51" s="27">
        <f t="shared" si="1"/>
        <v>44.788348164654764</v>
      </c>
      <c r="H51" s="26">
        <v>0</v>
      </c>
      <c r="I51" s="29">
        <v>1.61</v>
      </c>
      <c r="J51" s="27">
        <f t="shared" si="5"/>
        <v>34.062863834124222</v>
      </c>
      <c r="K51" s="26">
        <v>0</v>
      </c>
      <c r="L51" s="29">
        <v>0.33</v>
      </c>
      <c r="M51" s="27">
        <f t="shared" si="2"/>
        <v>0.96253603570002277</v>
      </c>
      <c r="N51" s="26">
        <v>0</v>
      </c>
      <c r="O51" s="29">
        <v>0.38</v>
      </c>
      <c r="P51" s="27">
        <f t="shared" si="3"/>
        <v>7.5019500888173445</v>
      </c>
      <c r="Q51" s="26">
        <v>0</v>
      </c>
      <c r="R51" s="29">
        <v>0.42</v>
      </c>
      <c r="S51" s="27">
        <f t="shared" si="4"/>
        <v>2.3969101110500004</v>
      </c>
      <c r="T51" s="26">
        <v>0</v>
      </c>
    </row>
    <row r="52" spans="1:20" x14ac:dyDescent="0.3">
      <c r="A52" s="1">
        <f t="shared" si="6"/>
        <v>46233.999999999884</v>
      </c>
      <c r="B52" s="4">
        <v>1.5</v>
      </c>
      <c r="C52" s="29">
        <v>0.5</v>
      </c>
      <c r="D52" s="25">
        <f t="shared" si="0"/>
        <v>29.733991657750192</v>
      </c>
      <c r="E52" s="26">
        <v>0</v>
      </c>
      <c r="F52" s="29">
        <v>8.8000000000000007</v>
      </c>
      <c r="G52" s="27">
        <f t="shared" si="1"/>
        <v>45.982110220775148</v>
      </c>
      <c r="H52" s="26">
        <v>0</v>
      </c>
      <c r="I52" s="29">
        <v>1.52</v>
      </c>
      <c r="J52" s="27">
        <f t="shared" si="5"/>
        <v>28.378528622926105</v>
      </c>
      <c r="K52" s="26">
        <v>0</v>
      </c>
      <c r="L52" s="29">
        <v>0.28000000000000003</v>
      </c>
      <c r="M52" s="27">
        <f t="shared" si="2"/>
        <v>0.61221005308560861</v>
      </c>
      <c r="N52" s="26">
        <v>0</v>
      </c>
      <c r="O52" s="29">
        <v>0.44</v>
      </c>
      <c r="P52" s="27">
        <f t="shared" si="3"/>
        <v>9.1892368004139104</v>
      </c>
      <c r="Q52" s="26">
        <v>2.1</v>
      </c>
      <c r="R52" s="29">
        <v>0.41</v>
      </c>
      <c r="S52" s="27">
        <f t="shared" si="4"/>
        <v>2.3224502323231424</v>
      </c>
      <c r="T52" s="26">
        <v>0</v>
      </c>
    </row>
    <row r="53" spans="1:20" x14ac:dyDescent="0.3">
      <c r="A53" s="1">
        <f t="shared" si="6"/>
        <v>46234.041666666548</v>
      </c>
      <c r="B53" s="4">
        <v>1.6</v>
      </c>
      <c r="C53" s="29">
        <v>0.49</v>
      </c>
      <c r="D53" s="25">
        <f t="shared" si="0"/>
        <v>29.273210056241769</v>
      </c>
      <c r="E53" s="26">
        <v>0</v>
      </c>
      <c r="F53" s="29">
        <v>8.9700000000000006</v>
      </c>
      <c r="G53" s="27">
        <f t="shared" si="1"/>
        <v>56.564479118227055</v>
      </c>
      <c r="H53" s="26">
        <v>0</v>
      </c>
      <c r="I53" s="29">
        <v>1.53</v>
      </c>
      <c r="J53" s="27">
        <f t="shared" si="5"/>
        <v>28.975346809432551</v>
      </c>
      <c r="K53" s="26">
        <v>0</v>
      </c>
      <c r="L53" s="29">
        <v>0.26</v>
      </c>
      <c r="M53" s="27">
        <f t="shared" si="2"/>
        <v>0.49257560612219609</v>
      </c>
      <c r="N53" s="26">
        <v>0</v>
      </c>
      <c r="O53" s="29">
        <v>0.49</v>
      </c>
      <c r="P53" s="27">
        <f t="shared" si="3"/>
        <v>10.665051697221354</v>
      </c>
      <c r="Q53" s="26">
        <v>0</v>
      </c>
      <c r="R53" s="29">
        <v>0.41</v>
      </c>
      <c r="S53" s="27">
        <f t="shared" si="4"/>
        <v>2.3224502323231424</v>
      </c>
      <c r="T53" s="26">
        <v>0</v>
      </c>
    </row>
    <row r="54" spans="1:20" x14ac:dyDescent="0.3">
      <c r="A54" s="1">
        <f t="shared" si="6"/>
        <v>46234.083333333212</v>
      </c>
      <c r="B54" s="4">
        <v>1.7</v>
      </c>
      <c r="C54" s="29">
        <v>0.49</v>
      </c>
      <c r="D54" s="25">
        <f t="shared" si="0"/>
        <v>29.273210056241769</v>
      </c>
      <c r="E54" s="26">
        <v>0.7</v>
      </c>
      <c r="F54" s="29">
        <v>9.1</v>
      </c>
      <c r="G54" s="27">
        <f t="shared" si="1"/>
        <v>65.163100612571611</v>
      </c>
      <c r="H54" s="26">
        <v>0</v>
      </c>
      <c r="I54" s="29">
        <v>1.52</v>
      </c>
      <c r="J54" s="27">
        <f t="shared" si="5"/>
        <v>28.378528622926105</v>
      </c>
      <c r="K54" s="26">
        <v>0</v>
      </c>
      <c r="L54" s="29">
        <v>0.24</v>
      </c>
      <c r="M54" s="27">
        <f t="shared" si="2"/>
        <v>0.38496368802210973</v>
      </c>
      <c r="N54" s="26">
        <v>0</v>
      </c>
      <c r="O54" s="29">
        <v>0.51</v>
      </c>
      <c r="P54" s="27">
        <f t="shared" si="3"/>
        <v>11.272110541952166</v>
      </c>
      <c r="Q54" s="26">
        <v>0</v>
      </c>
      <c r="R54" s="29">
        <v>0.42</v>
      </c>
      <c r="S54" s="27">
        <f t="shared" si="4"/>
        <v>2.3969101110500004</v>
      </c>
      <c r="T54" s="26">
        <v>0</v>
      </c>
    </row>
    <row r="55" spans="1:20" x14ac:dyDescent="0.3">
      <c r="A55" s="1">
        <f t="shared" si="6"/>
        <v>46234.124999999876</v>
      </c>
      <c r="B55" s="4">
        <v>1.6</v>
      </c>
      <c r="C55" s="29">
        <v>0.51</v>
      </c>
      <c r="D55" s="25">
        <f t="shared" si="0"/>
        <v>30.197597456718235</v>
      </c>
      <c r="E55" s="26">
        <v>0</v>
      </c>
      <c r="F55" s="29">
        <v>9.15</v>
      </c>
      <c r="G55" s="27">
        <f t="shared" si="1"/>
        <v>68.582637141961499</v>
      </c>
      <c r="H55" s="26">
        <v>0</v>
      </c>
      <c r="I55" s="29">
        <v>1.22</v>
      </c>
      <c r="J55" s="27">
        <f t="shared" si="5"/>
        <v>14.123228222504434</v>
      </c>
      <c r="K55" s="26">
        <v>0</v>
      </c>
      <c r="L55" s="29">
        <v>0.22</v>
      </c>
      <c r="M55" s="27">
        <f t="shared" si="2"/>
        <v>0.28962496388385889</v>
      </c>
      <c r="N55" s="26">
        <v>0</v>
      </c>
      <c r="O55" s="29">
        <v>0.45</v>
      </c>
      <c r="P55" s="27">
        <f t="shared" si="3"/>
        <v>9.4794929078407559</v>
      </c>
      <c r="Q55" s="26">
        <v>0</v>
      </c>
      <c r="R55" s="29">
        <v>0.42</v>
      </c>
      <c r="S55" s="27">
        <f t="shared" si="4"/>
        <v>2.3969101110500004</v>
      </c>
      <c r="T55" s="26">
        <v>0</v>
      </c>
    </row>
    <row r="56" spans="1:20" x14ac:dyDescent="0.3">
      <c r="A56" s="1">
        <f t="shared" si="6"/>
        <v>46234.166666666541</v>
      </c>
      <c r="B56" s="4">
        <v>1.5</v>
      </c>
      <c r="C56" s="29">
        <v>0.56999999999999995</v>
      </c>
      <c r="D56" s="25">
        <f t="shared" si="0"/>
        <v>33.038026133709003</v>
      </c>
      <c r="E56" s="26">
        <v>1.3</v>
      </c>
      <c r="F56" s="29">
        <v>9.15</v>
      </c>
      <c r="G56" s="27">
        <f t="shared" si="1"/>
        <v>68.582637141961499</v>
      </c>
      <c r="H56" s="26">
        <v>0</v>
      </c>
      <c r="I56" s="29">
        <v>1.22</v>
      </c>
      <c r="J56" s="27">
        <f t="shared" si="5"/>
        <v>14.123228222504434</v>
      </c>
      <c r="K56" s="26">
        <v>1.5</v>
      </c>
      <c r="L56" s="29">
        <v>0.22</v>
      </c>
      <c r="M56" s="27">
        <f t="shared" si="2"/>
        <v>0.28962496388385889</v>
      </c>
      <c r="N56" s="26">
        <v>0</v>
      </c>
      <c r="O56" s="29">
        <v>0.42</v>
      </c>
      <c r="P56" s="27">
        <f t="shared" si="3"/>
        <v>8.6163235255389186</v>
      </c>
      <c r="Q56" s="26">
        <v>0.5</v>
      </c>
      <c r="R56" s="29">
        <v>0.42</v>
      </c>
      <c r="S56" s="27">
        <f t="shared" si="4"/>
        <v>2.3969101110500004</v>
      </c>
      <c r="T56" s="26">
        <v>1</v>
      </c>
    </row>
    <row r="57" spans="1:20" x14ac:dyDescent="0.3">
      <c r="A57" s="1">
        <f t="shared" si="6"/>
        <v>46234.208333333205</v>
      </c>
      <c r="B57" s="4">
        <v>1.5</v>
      </c>
      <c r="C57" s="29">
        <v>0.61</v>
      </c>
      <c r="D57" s="25">
        <f t="shared" si="0"/>
        <v>34.986990368254183</v>
      </c>
      <c r="E57" s="26">
        <v>0</v>
      </c>
      <c r="F57" s="29">
        <v>9.08</v>
      </c>
      <c r="G57" s="27">
        <f t="shared" si="1"/>
        <v>63.812564725327</v>
      </c>
      <c r="H57" s="26">
        <v>1</v>
      </c>
      <c r="I57" s="29">
        <v>1.72</v>
      </c>
      <c r="J57" s="27">
        <f t="shared" si="5"/>
        <v>42.012666647869629</v>
      </c>
      <c r="K57" s="26">
        <v>0</v>
      </c>
      <c r="L57" s="29">
        <v>0.22</v>
      </c>
      <c r="M57" s="27">
        <f t="shared" si="2"/>
        <v>0.28962496388385889</v>
      </c>
      <c r="N57" s="26">
        <v>0</v>
      </c>
      <c r="O57" s="29">
        <v>0.43</v>
      </c>
      <c r="P57" s="27">
        <f t="shared" si="3"/>
        <v>8.9015016823120501</v>
      </c>
      <c r="Q57" s="26">
        <v>4.9000000000000004</v>
      </c>
      <c r="R57" s="29">
        <v>0.42</v>
      </c>
      <c r="S57" s="27">
        <f t="shared" si="4"/>
        <v>2.3969101110500004</v>
      </c>
      <c r="T57" s="26">
        <v>0</v>
      </c>
    </row>
    <row r="58" spans="1:20" x14ac:dyDescent="0.3">
      <c r="A58" s="1">
        <f t="shared" si="6"/>
        <v>46234.249999999869</v>
      </c>
      <c r="B58" s="4">
        <v>1.4</v>
      </c>
      <c r="C58" s="29">
        <v>0.69</v>
      </c>
      <c r="D58" s="25">
        <f t="shared" si="0"/>
        <v>39.015337623392981</v>
      </c>
      <c r="E58" s="26">
        <v>0</v>
      </c>
      <c r="F58" s="29">
        <v>9</v>
      </c>
      <c r="G58" s="27">
        <f t="shared" si="1"/>
        <v>58.510716630552523</v>
      </c>
      <c r="H58" s="26">
        <v>0</v>
      </c>
      <c r="I58" s="29">
        <v>1.91</v>
      </c>
      <c r="J58" s="27">
        <f t="shared" si="5"/>
        <v>58.587951696097662</v>
      </c>
      <c r="K58" s="26">
        <v>0</v>
      </c>
      <c r="L58" s="29">
        <v>0.22</v>
      </c>
      <c r="M58" s="27">
        <f t="shared" si="2"/>
        <v>0.28962496388385889</v>
      </c>
      <c r="N58" s="26">
        <v>3.4</v>
      </c>
      <c r="O58" s="29">
        <v>0.45</v>
      </c>
      <c r="P58" s="27">
        <f t="shared" si="3"/>
        <v>9.4794929078407559</v>
      </c>
      <c r="Q58" s="26">
        <v>0</v>
      </c>
      <c r="R58" s="29">
        <v>0.42</v>
      </c>
      <c r="S58" s="27">
        <f t="shared" si="4"/>
        <v>2.3969101110500004</v>
      </c>
      <c r="T58" s="26">
        <v>0</v>
      </c>
    </row>
    <row r="59" spans="1:20" x14ac:dyDescent="0.3">
      <c r="A59" s="1">
        <f t="shared" si="6"/>
        <v>46234.291666666533</v>
      </c>
      <c r="B59" s="4">
        <v>0.9</v>
      </c>
      <c r="C59" s="29">
        <v>0.72</v>
      </c>
      <c r="D59" s="25">
        <f t="shared" si="0"/>
        <v>40.570149496750176</v>
      </c>
      <c r="E59" s="26">
        <v>0</v>
      </c>
      <c r="F59" s="29">
        <v>8.9499999999999993</v>
      </c>
      <c r="G59" s="27">
        <f t="shared" si="1"/>
        <v>55.279885132836199</v>
      </c>
      <c r="H59" s="26">
        <v>0</v>
      </c>
      <c r="I59" s="29">
        <v>1.9</v>
      </c>
      <c r="J59" s="27">
        <f t="shared" si="5"/>
        <v>57.619908538970712</v>
      </c>
      <c r="K59" s="26">
        <v>0</v>
      </c>
      <c r="L59" s="29">
        <v>0.22</v>
      </c>
      <c r="M59" s="27">
        <f t="shared" si="2"/>
        <v>0.28962496388385889</v>
      </c>
      <c r="N59" s="26">
        <v>0</v>
      </c>
      <c r="O59" s="29">
        <v>0.5</v>
      </c>
      <c r="P59" s="27">
        <f t="shared" si="3"/>
        <v>10.96741611661685</v>
      </c>
      <c r="Q59" s="26">
        <v>0</v>
      </c>
      <c r="R59" s="29">
        <v>0.42</v>
      </c>
      <c r="S59" s="27">
        <f t="shared" si="4"/>
        <v>2.3969101110500004</v>
      </c>
      <c r="T59" s="26">
        <v>0</v>
      </c>
    </row>
    <row r="60" spans="1:20" x14ac:dyDescent="0.3">
      <c r="A60" s="1">
        <f t="shared" si="6"/>
        <v>46234.333333333198</v>
      </c>
      <c r="B60" s="4">
        <v>0.5</v>
      </c>
      <c r="C60" s="29">
        <v>0.72</v>
      </c>
      <c r="D60" s="25">
        <f t="shared" si="0"/>
        <v>40.570149496750176</v>
      </c>
      <c r="E60" s="26">
        <v>0</v>
      </c>
      <c r="F60" s="29">
        <v>8.9</v>
      </c>
      <c r="G60" s="27">
        <f t="shared" si="1"/>
        <v>52.114061577663563</v>
      </c>
      <c r="H60" s="26">
        <v>0</v>
      </c>
      <c r="I60" s="29">
        <v>1.56</v>
      </c>
      <c r="J60" s="27">
        <f t="shared" si="5"/>
        <v>30.817306179391267</v>
      </c>
      <c r="K60" s="26">
        <v>0</v>
      </c>
      <c r="L60" s="29">
        <v>0.2</v>
      </c>
      <c r="M60" s="27">
        <f t="shared" si="2"/>
        <v>0.20685566183167753</v>
      </c>
      <c r="N60" s="26">
        <v>0</v>
      </c>
      <c r="O60" s="29">
        <v>0.52</v>
      </c>
      <c r="P60" s="27">
        <f t="shared" si="3"/>
        <v>11.579106711407402</v>
      </c>
      <c r="Q60" s="26">
        <v>0</v>
      </c>
      <c r="R60" s="29">
        <v>0.43</v>
      </c>
      <c r="S60" s="27">
        <f t="shared" si="4"/>
        <v>2.4729134115373199</v>
      </c>
      <c r="T60" s="26">
        <v>0</v>
      </c>
    </row>
    <row r="61" spans="1:20" x14ac:dyDescent="0.3">
      <c r="A61" s="1">
        <f t="shared" si="6"/>
        <v>46234.374999999862</v>
      </c>
      <c r="B61" s="4">
        <v>0.4</v>
      </c>
      <c r="C61" s="29">
        <v>0.71</v>
      </c>
      <c r="D61" s="25">
        <f t="shared" si="0"/>
        <v>40.049226445864555</v>
      </c>
      <c r="E61" s="26">
        <v>0</v>
      </c>
      <c r="F61" s="29">
        <v>8.8699999999999992</v>
      </c>
      <c r="G61" s="27">
        <f t="shared" si="1"/>
        <v>50.246247392008264</v>
      </c>
      <c r="H61" s="26">
        <v>0</v>
      </c>
      <c r="I61" s="29">
        <v>1.56</v>
      </c>
      <c r="J61" s="27">
        <f t="shared" si="5"/>
        <v>30.817306179391267</v>
      </c>
      <c r="K61" s="26">
        <v>0</v>
      </c>
      <c r="L61" s="29">
        <v>0.21</v>
      </c>
      <c r="M61" s="27">
        <f t="shared" si="2"/>
        <v>0.2466484037974217</v>
      </c>
      <c r="N61" s="26">
        <v>0</v>
      </c>
      <c r="O61" s="29">
        <v>0.47</v>
      </c>
      <c r="P61" s="27">
        <f t="shared" si="3"/>
        <v>10.067430617655603</v>
      </c>
      <c r="Q61" s="26">
        <v>0</v>
      </c>
      <c r="R61" s="29">
        <v>0.42</v>
      </c>
      <c r="S61" s="27">
        <f t="shared" si="4"/>
        <v>2.3969101110500004</v>
      </c>
      <c r="T61" s="26">
        <v>0</v>
      </c>
    </row>
    <row r="62" spans="1:20" x14ac:dyDescent="0.3">
      <c r="A62" s="1">
        <f t="shared" si="6"/>
        <v>46234.416666666526</v>
      </c>
      <c r="B62" s="4">
        <v>0.6</v>
      </c>
      <c r="C62" s="29">
        <v>0.68</v>
      </c>
      <c r="D62" s="25">
        <f t="shared" si="0"/>
        <v>38.50238671260351</v>
      </c>
      <c r="E62" s="26">
        <v>0</v>
      </c>
      <c r="F62" s="29">
        <v>8.83</v>
      </c>
      <c r="G62" s="27">
        <f t="shared" si="1"/>
        <v>47.793326362270719</v>
      </c>
      <c r="H62" s="26">
        <v>0</v>
      </c>
      <c r="I62" s="29">
        <v>1.62</v>
      </c>
      <c r="J62" s="27">
        <f t="shared" si="5"/>
        <v>34.738912213559104</v>
      </c>
      <c r="K62" s="26">
        <v>0</v>
      </c>
      <c r="L62" s="29">
        <v>0.21</v>
      </c>
      <c r="M62" s="27">
        <f t="shared" si="2"/>
        <v>0.2466484037974217</v>
      </c>
      <c r="N62" s="26">
        <v>0</v>
      </c>
      <c r="O62" s="29">
        <v>0.43</v>
      </c>
      <c r="P62" s="27">
        <f t="shared" si="3"/>
        <v>8.9015016823120501</v>
      </c>
      <c r="Q62" s="26">
        <v>0</v>
      </c>
      <c r="R62" s="29">
        <v>0.42</v>
      </c>
      <c r="S62" s="27">
        <f t="shared" si="4"/>
        <v>2.3969101110500004</v>
      </c>
      <c r="T62" s="26">
        <v>0</v>
      </c>
    </row>
    <row r="63" spans="1:20" x14ac:dyDescent="0.3">
      <c r="A63" s="1">
        <f t="shared" si="6"/>
        <v>46234.45833333319</v>
      </c>
      <c r="B63" s="4">
        <v>1</v>
      </c>
      <c r="C63" s="29">
        <v>0.67</v>
      </c>
      <c r="D63" s="25">
        <f t="shared" si="0"/>
        <v>37.992108177067628</v>
      </c>
      <c r="E63" s="26">
        <v>0</v>
      </c>
      <c r="F63" s="29">
        <v>8.8000000000000007</v>
      </c>
      <c r="G63" s="27">
        <f t="shared" si="1"/>
        <v>45.982110220775148</v>
      </c>
      <c r="H63" s="26">
        <v>2</v>
      </c>
      <c r="I63" s="29">
        <v>1.58</v>
      </c>
      <c r="J63" s="27">
        <f t="shared" si="5"/>
        <v>32.088856330005846</v>
      </c>
      <c r="K63" s="26">
        <v>4.5</v>
      </c>
      <c r="L63" s="29">
        <v>0.22</v>
      </c>
      <c r="M63" s="27">
        <f t="shared" si="2"/>
        <v>0.28962496388385889</v>
      </c>
      <c r="N63" s="26">
        <v>1.4</v>
      </c>
      <c r="O63" s="29">
        <v>0.47</v>
      </c>
      <c r="P63" s="27">
        <f t="shared" si="3"/>
        <v>10.067430617655603</v>
      </c>
      <c r="Q63" s="26">
        <v>0</v>
      </c>
      <c r="R63" s="29">
        <v>0.42</v>
      </c>
      <c r="S63" s="27">
        <f t="shared" si="4"/>
        <v>2.3969101110500004</v>
      </c>
      <c r="T63" s="26">
        <v>0</v>
      </c>
    </row>
    <row r="64" spans="1:20" x14ac:dyDescent="0.3">
      <c r="A64" s="1">
        <f t="shared" si="6"/>
        <v>46234.499999999854</v>
      </c>
      <c r="B64" s="4">
        <v>1.4</v>
      </c>
      <c r="C64" s="29">
        <v>0.64</v>
      </c>
      <c r="D64" s="25">
        <f t="shared" si="0"/>
        <v>36.477383589027653</v>
      </c>
      <c r="E64" s="26">
        <v>0</v>
      </c>
      <c r="F64" s="29">
        <v>8.75</v>
      </c>
      <c r="G64" s="27">
        <f t="shared" si="1"/>
        <v>43.018493968164293</v>
      </c>
      <c r="H64" s="26">
        <v>0</v>
      </c>
      <c r="I64" s="29">
        <v>1.45</v>
      </c>
      <c r="J64" s="27">
        <f t="shared" si="5"/>
        <v>24.434441277084307</v>
      </c>
      <c r="K64" s="26">
        <v>0.5</v>
      </c>
      <c r="L64" s="29">
        <v>0.22</v>
      </c>
      <c r="M64" s="27">
        <f t="shared" si="2"/>
        <v>0.28962496388385889</v>
      </c>
      <c r="N64" s="26">
        <v>0</v>
      </c>
      <c r="O64" s="29">
        <v>0.5</v>
      </c>
      <c r="P64" s="27">
        <f t="shared" si="3"/>
        <v>10.96741611661685</v>
      </c>
      <c r="Q64" s="26">
        <v>0</v>
      </c>
      <c r="R64" s="29">
        <v>0.43</v>
      </c>
      <c r="S64" s="27">
        <f t="shared" si="4"/>
        <v>2.4729134115373199</v>
      </c>
      <c r="T64" s="26">
        <v>0</v>
      </c>
    </row>
    <row r="65" spans="1:20" x14ac:dyDescent="0.3">
      <c r="A65" s="1">
        <f t="shared" si="6"/>
        <v>46234.541666666519</v>
      </c>
      <c r="B65" s="4">
        <v>1.7</v>
      </c>
      <c r="C65" s="29">
        <v>0.62</v>
      </c>
      <c r="D65" s="25">
        <f t="shared" si="0"/>
        <v>35.481071318833266</v>
      </c>
      <c r="E65" s="26">
        <v>0</v>
      </c>
      <c r="F65" s="29">
        <v>8.7200000000000006</v>
      </c>
      <c r="G65" s="27">
        <f t="shared" si="1"/>
        <v>41.273854568315066</v>
      </c>
      <c r="H65" s="26">
        <v>0</v>
      </c>
      <c r="I65" s="29">
        <v>1.45</v>
      </c>
      <c r="J65" s="27">
        <f t="shared" si="5"/>
        <v>24.434441277084307</v>
      </c>
      <c r="K65" s="26">
        <v>0</v>
      </c>
      <c r="L65" s="29">
        <v>0.38</v>
      </c>
      <c r="M65" s="27">
        <f t="shared" si="2"/>
        <v>1.3839523526758419</v>
      </c>
      <c r="N65" s="26">
        <v>0</v>
      </c>
      <c r="O65" s="29">
        <v>0.51</v>
      </c>
      <c r="P65" s="27">
        <f t="shared" si="3"/>
        <v>11.272110541952166</v>
      </c>
      <c r="Q65" s="26">
        <v>0</v>
      </c>
      <c r="R65" s="29">
        <v>0.43</v>
      </c>
      <c r="S65" s="27">
        <f t="shared" si="4"/>
        <v>2.4729134115373199</v>
      </c>
      <c r="T65" s="26">
        <v>0</v>
      </c>
    </row>
    <row r="66" spans="1:20" x14ac:dyDescent="0.3">
      <c r="A66" s="1">
        <f t="shared" si="6"/>
        <v>46234.583333333183</v>
      </c>
      <c r="B66" s="4">
        <v>2.1</v>
      </c>
      <c r="C66" s="29">
        <v>0.6</v>
      </c>
      <c r="D66" s="25">
        <f t="shared" si="0"/>
        <v>34.495637064644583</v>
      </c>
      <c r="E66" s="26">
        <v>0</v>
      </c>
      <c r="F66" s="29">
        <v>8.92</v>
      </c>
      <c r="G66" s="27">
        <f t="shared" si="1"/>
        <v>53.372517817175897</v>
      </c>
      <c r="H66" s="26">
        <v>4.2</v>
      </c>
      <c r="I66" s="29">
        <v>1.45</v>
      </c>
      <c r="J66" s="27">
        <f t="shared" si="5"/>
        <v>24.434441277084307</v>
      </c>
      <c r="K66" s="26">
        <v>0</v>
      </c>
      <c r="L66" s="29">
        <v>0.44</v>
      </c>
      <c r="M66" s="27">
        <f t="shared" si="2"/>
        <v>1.9805120690526208</v>
      </c>
      <c r="N66" s="26">
        <v>0</v>
      </c>
      <c r="O66" s="29">
        <v>0.54</v>
      </c>
      <c r="P66" s="27">
        <f t="shared" si="3"/>
        <v>12.199895600830567</v>
      </c>
      <c r="Q66" s="26">
        <v>0</v>
      </c>
      <c r="R66" s="29">
        <v>0.43</v>
      </c>
      <c r="S66" s="27">
        <f t="shared" si="4"/>
        <v>2.4729134115373199</v>
      </c>
      <c r="T66" s="26">
        <v>0</v>
      </c>
    </row>
    <row r="67" spans="1:20" x14ac:dyDescent="0.3">
      <c r="A67" s="1">
        <f t="shared" si="6"/>
        <v>46234.624999999847</v>
      </c>
      <c r="B67" s="4">
        <v>2.4</v>
      </c>
      <c r="C67" s="29">
        <v>0.57999999999999996</v>
      </c>
      <c r="D67" s="25">
        <f t="shared" si="0"/>
        <v>33.521146539891838</v>
      </c>
      <c r="E67" s="26">
        <v>0</v>
      </c>
      <c r="F67" s="29">
        <v>9.0500000000000007</v>
      </c>
      <c r="G67" s="27">
        <f t="shared" si="1"/>
        <v>61.805466344232642</v>
      </c>
      <c r="H67" s="26">
        <v>0.8</v>
      </c>
      <c r="I67" s="29">
        <v>1.45</v>
      </c>
      <c r="J67" s="27">
        <f t="shared" si="5"/>
        <v>24.434441277084307</v>
      </c>
      <c r="K67" s="26">
        <v>8.1999999999999993</v>
      </c>
      <c r="L67" s="29">
        <v>0.44</v>
      </c>
      <c r="M67" s="27">
        <f t="shared" si="2"/>
        <v>1.9805120690526208</v>
      </c>
      <c r="N67" s="26">
        <v>0</v>
      </c>
      <c r="O67" s="29">
        <v>0.53</v>
      </c>
      <c r="P67" s="27">
        <f t="shared" si="3"/>
        <v>11.888377244988892</v>
      </c>
      <c r="Q67" s="26">
        <v>2.8</v>
      </c>
      <c r="R67" s="29">
        <v>0.43</v>
      </c>
      <c r="S67" s="27">
        <f t="shared" si="4"/>
        <v>2.4729134115373199</v>
      </c>
      <c r="T67" s="26">
        <v>0</v>
      </c>
    </row>
    <row r="68" spans="1:20" x14ac:dyDescent="0.3">
      <c r="A68" s="1">
        <f t="shared" si="6"/>
        <v>46234.666666666511</v>
      </c>
      <c r="B68" s="4">
        <v>2.5</v>
      </c>
      <c r="C68" s="29">
        <v>0.59</v>
      </c>
      <c r="D68" s="25">
        <f t="shared" si="0"/>
        <v>34.007019669175158</v>
      </c>
      <c r="E68" s="26">
        <v>0</v>
      </c>
      <c r="F68" s="29">
        <v>9.0500000000000007</v>
      </c>
      <c r="G68" s="27">
        <f t="shared" si="1"/>
        <v>61.805466344232642</v>
      </c>
      <c r="H68" s="26">
        <v>0</v>
      </c>
      <c r="I68" s="29">
        <v>1.8</v>
      </c>
      <c r="J68" s="27">
        <f t="shared" si="5"/>
        <v>48.533980852738132</v>
      </c>
      <c r="K68" s="26">
        <v>1.5</v>
      </c>
      <c r="L68" s="29">
        <v>0.42</v>
      </c>
      <c r="M68" s="27">
        <f t="shared" si="2"/>
        <v>1.770819404983436</v>
      </c>
      <c r="N68" s="26">
        <v>0</v>
      </c>
      <c r="O68" s="29">
        <v>0.51</v>
      </c>
      <c r="P68" s="27">
        <f t="shared" si="3"/>
        <v>11.272110541952166</v>
      </c>
      <c r="Q68" s="26">
        <v>0</v>
      </c>
      <c r="R68" s="29">
        <v>0.42</v>
      </c>
      <c r="S68" s="27">
        <f t="shared" si="4"/>
        <v>2.3969101110500004</v>
      </c>
      <c r="T68" s="26">
        <v>0</v>
      </c>
    </row>
    <row r="69" spans="1:20" x14ac:dyDescent="0.3">
      <c r="A69" s="1">
        <f t="shared" si="6"/>
        <v>46234.708333333176</v>
      </c>
      <c r="B69" s="4">
        <v>2.1</v>
      </c>
      <c r="C69" s="29">
        <v>0.63</v>
      </c>
      <c r="D69" s="25">
        <f t="shared" si="0"/>
        <v>35.977871750149596</v>
      </c>
      <c r="E69" s="26">
        <v>0</v>
      </c>
      <c r="F69" s="29">
        <v>8.9600000000000009</v>
      </c>
      <c r="G69" s="27">
        <f t="shared" si="1"/>
        <v>55.920886516488487</v>
      </c>
      <c r="H69" s="26">
        <v>0</v>
      </c>
      <c r="I69" s="29">
        <v>1.81</v>
      </c>
      <c r="J69" s="27">
        <f t="shared" si="5"/>
        <v>49.394948765022406</v>
      </c>
      <c r="K69" s="26">
        <v>1</v>
      </c>
      <c r="L69" s="29">
        <v>0.38</v>
      </c>
      <c r="M69" s="27">
        <f t="shared" si="2"/>
        <v>1.3839523526758419</v>
      </c>
      <c r="N69" s="26">
        <v>0</v>
      </c>
      <c r="O69" s="29">
        <v>0.45</v>
      </c>
      <c r="P69" s="27">
        <f t="shared" si="3"/>
        <v>9.4794929078407559</v>
      </c>
      <c r="Q69" s="26">
        <v>1</v>
      </c>
      <c r="R69" s="29">
        <v>0.42</v>
      </c>
      <c r="S69" s="27">
        <f t="shared" si="4"/>
        <v>2.3969101110500004</v>
      </c>
      <c r="T69" s="26">
        <v>0</v>
      </c>
    </row>
    <row r="70" spans="1:20" x14ac:dyDescent="0.3">
      <c r="A70" s="1">
        <f t="shared" si="6"/>
        <v>46234.74999999984</v>
      </c>
      <c r="B70" s="4">
        <v>1.6</v>
      </c>
      <c r="C70" s="29">
        <v>0.67</v>
      </c>
      <c r="D70" s="25">
        <f t="shared" si="0"/>
        <v>37.992108177067628</v>
      </c>
      <c r="E70" s="26">
        <v>0</v>
      </c>
      <c r="F70" s="29">
        <v>9.84</v>
      </c>
      <c r="G70" s="27">
        <f t="shared" si="1"/>
        <v>121.65433961170939</v>
      </c>
      <c r="H70" s="26">
        <v>0.6</v>
      </c>
      <c r="I70" s="29">
        <v>1.8</v>
      </c>
      <c r="J70" s="27">
        <f t="shared" ref="J70:J133" si="7">IF(I70="","",IF(I70&lt;=2.1,7.5134*(I70)^3.1739,31.402*(I70)^2-35.839*(I70)+15.632))</f>
        <v>48.533980852738132</v>
      </c>
      <c r="K70" s="26">
        <v>0</v>
      </c>
      <c r="L70" s="29">
        <v>0.36</v>
      </c>
      <c r="M70" s="27">
        <f t="shared" si="2"/>
        <v>1.2070026199584938</v>
      </c>
      <c r="N70" s="26">
        <v>5</v>
      </c>
      <c r="O70" s="29">
        <v>0.47</v>
      </c>
      <c r="P70" s="27">
        <f t="shared" si="3"/>
        <v>10.067430617655603</v>
      </c>
      <c r="Q70" s="26">
        <v>0</v>
      </c>
      <c r="R70" s="29">
        <v>0.42</v>
      </c>
      <c r="S70" s="27">
        <f t="shared" si="4"/>
        <v>2.3969101110500004</v>
      </c>
      <c r="T70" s="26">
        <v>0</v>
      </c>
    </row>
    <row r="71" spans="1:20" x14ac:dyDescent="0.3">
      <c r="A71" s="1">
        <f t="shared" ref="A71:A134" si="8">A70+1/24</f>
        <v>46234.791666666504</v>
      </c>
      <c r="B71" s="4">
        <v>1.2</v>
      </c>
      <c r="C71" s="29">
        <v>0.69</v>
      </c>
      <c r="D71" s="25">
        <f t="shared" si="0"/>
        <v>39.015337623392981</v>
      </c>
      <c r="E71" s="26">
        <v>0</v>
      </c>
      <c r="F71" s="29">
        <v>8.93</v>
      </c>
      <c r="G71" s="27">
        <f t="shared" si="1"/>
        <v>54.005691731732064</v>
      </c>
      <c r="H71" s="26">
        <v>0</v>
      </c>
      <c r="I71" s="29">
        <v>1.88</v>
      </c>
      <c r="J71" s="27">
        <f t="shared" si="7"/>
        <v>55.716792661079971</v>
      </c>
      <c r="K71" s="26">
        <v>4.5</v>
      </c>
      <c r="L71" s="29">
        <v>0.35</v>
      </c>
      <c r="M71" s="27">
        <f t="shared" si="2"/>
        <v>1.1227024450032077</v>
      </c>
      <c r="N71" s="26">
        <v>0</v>
      </c>
      <c r="O71" s="29">
        <v>0.51</v>
      </c>
      <c r="P71" s="27">
        <f t="shared" si="3"/>
        <v>11.272110541952166</v>
      </c>
      <c r="Q71" s="26">
        <v>2.8</v>
      </c>
      <c r="R71" s="29">
        <v>0.42</v>
      </c>
      <c r="S71" s="27">
        <f t="shared" si="4"/>
        <v>2.3969101110500004</v>
      </c>
      <c r="T71" s="26">
        <v>0</v>
      </c>
    </row>
    <row r="72" spans="1:20" x14ac:dyDescent="0.3">
      <c r="A72" s="1">
        <f t="shared" si="8"/>
        <v>46234.833333333168</v>
      </c>
      <c r="B72" s="4">
        <v>0.8</v>
      </c>
      <c r="C72" s="29">
        <v>0.69</v>
      </c>
      <c r="D72" s="25">
        <f t="shared" si="0"/>
        <v>39.015337623392981</v>
      </c>
      <c r="E72" s="26">
        <v>0.3</v>
      </c>
      <c r="F72" s="29">
        <v>8.9</v>
      </c>
      <c r="G72" s="27">
        <f t="shared" si="1"/>
        <v>52.114061577663563</v>
      </c>
      <c r="H72" s="26">
        <v>0</v>
      </c>
      <c r="I72" s="29">
        <v>1.96</v>
      </c>
      <c r="J72" s="27">
        <f t="shared" si="7"/>
        <v>63.595744430848178</v>
      </c>
      <c r="K72" s="26">
        <v>3.3</v>
      </c>
      <c r="L72" s="29">
        <v>0.36</v>
      </c>
      <c r="M72" s="27">
        <f t="shared" si="2"/>
        <v>1.2070026199584938</v>
      </c>
      <c r="N72" s="26">
        <v>0</v>
      </c>
      <c r="O72" s="29">
        <v>0.51</v>
      </c>
      <c r="P72" s="27">
        <f t="shared" si="3"/>
        <v>11.272110541952166</v>
      </c>
      <c r="Q72" s="26">
        <v>0</v>
      </c>
      <c r="R72" s="29">
        <v>0.42</v>
      </c>
      <c r="S72" s="27">
        <f t="shared" si="4"/>
        <v>2.3969101110500004</v>
      </c>
      <c r="T72" s="26">
        <v>0</v>
      </c>
    </row>
    <row r="73" spans="1:20" x14ac:dyDescent="0.3">
      <c r="A73" s="1">
        <f t="shared" si="8"/>
        <v>46234.874999999833</v>
      </c>
      <c r="B73" s="4">
        <v>0.6</v>
      </c>
      <c r="C73" s="29">
        <v>0.68</v>
      </c>
      <c r="D73" s="25">
        <f t="shared" si="0"/>
        <v>38.50238671260351</v>
      </c>
      <c r="E73" s="26">
        <v>4.2</v>
      </c>
      <c r="F73" s="29">
        <v>8.8800000000000008</v>
      </c>
      <c r="G73" s="27">
        <f t="shared" si="1"/>
        <v>50.86619003346506</v>
      </c>
      <c r="H73" s="26">
        <v>3.3</v>
      </c>
      <c r="I73" s="29">
        <v>1.81</v>
      </c>
      <c r="J73" s="27">
        <f t="shared" si="7"/>
        <v>49.394948765022406</v>
      </c>
      <c r="K73" s="26">
        <v>1.7</v>
      </c>
      <c r="L73" s="29">
        <v>0.38</v>
      </c>
      <c r="M73" s="27">
        <f t="shared" si="2"/>
        <v>1.3839523526758419</v>
      </c>
      <c r="N73" s="26">
        <v>2</v>
      </c>
      <c r="O73" s="29">
        <v>0.51</v>
      </c>
      <c r="P73" s="27">
        <f t="shared" si="3"/>
        <v>11.272110541952166</v>
      </c>
      <c r="Q73" s="26">
        <v>1.5</v>
      </c>
      <c r="R73" s="29">
        <v>0.42</v>
      </c>
      <c r="S73" s="27">
        <f t="shared" si="4"/>
        <v>2.3969101110500004</v>
      </c>
      <c r="T73" s="26">
        <v>1.2</v>
      </c>
    </row>
    <row r="74" spans="1:20" x14ac:dyDescent="0.3">
      <c r="A74" s="1">
        <f t="shared" si="8"/>
        <v>46234.916666666497</v>
      </c>
      <c r="B74" s="4">
        <v>0.6</v>
      </c>
      <c r="C74" s="29">
        <v>0.67</v>
      </c>
      <c r="D74" s="25">
        <f t="shared" si="0"/>
        <v>37.992108177067628</v>
      </c>
      <c r="E74" s="26">
        <v>0.7</v>
      </c>
      <c r="F74" s="29">
        <v>8.89</v>
      </c>
      <c r="G74" s="27">
        <f t="shared" si="1"/>
        <v>51.488797972015661</v>
      </c>
      <c r="H74" s="26">
        <v>5.2</v>
      </c>
      <c r="I74" s="29">
        <v>1.71</v>
      </c>
      <c r="J74" s="27">
        <f t="shared" si="7"/>
        <v>41.242298886671307</v>
      </c>
      <c r="K74" s="26">
        <v>1.5</v>
      </c>
      <c r="L74" s="29">
        <v>0.45</v>
      </c>
      <c r="M74" s="27">
        <f t="shared" si="2"/>
        <v>2.0893780230756476</v>
      </c>
      <c r="N74" s="26">
        <v>15.4</v>
      </c>
      <c r="O74" s="29">
        <v>0.51</v>
      </c>
      <c r="P74" s="27">
        <f t="shared" si="3"/>
        <v>11.272110541952166</v>
      </c>
      <c r="Q74" s="26">
        <v>4.5</v>
      </c>
      <c r="R74" s="29">
        <v>0.42</v>
      </c>
      <c r="S74" s="27">
        <f t="shared" si="4"/>
        <v>2.3969101110500004</v>
      </c>
      <c r="T74" s="26">
        <v>0.5</v>
      </c>
    </row>
    <row r="75" spans="1:20" x14ac:dyDescent="0.3">
      <c r="A75" s="1">
        <f t="shared" si="8"/>
        <v>46234.958333333161</v>
      </c>
      <c r="B75" s="4">
        <v>0.8</v>
      </c>
      <c r="C75" s="29">
        <v>0.65</v>
      </c>
      <c r="D75" s="25">
        <f t="shared" si="0"/>
        <v>36.979598853519335</v>
      </c>
      <c r="E75" s="26">
        <v>0.6</v>
      </c>
      <c r="F75" s="29">
        <v>8.93</v>
      </c>
      <c r="G75" s="27">
        <f t="shared" si="1"/>
        <v>54.005691731732064</v>
      </c>
      <c r="H75" s="26">
        <v>0</v>
      </c>
      <c r="I75" s="29">
        <v>1.65</v>
      </c>
      <c r="J75" s="27">
        <f t="shared" si="7"/>
        <v>36.822121022663168</v>
      </c>
      <c r="K75" s="26">
        <v>20</v>
      </c>
      <c r="L75" s="29">
        <v>0.42</v>
      </c>
      <c r="M75" s="27">
        <f t="shared" si="2"/>
        <v>1.770819404983436</v>
      </c>
      <c r="N75" s="26">
        <v>6.4</v>
      </c>
      <c r="O75" s="29">
        <v>0.48</v>
      </c>
      <c r="P75" s="27">
        <f t="shared" si="3"/>
        <v>10.365046474324068</v>
      </c>
      <c r="Q75" s="26">
        <v>11.1</v>
      </c>
      <c r="R75" s="29">
        <v>0.43</v>
      </c>
      <c r="S75" s="27">
        <f t="shared" si="4"/>
        <v>2.4729134115373199</v>
      </c>
      <c r="T75" s="26">
        <v>0.4</v>
      </c>
    </row>
    <row r="76" spans="1:20" x14ac:dyDescent="0.3">
      <c r="A76" s="1">
        <f t="shared" si="8"/>
        <v>46234.999999999825</v>
      </c>
      <c r="B76" s="4">
        <v>1.1000000000000001</v>
      </c>
      <c r="C76" s="29">
        <v>0.63</v>
      </c>
      <c r="D76" s="25">
        <f t="shared" si="0"/>
        <v>35.977871750149596</v>
      </c>
      <c r="E76" s="26">
        <v>0.3</v>
      </c>
      <c r="F76" s="29">
        <v>9.15</v>
      </c>
      <c r="G76" s="27">
        <f t="shared" si="1"/>
        <v>68.582637141961499</v>
      </c>
      <c r="H76" s="26">
        <v>0</v>
      </c>
      <c r="I76" s="29">
        <v>1.61</v>
      </c>
      <c r="J76" s="27">
        <f t="shared" si="7"/>
        <v>34.062863834124222</v>
      </c>
      <c r="K76" s="26">
        <v>2.2000000000000002</v>
      </c>
      <c r="L76" s="29">
        <v>0.45</v>
      </c>
      <c r="M76" s="27">
        <f t="shared" si="2"/>
        <v>2.0893780230756476</v>
      </c>
      <c r="N76" s="26">
        <v>2.2000000000000002</v>
      </c>
      <c r="O76" s="29">
        <v>0.5</v>
      </c>
      <c r="P76" s="27">
        <f t="shared" si="3"/>
        <v>10.96741611661685</v>
      </c>
      <c r="Q76" s="26">
        <v>2.2999999999999998</v>
      </c>
      <c r="R76" s="29">
        <v>0.43</v>
      </c>
      <c r="S76" s="27">
        <f t="shared" si="4"/>
        <v>2.4729134115373199</v>
      </c>
      <c r="T76" s="26">
        <v>0</v>
      </c>
    </row>
    <row r="77" spans="1:20" x14ac:dyDescent="0.3">
      <c r="A77" s="1">
        <f t="shared" si="8"/>
        <v>46235.04166666649</v>
      </c>
      <c r="B77" s="28">
        <v>1.5</v>
      </c>
      <c r="C77" s="29">
        <v>0.63</v>
      </c>
      <c r="D77" s="25">
        <f t="shared" si="0"/>
        <v>35.977871750149596</v>
      </c>
      <c r="E77" s="26">
        <v>0</v>
      </c>
      <c r="F77" s="29">
        <v>9.34</v>
      </c>
      <c r="G77" s="27">
        <f t="shared" si="1"/>
        <v>82.125459547410856</v>
      </c>
      <c r="H77" s="26">
        <v>7.5</v>
      </c>
      <c r="I77" s="29">
        <v>1.61</v>
      </c>
      <c r="J77" s="27">
        <f t="shared" si="7"/>
        <v>34.062863834124222</v>
      </c>
      <c r="K77" s="26">
        <v>24.5</v>
      </c>
      <c r="L77" s="29">
        <v>0.5</v>
      </c>
      <c r="M77" s="27">
        <f t="shared" si="2"/>
        <v>2.6734382440656952</v>
      </c>
      <c r="N77" s="26">
        <v>23</v>
      </c>
      <c r="O77" s="29">
        <v>0.81</v>
      </c>
      <c r="P77" s="27">
        <f t="shared" si="3"/>
        <v>21.381156804678113</v>
      </c>
      <c r="Q77" s="26">
        <v>29.8</v>
      </c>
      <c r="R77" s="29">
        <v>0.43</v>
      </c>
      <c r="S77" s="27">
        <f t="shared" si="4"/>
        <v>2.4729134115373199</v>
      </c>
      <c r="T77" s="26">
        <v>0</v>
      </c>
    </row>
    <row r="78" spans="1:20" x14ac:dyDescent="0.3">
      <c r="A78" s="1">
        <f t="shared" si="8"/>
        <v>46235.083333333154</v>
      </c>
      <c r="B78" s="28">
        <v>2</v>
      </c>
      <c r="C78" s="29">
        <v>0.64</v>
      </c>
      <c r="D78" s="25">
        <f t="shared" si="0"/>
        <v>36.477383589027653</v>
      </c>
      <c r="E78" s="26">
        <v>0</v>
      </c>
      <c r="F78" s="29">
        <v>9.5299999999999994</v>
      </c>
      <c r="G78" s="27">
        <f t="shared" si="1"/>
        <v>96.503207925945233</v>
      </c>
      <c r="H78" s="26">
        <v>21.5</v>
      </c>
      <c r="I78" s="29">
        <v>2.1</v>
      </c>
      <c r="J78" s="27">
        <f t="shared" si="7"/>
        <v>79.164109359319397</v>
      </c>
      <c r="K78" s="26">
        <v>22</v>
      </c>
      <c r="L78" s="29">
        <v>0.7</v>
      </c>
      <c r="M78" s="27">
        <f t="shared" si="2"/>
        <v>5.6511211857306698</v>
      </c>
      <c r="N78" s="26">
        <v>8.1</v>
      </c>
      <c r="O78" s="29">
        <v>1.1100000000000001</v>
      </c>
      <c r="P78" s="27">
        <f t="shared" si="3"/>
        <v>33.066449674364797</v>
      </c>
      <c r="Q78" s="26">
        <v>1.1000000000000001</v>
      </c>
      <c r="R78" s="29">
        <v>0.44</v>
      </c>
      <c r="S78" s="27">
        <f t="shared" si="4"/>
        <v>2.5504750137381222</v>
      </c>
      <c r="T78" s="26">
        <v>0</v>
      </c>
    </row>
    <row r="79" spans="1:20" x14ac:dyDescent="0.3">
      <c r="A79" s="1">
        <f t="shared" si="8"/>
        <v>46235.124999999818</v>
      </c>
      <c r="B79" s="28">
        <v>2.5</v>
      </c>
      <c r="C79" s="29">
        <v>0.68</v>
      </c>
      <c r="D79" s="25">
        <f t="shared" si="0"/>
        <v>38.50238671260351</v>
      </c>
      <c r="E79" s="26">
        <v>6.9</v>
      </c>
      <c r="F79" s="29">
        <v>9.76</v>
      </c>
      <c r="G79" s="27">
        <f t="shared" si="1"/>
        <v>114.9691830713119</v>
      </c>
      <c r="H79" s="26">
        <v>7.2</v>
      </c>
      <c r="I79" s="29">
        <v>2.35</v>
      </c>
      <c r="J79" s="27">
        <f t="shared" si="7"/>
        <v>104.82789500000003</v>
      </c>
      <c r="K79" s="26">
        <v>30</v>
      </c>
      <c r="L79" s="29">
        <v>0.92</v>
      </c>
      <c r="M79" s="27">
        <f t="shared" si="2"/>
        <v>10.059300545880433</v>
      </c>
      <c r="N79" s="26">
        <v>2.2000000000000002</v>
      </c>
      <c r="O79" s="29">
        <v>1.48</v>
      </c>
      <c r="P79" s="27">
        <f t="shared" si="3"/>
        <v>49.23543634677646</v>
      </c>
      <c r="Q79" s="26">
        <v>12.7</v>
      </c>
      <c r="R79" s="29">
        <v>0.44</v>
      </c>
      <c r="S79" s="27">
        <f t="shared" si="4"/>
        <v>2.5504750137381222</v>
      </c>
      <c r="T79" s="26">
        <v>0</v>
      </c>
    </row>
    <row r="80" spans="1:20" x14ac:dyDescent="0.3">
      <c r="A80" s="1">
        <f t="shared" si="8"/>
        <v>46235.166666666482</v>
      </c>
      <c r="B80" s="28">
        <v>2.4</v>
      </c>
      <c r="C80" s="29">
        <v>0.8</v>
      </c>
      <c r="D80" s="25">
        <f t="shared" si="0"/>
        <v>44.832070894364279</v>
      </c>
      <c r="E80" s="26">
        <v>0</v>
      </c>
      <c r="F80" s="29">
        <v>10.130000000000001</v>
      </c>
      <c r="G80" s="27">
        <f t="shared" si="1"/>
        <v>146.97605466577721</v>
      </c>
      <c r="H80" s="26">
        <v>2</v>
      </c>
      <c r="I80" s="29">
        <v>2.78</v>
      </c>
      <c r="J80" s="27">
        <f t="shared" si="7"/>
        <v>158.68679679999997</v>
      </c>
      <c r="K80" s="26">
        <v>14.5</v>
      </c>
      <c r="L80" s="29">
        <v>2.72</v>
      </c>
      <c r="M80" s="27">
        <f t="shared" si="2"/>
        <v>89.509204640000007</v>
      </c>
      <c r="N80" s="26">
        <v>0.6</v>
      </c>
      <c r="O80" s="29">
        <v>3.93</v>
      </c>
      <c r="P80" s="27">
        <f t="shared" si="3"/>
        <v>190.19103447838407</v>
      </c>
      <c r="Q80" s="26">
        <v>23.7</v>
      </c>
      <c r="R80" s="29">
        <v>0.66</v>
      </c>
      <c r="S80" s="27">
        <f t="shared" si="4"/>
        <v>4.6809805852030717</v>
      </c>
      <c r="T80" s="26">
        <v>27.7</v>
      </c>
    </row>
    <row r="81" spans="1:20" x14ac:dyDescent="0.3">
      <c r="A81" s="1">
        <f t="shared" si="8"/>
        <v>46235.208333333147</v>
      </c>
      <c r="B81" s="28">
        <v>2.1</v>
      </c>
      <c r="C81" s="29">
        <v>0.99</v>
      </c>
      <c r="D81" s="25">
        <f t="shared" si="0"/>
        <v>55.611713938200261</v>
      </c>
      <c r="E81" s="26">
        <v>0</v>
      </c>
      <c r="F81" s="29">
        <v>10.73</v>
      </c>
      <c r="G81" s="27">
        <f t="shared" si="1"/>
        <v>204.4690321230174</v>
      </c>
      <c r="H81" s="26">
        <v>1.2</v>
      </c>
      <c r="I81" s="29">
        <v>3.8</v>
      </c>
      <c r="J81" s="27">
        <f t="shared" si="7"/>
        <v>332.88868000000002</v>
      </c>
      <c r="K81" s="26">
        <v>8</v>
      </c>
      <c r="L81" s="29">
        <v>3.7</v>
      </c>
      <c r="M81" s="27">
        <f t="shared" si="2"/>
        <v>154.73347899999999</v>
      </c>
      <c r="N81" s="26">
        <v>0.3</v>
      </c>
      <c r="O81" s="29">
        <v>5.14</v>
      </c>
      <c r="P81" s="27">
        <f t="shared" si="3"/>
        <v>275.74039506714252</v>
      </c>
      <c r="Q81" s="26">
        <v>6.9</v>
      </c>
      <c r="R81" s="29">
        <v>1.02</v>
      </c>
      <c r="S81" s="27">
        <f t="shared" si="4"/>
        <v>10.216161650359053</v>
      </c>
      <c r="T81" s="26">
        <v>11.5</v>
      </c>
    </row>
    <row r="82" spans="1:20" x14ac:dyDescent="0.3">
      <c r="A82" s="1">
        <f t="shared" si="8"/>
        <v>46235.249999999811</v>
      </c>
      <c r="B82" s="28">
        <v>1.9</v>
      </c>
      <c r="C82" s="29">
        <v>1.21</v>
      </c>
      <c r="D82" s="25">
        <f t="shared" si="0"/>
        <v>69.205767921850821</v>
      </c>
      <c r="E82" s="26">
        <v>0.7</v>
      </c>
      <c r="F82" s="29">
        <v>11.75</v>
      </c>
      <c r="G82" s="27">
        <f t="shared" si="1"/>
        <v>316.52340281276634</v>
      </c>
      <c r="H82" s="26">
        <v>7.5</v>
      </c>
      <c r="I82" s="29">
        <v>4.3</v>
      </c>
      <c r="J82" s="27">
        <f t="shared" si="7"/>
        <v>442.14727999999997</v>
      </c>
      <c r="K82" s="26">
        <v>1.2</v>
      </c>
      <c r="L82" s="31">
        <v>4.0199999999999996</v>
      </c>
      <c r="M82" s="27">
        <f t="shared" si="2"/>
        <v>179.74487483999994</v>
      </c>
      <c r="N82" s="26">
        <v>0</v>
      </c>
      <c r="O82" s="29">
        <v>5.75</v>
      </c>
      <c r="P82" s="27">
        <f t="shared" si="3"/>
        <v>322.03123154391454</v>
      </c>
      <c r="Q82" s="26">
        <v>1.3</v>
      </c>
      <c r="R82" s="29">
        <v>0.98</v>
      </c>
      <c r="S82" s="27">
        <f t="shared" si="4"/>
        <v>9.4589972491141996</v>
      </c>
      <c r="T82" s="26">
        <v>1.3</v>
      </c>
    </row>
    <row r="83" spans="1:20" x14ac:dyDescent="0.3">
      <c r="A83" s="1">
        <f t="shared" si="8"/>
        <v>46235.291666666475</v>
      </c>
      <c r="B83" s="28">
        <v>1.6</v>
      </c>
      <c r="C83" s="29">
        <v>1.56</v>
      </c>
      <c r="D83" s="25">
        <f t="shared" si="0"/>
        <v>93.166619814097928</v>
      </c>
      <c r="E83" s="26">
        <v>0</v>
      </c>
      <c r="F83" s="29">
        <v>13.04</v>
      </c>
      <c r="G83" s="27">
        <f t="shared" si="1"/>
        <v>481.16030720260062</v>
      </c>
      <c r="H83" s="26">
        <v>0.7</v>
      </c>
      <c r="I83" s="29">
        <v>5.35</v>
      </c>
      <c r="J83" s="27">
        <f t="shared" si="7"/>
        <v>722.69709499999976</v>
      </c>
      <c r="K83" s="26">
        <v>2</v>
      </c>
      <c r="L83" s="29">
        <v>3.89</v>
      </c>
      <c r="M83" s="27">
        <f t="shared" si="2"/>
        <v>169.36349591000001</v>
      </c>
      <c r="N83" s="26">
        <v>0.3</v>
      </c>
      <c r="O83" s="29">
        <v>5.22</v>
      </c>
      <c r="P83" s="27">
        <f t="shared" si="3"/>
        <v>281.69690244035218</v>
      </c>
      <c r="Q83" s="26">
        <v>3.1</v>
      </c>
      <c r="R83" s="29">
        <v>0.95</v>
      </c>
      <c r="S83" s="27">
        <f t="shared" si="4"/>
        <v>8.9158859083025686</v>
      </c>
      <c r="T83" s="26">
        <v>1.8</v>
      </c>
    </row>
    <row r="84" spans="1:20" x14ac:dyDescent="0.3">
      <c r="A84" s="1">
        <f t="shared" si="8"/>
        <v>46235.333333333139</v>
      </c>
      <c r="B84" s="28">
        <v>1.1000000000000001</v>
      </c>
      <c r="C84" s="29">
        <v>2.1800000000000002</v>
      </c>
      <c r="D84" s="25">
        <f t="shared" si="0"/>
        <v>142.17994549591933</v>
      </c>
      <c r="E84" s="26">
        <v>0</v>
      </c>
      <c r="F84" s="29">
        <v>13.85</v>
      </c>
      <c r="G84" s="27">
        <f t="shared" si="1"/>
        <v>596.34154064536244</v>
      </c>
      <c r="H84" s="26">
        <v>0</v>
      </c>
      <c r="I84" s="29">
        <v>3</v>
      </c>
      <c r="J84" s="27">
        <f t="shared" si="7"/>
        <v>190.733</v>
      </c>
      <c r="K84" s="26">
        <v>0</v>
      </c>
      <c r="L84" s="29">
        <v>3.35</v>
      </c>
      <c r="M84" s="27">
        <f t="shared" si="2"/>
        <v>129.47066974999998</v>
      </c>
      <c r="N84" s="26">
        <v>0</v>
      </c>
      <c r="O84" s="29">
        <v>4.8</v>
      </c>
      <c r="P84" s="27">
        <f t="shared" si="3"/>
        <v>250.82524995371017</v>
      </c>
      <c r="Q84" s="26">
        <v>0</v>
      </c>
      <c r="R84" s="29">
        <v>0.93</v>
      </c>
      <c r="S84" s="27">
        <f t="shared" si="4"/>
        <v>8.5653912239985175</v>
      </c>
      <c r="T84" s="26">
        <v>1.4</v>
      </c>
    </row>
    <row r="85" spans="1:20" x14ac:dyDescent="0.3">
      <c r="A85" s="1">
        <f t="shared" si="8"/>
        <v>46235.374999999804</v>
      </c>
      <c r="B85" s="28">
        <v>0.9</v>
      </c>
      <c r="C85" s="29">
        <v>2.98</v>
      </c>
      <c r="D85" s="25">
        <f t="shared" si="0"/>
        <v>216.8450016107131</v>
      </c>
      <c r="E85" s="26">
        <v>0</v>
      </c>
      <c r="F85" s="29">
        <v>14.45</v>
      </c>
      <c r="G85" s="27">
        <f t="shared" si="1"/>
        <v>732.37843933439979</v>
      </c>
      <c r="H85" s="26">
        <v>0</v>
      </c>
      <c r="I85" s="29">
        <v>2.6</v>
      </c>
      <c r="J85" s="27">
        <f t="shared" si="7"/>
        <v>134.72812000000005</v>
      </c>
      <c r="K85" s="26">
        <v>0.5</v>
      </c>
      <c r="L85" s="29">
        <v>2.79</v>
      </c>
      <c r="M85" s="27">
        <f t="shared" si="2"/>
        <v>93.599425109999984</v>
      </c>
      <c r="N85" s="26">
        <v>0</v>
      </c>
      <c r="O85" s="29">
        <v>3.29</v>
      </c>
      <c r="P85" s="27">
        <f t="shared" si="3"/>
        <v>148.71860841174521</v>
      </c>
      <c r="Q85" s="26">
        <v>0</v>
      </c>
      <c r="R85" s="29">
        <v>0.85</v>
      </c>
      <c r="S85" s="27">
        <f t="shared" si="4"/>
        <v>7.2535924802425615</v>
      </c>
      <c r="T85" s="26">
        <v>3.2</v>
      </c>
    </row>
    <row r="86" spans="1:20" x14ac:dyDescent="0.3">
      <c r="A86" s="1">
        <f t="shared" si="8"/>
        <v>46235.416666666468</v>
      </c>
      <c r="B86" s="28">
        <v>0.8</v>
      </c>
      <c r="C86" s="29">
        <v>3.8</v>
      </c>
      <c r="D86" s="25">
        <f t="shared" si="0"/>
        <v>308.02592239999996</v>
      </c>
      <c r="E86" s="26">
        <v>0</v>
      </c>
      <c r="F86" s="29">
        <v>14.75</v>
      </c>
      <c r="G86" s="27">
        <f t="shared" si="1"/>
        <v>786.3242078543999</v>
      </c>
      <c r="H86" s="26">
        <v>0</v>
      </c>
      <c r="I86" s="29">
        <v>2.54</v>
      </c>
      <c r="J86" s="27">
        <f t="shared" si="7"/>
        <v>127.19408320000002</v>
      </c>
      <c r="K86" s="26">
        <v>1.5</v>
      </c>
      <c r="L86" s="29">
        <v>2.33</v>
      </c>
      <c r="M86" s="27">
        <f t="shared" si="2"/>
        <v>68.322355189999996</v>
      </c>
      <c r="N86" s="26">
        <v>0</v>
      </c>
      <c r="O86" s="29">
        <v>2.56</v>
      </c>
      <c r="P86" s="27">
        <f t="shared" si="3"/>
        <v>105.09742934281235</v>
      </c>
      <c r="Q86" s="26">
        <v>0</v>
      </c>
      <c r="R86" s="29">
        <v>0.81</v>
      </c>
      <c r="S86" s="27">
        <f t="shared" si="4"/>
        <v>6.6502085073063615</v>
      </c>
      <c r="T86" s="26">
        <v>0.7</v>
      </c>
    </row>
    <row r="87" spans="1:20" x14ac:dyDescent="0.3">
      <c r="A87" s="1">
        <f t="shared" si="8"/>
        <v>46235.458333333132</v>
      </c>
      <c r="B87" s="28">
        <v>0.8</v>
      </c>
      <c r="C87" s="29">
        <v>4.34</v>
      </c>
      <c r="D87" s="25">
        <f t="shared" si="0"/>
        <v>381.18914000000012</v>
      </c>
      <c r="E87" s="26">
        <v>0</v>
      </c>
      <c r="F87" s="29">
        <v>14.9</v>
      </c>
      <c r="G87" s="27">
        <f t="shared" si="1"/>
        <v>813.96116386439985</v>
      </c>
      <c r="H87" s="26">
        <v>0</v>
      </c>
      <c r="I87" s="29">
        <v>2.38</v>
      </c>
      <c r="J87" s="27">
        <f t="shared" si="7"/>
        <v>108.2086688</v>
      </c>
      <c r="K87" s="26">
        <v>0</v>
      </c>
      <c r="L87" s="29">
        <v>1.9</v>
      </c>
      <c r="M87" s="27">
        <f t="shared" si="2"/>
        <v>42.943798548287198</v>
      </c>
      <c r="N87" s="26">
        <v>0</v>
      </c>
      <c r="O87" s="29">
        <v>2.13</v>
      </c>
      <c r="P87" s="27">
        <f t="shared" si="3"/>
        <v>81.485685734910632</v>
      </c>
      <c r="Q87" s="26">
        <v>0</v>
      </c>
      <c r="R87" s="29">
        <v>0.81</v>
      </c>
      <c r="S87" s="27">
        <f t="shared" si="4"/>
        <v>6.6502085073063615</v>
      </c>
      <c r="T87" s="26">
        <v>0</v>
      </c>
    </row>
    <row r="88" spans="1:20" x14ac:dyDescent="0.3">
      <c r="A88" s="1">
        <f t="shared" si="8"/>
        <v>46235.499999999796</v>
      </c>
      <c r="B88" s="28">
        <v>1</v>
      </c>
      <c r="C88" s="29">
        <v>4.8</v>
      </c>
      <c r="D88" s="25">
        <f t="shared" si="0"/>
        <v>449.58260239999998</v>
      </c>
      <c r="E88" s="26">
        <v>0</v>
      </c>
      <c r="F88" s="29">
        <v>14.95</v>
      </c>
      <c r="G88" s="27">
        <f t="shared" si="1"/>
        <v>823.2718635343997</v>
      </c>
      <c r="H88" s="26">
        <v>0</v>
      </c>
      <c r="I88" s="29">
        <v>2.1</v>
      </c>
      <c r="J88" s="27">
        <f t="shared" si="7"/>
        <v>79.164109359319397</v>
      </c>
      <c r="K88" s="26">
        <v>0</v>
      </c>
      <c r="L88" s="29">
        <v>1.45</v>
      </c>
      <c r="M88" s="27">
        <f t="shared" si="2"/>
        <v>25.250125968475022</v>
      </c>
      <c r="N88" s="26">
        <v>0</v>
      </c>
      <c r="O88" s="29">
        <v>1.79</v>
      </c>
      <c r="P88" s="27">
        <f t="shared" si="3"/>
        <v>64.057156100172492</v>
      </c>
      <c r="Q88" s="26">
        <v>0</v>
      </c>
      <c r="R88" s="29">
        <v>0.76</v>
      </c>
      <c r="S88" s="27">
        <f t="shared" si="4"/>
        <v>5.9433915844101195</v>
      </c>
      <c r="T88" s="26">
        <v>0</v>
      </c>
    </row>
    <row r="89" spans="1:20" x14ac:dyDescent="0.3">
      <c r="A89" s="1">
        <f t="shared" si="8"/>
        <v>46235.541666666461</v>
      </c>
      <c r="B89" s="28">
        <v>1.9</v>
      </c>
      <c r="C89" s="29">
        <v>5.12</v>
      </c>
      <c r="D89" s="25">
        <f t="shared" si="0"/>
        <v>500.45388559999998</v>
      </c>
      <c r="E89" s="26">
        <v>0</v>
      </c>
      <c r="F89" s="29">
        <v>14.88</v>
      </c>
      <c r="G89" s="27">
        <f t="shared" si="1"/>
        <v>810.25065733640008</v>
      </c>
      <c r="H89" s="26">
        <v>0</v>
      </c>
      <c r="I89" s="29">
        <v>1.9</v>
      </c>
      <c r="J89" s="27">
        <f t="shared" si="7"/>
        <v>57.619908538970712</v>
      </c>
      <c r="K89" s="26">
        <v>0</v>
      </c>
      <c r="L89" s="29">
        <v>1.31</v>
      </c>
      <c r="M89" s="27">
        <f t="shared" si="2"/>
        <v>20.629523940402766</v>
      </c>
      <c r="N89" s="26">
        <v>0</v>
      </c>
      <c r="O89" s="29">
        <v>1.59</v>
      </c>
      <c r="P89" s="27">
        <f t="shared" si="3"/>
        <v>54.370455330676243</v>
      </c>
      <c r="Q89" s="26">
        <v>0.5</v>
      </c>
      <c r="R89" s="29">
        <v>0.75</v>
      </c>
      <c r="S89" s="27">
        <f t="shared" si="4"/>
        <v>5.8082066340376368</v>
      </c>
      <c r="T89" s="26">
        <v>1.1000000000000001</v>
      </c>
    </row>
    <row r="90" spans="1:20" x14ac:dyDescent="0.3">
      <c r="A90" s="1">
        <f t="shared" si="8"/>
        <v>46235.583333333125</v>
      </c>
      <c r="B90" s="28">
        <v>2.6</v>
      </c>
      <c r="C90" s="29">
        <v>5.35</v>
      </c>
      <c r="D90" s="25">
        <f t="shared" si="0"/>
        <v>538.68666140000005</v>
      </c>
      <c r="E90" s="26">
        <v>0</v>
      </c>
      <c r="F90" s="29">
        <v>14.72</v>
      </c>
      <c r="G90" s="27">
        <f t="shared" si="1"/>
        <v>780.84994239240007</v>
      </c>
      <c r="H90" s="26">
        <v>0</v>
      </c>
      <c r="I90" s="29">
        <v>2.29</v>
      </c>
      <c r="J90" s="27">
        <f t="shared" si="7"/>
        <v>98.235918200000029</v>
      </c>
      <c r="K90" s="26">
        <v>0</v>
      </c>
      <c r="L90" s="29">
        <v>1.22</v>
      </c>
      <c r="M90" s="27">
        <f t="shared" si="2"/>
        <v>17.886438857153347</v>
      </c>
      <c r="N90" s="26">
        <v>0</v>
      </c>
      <c r="O90" s="29">
        <v>1.42</v>
      </c>
      <c r="P90" s="27">
        <f t="shared" si="3"/>
        <v>46.494998750979164</v>
      </c>
      <c r="Q90" s="26">
        <v>1.6</v>
      </c>
      <c r="R90" s="29">
        <v>0.74</v>
      </c>
      <c r="S90" s="27">
        <f t="shared" si="4"/>
        <v>5.675047643142344</v>
      </c>
      <c r="T90" s="26">
        <v>0.5</v>
      </c>
    </row>
    <row r="91" spans="1:20" x14ac:dyDescent="0.3">
      <c r="A91" s="1">
        <f t="shared" si="8"/>
        <v>46235.624999999789</v>
      </c>
      <c r="B91" s="28">
        <v>3</v>
      </c>
      <c r="C91" s="29">
        <v>5.51</v>
      </c>
      <c r="D91" s="25">
        <f t="shared" si="0"/>
        <v>566.1066806</v>
      </c>
      <c r="E91" s="26">
        <v>0</v>
      </c>
      <c r="F91" s="29">
        <v>14.46</v>
      </c>
      <c r="G91" s="27">
        <f t="shared" si="1"/>
        <v>734.14810112840007</v>
      </c>
      <c r="H91" s="26">
        <v>0</v>
      </c>
      <c r="I91" s="29">
        <v>2.0499999999999998</v>
      </c>
      <c r="J91" s="27">
        <f t="shared" si="7"/>
        <v>73.335134041812765</v>
      </c>
      <c r="K91" s="26">
        <v>0</v>
      </c>
      <c r="L91" s="29">
        <v>1.1399999999999999</v>
      </c>
      <c r="M91" s="27">
        <f t="shared" si="2"/>
        <v>15.599509997992106</v>
      </c>
      <c r="N91" s="26">
        <v>0</v>
      </c>
      <c r="O91" s="29">
        <v>1.32</v>
      </c>
      <c r="P91" s="27">
        <f t="shared" si="3"/>
        <v>42.026172175055144</v>
      </c>
      <c r="Q91" s="26">
        <v>0</v>
      </c>
      <c r="R91" s="29">
        <v>0.72</v>
      </c>
      <c r="S91" s="27">
        <f t="shared" si="4"/>
        <v>5.4147499634334659</v>
      </c>
      <c r="T91" s="26">
        <v>1.2</v>
      </c>
    </row>
    <row r="92" spans="1:20" x14ac:dyDescent="0.3">
      <c r="A92" s="1">
        <f t="shared" si="8"/>
        <v>46235.666666666453</v>
      </c>
      <c r="B92" s="28">
        <v>3.2</v>
      </c>
      <c r="C92" s="29">
        <v>5.6</v>
      </c>
      <c r="D92" s="25">
        <f t="shared" si="0"/>
        <v>581.8273064</v>
      </c>
      <c r="E92" s="26">
        <v>0</v>
      </c>
      <c r="F92" s="29">
        <v>14.11</v>
      </c>
      <c r="G92" s="27">
        <f t="shared" si="1"/>
        <v>635.12112304312041</v>
      </c>
      <c r="H92" s="26">
        <v>0</v>
      </c>
      <c r="I92" s="29">
        <v>1.8</v>
      </c>
      <c r="J92" s="27">
        <f t="shared" si="7"/>
        <v>48.533980852738132</v>
      </c>
      <c r="K92" s="26">
        <v>4.0999999999999996</v>
      </c>
      <c r="L92" s="29">
        <v>1.08</v>
      </c>
      <c r="M92" s="27">
        <f t="shared" si="2"/>
        <v>13.978827579869165</v>
      </c>
      <c r="N92" s="26">
        <v>0</v>
      </c>
      <c r="O92" s="29">
        <v>1.25</v>
      </c>
      <c r="P92" s="27">
        <f t="shared" si="3"/>
        <v>38.97388554502605</v>
      </c>
      <c r="Q92" s="26">
        <v>0</v>
      </c>
      <c r="R92" s="29">
        <v>0.68</v>
      </c>
      <c r="S92" s="27">
        <f t="shared" si="4"/>
        <v>4.9178320397206949</v>
      </c>
      <c r="T92" s="26">
        <v>3.3</v>
      </c>
    </row>
    <row r="93" spans="1:20" x14ac:dyDescent="0.3">
      <c r="A93" s="1">
        <f t="shared" si="8"/>
        <v>46235.708333333117</v>
      </c>
      <c r="B93" s="28">
        <v>3.1</v>
      </c>
      <c r="C93" s="29">
        <v>5.6</v>
      </c>
      <c r="D93" s="25">
        <f t="shared" si="0"/>
        <v>581.8273064</v>
      </c>
      <c r="E93" s="26">
        <v>0</v>
      </c>
      <c r="F93" s="29">
        <v>13.7</v>
      </c>
      <c r="G93" s="27">
        <f t="shared" si="1"/>
        <v>574.36169053385447</v>
      </c>
      <c r="H93" s="26">
        <v>0</v>
      </c>
      <c r="I93" s="29">
        <v>2.0499999999999998</v>
      </c>
      <c r="J93" s="27">
        <f t="shared" si="7"/>
        <v>73.335134041812765</v>
      </c>
      <c r="K93" s="26">
        <v>0</v>
      </c>
      <c r="L93" s="29">
        <v>1.03</v>
      </c>
      <c r="M93" s="27">
        <f t="shared" si="2"/>
        <v>12.690739673392212</v>
      </c>
      <c r="N93" s="26">
        <v>0</v>
      </c>
      <c r="O93" s="29">
        <v>1.2</v>
      </c>
      <c r="P93" s="27">
        <f t="shared" si="3"/>
        <v>36.833300630139185</v>
      </c>
      <c r="Q93" s="26">
        <v>0</v>
      </c>
      <c r="R93" s="29">
        <v>0.67</v>
      </c>
      <c r="S93" s="27">
        <f t="shared" si="4"/>
        <v>4.7984510822675412</v>
      </c>
      <c r="T93" s="26">
        <v>1.8</v>
      </c>
    </row>
    <row r="94" spans="1:20" x14ac:dyDescent="0.3">
      <c r="A94" s="1">
        <f t="shared" si="8"/>
        <v>46235.749999999782</v>
      </c>
      <c r="B94" s="28">
        <v>3</v>
      </c>
      <c r="C94" s="29">
        <v>5.53</v>
      </c>
      <c r="D94" s="25">
        <f t="shared" si="0"/>
        <v>569.58168139999998</v>
      </c>
      <c r="E94" s="26">
        <v>0</v>
      </c>
      <c r="F94" s="29">
        <v>13.42</v>
      </c>
      <c r="G94" s="27">
        <f t="shared" si="1"/>
        <v>534.11530681492866</v>
      </c>
      <c r="H94" s="26">
        <v>0</v>
      </c>
      <c r="I94" s="29">
        <v>1.9</v>
      </c>
      <c r="J94" s="27">
        <f t="shared" si="7"/>
        <v>57.619908538970712</v>
      </c>
      <c r="K94" s="26">
        <v>0</v>
      </c>
      <c r="L94" s="29">
        <v>0.95</v>
      </c>
      <c r="M94" s="27">
        <f t="shared" si="2"/>
        <v>10.7491654934399</v>
      </c>
      <c r="N94" s="26">
        <v>0</v>
      </c>
      <c r="O94" s="29">
        <v>1.1599999999999999</v>
      </c>
      <c r="P94" s="27">
        <f t="shared" si="3"/>
        <v>35.145246598678284</v>
      </c>
      <c r="Q94" s="26">
        <v>0</v>
      </c>
      <c r="R94" s="29">
        <v>0.67</v>
      </c>
      <c r="S94" s="27">
        <f t="shared" si="4"/>
        <v>4.7984510822675412</v>
      </c>
      <c r="T94" s="26">
        <v>0.8</v>
      </c>
    </row>
    <row r="95" spans="1:20" x14ac:dyDescent="0.3">
      <c r="A95" s="1">
        <f t="shared" si="8"/>
        <v>46235.791666666446</v>
      </c>
      <c r="B95" s="28">
        <v>3</v>
      </c>
      <c r="C95" s="29">
        <v>5.44</v>
      </c>
      <c r="D95" s="25">
        <f t="shared" si="0"/>
        <v>554.02729999999997</v>
      </c>
      <c r="E95" s="26">
        <v>0</v>
      </c>
      <c r="F95" s="29">
        <v>12.85</v>
      </c>
      <c r="G95" s="27">
        <f t="shared" si="1"/>
        <v>455.41860324571519</v>
      </c>
      <c r="H95" s="26">
        <v>0</v>
      </c>
      <c r="I95" s="29">
        <v>1.92</v>
      </c>
      <c r="J95" s="27">
        <f t="shared" si="7"/>
        <v>59.567075741720885</v>
      </c>
      <c r="K95" s="26">
        <v>1</v>
      </c>
      <c r="L95" s="29">
        <v>0.94</v>
      </c>
      <c r="M95" s="27">
        <f t="shared" si="2"/>
        <v>10.516881355120873</v>
      </c>
      <c r="N95" s="26">
        <v>0</v>
      </c>
      <c r="O95" s="29">
        <v>1.1299999999999999</v>
      </c>
      <c r="P95" s="27">
        <f t="shared" si="3"/>
        <v>33.89374670162605</v>
      </c>
      <c r="Q95" s="26">
        <v>0.5</v>
      </c>
      <c r="R95" s="29">
        <v>0.66</v>
      </c>
      <c r="S95" s="27">
        <f t="shared" si="4"/>
        <v>4.6809805852030717</v>
      </c>
      <c r="T95" s="26">
        <v>0.3</v>
      </c>
    </row>
    <row r="96" spans="1:20" x14ac:dyDescent="0.3">
      <c r="A96" s="1">
        <f t="shared" si="8"/>
        <v>46235.83333333311</v>
      </c>
      <c r="B96" s="28">
        <v>2.8</v>
      </c>
      <c r="C96" s="29">
        <v>5.3</v>
      </c>
      <c r="D96" s="25">
        <f t="shared" si="0"/>
        <v>530.25644239999986</v>
      </c>
      <c r="E96" s="26">
        <v>0</v>
      </c>
      <c r="F96" s="29">
        <v>12.46</v>
      </c>
      <c r="G96" s="27">
        <f t="shared" si="1"/>
        <v>404.16018115792599</v>
      </c>
      <c r="H96" s="26">
        <v>0</v>
      </c>
      <c r="I96" s="29">
        <v>1.96</v>
      </c>
      <c r="J96" s="27">
        <f t="shared" si="7"/>
        <v>63.595744430848178</v>
      </c>
      <c r="K96" s="26">
        <v>0</v>
      </c>
      <c r="L96" s="29">
        <v>0.92</v>
      </c>
      <c r="M96" s="27">
        <f t="shared" si="2"/>
        <v>10.059300545880433</v>
      </c>
      <c r="N96" s="26">
        <v>0</v>
      </c>
      <c r="O96" s="29">
        <v>1.08</v>
      </c>
      <c r="P96" s="27">
        <f t="shared" si="3"/>
        <v>31.836214508789663</v>
      </c>
      <c r="Q96" s="26">
        <v>0</v>
      </c>
      <c r="R96" s="29">
        <v>0.66</v>
      </c>
      <c r="S96" s="27">
        <f t="shared" si="4"/>
        <v>4.6809805852030717</v>
      </c>
      <c r="T96" s="26">
        <v>0</v>
      </c>
    </row>
    <row r="97" spans="1:20" x14ac:dyDescent="0.3">
      <c r="A97" s="1">
        <f t="shared" si="8"/>
        <v>46235.874999999774</v>
      </c>
      <c r="B97" s="28">
        <v>2.6</v>
      </c>
      <c r="C97" s="29">
        <v>5.12</v>
      </c>
      <c r="D97" s="25">
        <f t="shared" si="0"/>
        <v>500.45388559999998</v>
      </c>
      <c r="E97" s="26">
        <v>0</v>
      </c>
      <c r="F97" s="29">
        <v>12.07</v>
      </c>
      <c r="G97" s="27">
        <f t="shared" si="1"/>
        <v>355.09064984050269</v>
      </c>
      <c r="H97" s="26">
        <v>0</v>
      </c>
      <c r="I97" s="29">
        <v>1.9</v>
      </c>
      <c r="J97" s="27">
        <f t="shared" si="7"/>
        <v>57.619908538970712</v>
      </c>
      <c r="K97" s="26">
        <v>0</v>
      </c>
      <c r="L97" s="29">
        <v>0.9</v>
      </c>
      <c r="M97" s="27">
        <f t="shared" si="2"/>
        <v>9.6110653101281329</v>
      </c>
      <c r="N97" s="26">
        <v>0</v>
      </c>
      <c r="O97" s="29">
        <v>1</v>
      </c>
      <c r="P97" s="27">
        <f t="shared" si="3"/>
        <v>28.62</v>
      </c>
      <c r="Q97" s="26">
        <v>0</v>
      </c>
      <c r="R97" s="29">
        <v>0.66</v>
      </c>
      <c r="S97" s="27">
        <f t="shared" si="4"/>
        <v>4.6809805852030717</v>
      </c>
      <c r="T97" s="26">
        <v>0.5</v>
      </c>
    </row>
    <row r="98" spans="1:20" x14ac:dyDescent="0.3">
      <c r="A98" s="1">
        <f t="shared" si="8"/>
        <v>46235.916666666439</v>
      </c>
      <c r="B98" s="28">
        <v>2.5</v>
      </c>
      <c r="C98" s="29">
        <v>4.91</v>
      </c>
      <c r="D98" s="25">
        <f t="shared" si="0"/>
        <v>466.76482460000011</v>
      </c>
      <c r="E98" s="26">
        <v>0</v>
      </c>
      <c r="F98" s="29">
        <v>11.73</v>
      </c>
      <c r="G98" s="27">
        <f t="shared" si="1"/>
        <v>314.16498346659176</v>
      </c>
      <c r="H98" s="26">
        <v>0</v>
      </c>
      <c r="I98" s="29">
        <v>1.9</v>
      </c>
      <c r="J98" s="27">
        <f t="shared" si="7"/>
        <v>57.619908538970712</v>
      </c>
      <c r="K98" s="26">
        <v>0</v>
      </c>
      <c r="L98" s="29">
        <v>0.86</v>
      </c>
      <c r="M98" s="27">
        <f t="shared" si="2"/>
        <v>8.7427750414114982</v>
      </c>
      <c r="N98" s="26">
        <v>0</v>
      </c>
      <c r="O98" s="29">
        <v>1.01</v>
      </c>
      <c r="P98" s="27">
        <f t="shared" si="3"/>
        <v>29.016802012810686</v>
      </c>
      <c r="Q98" s="26">
        <v>0</v>
      </c>
      <c r="R98" s="29">
        <v>0.65</v>
      </c>
      <c r="S98" s="27">
        <f t="shared" si="4"/>
        <v>4.5654060497778257</v>
      </c>
      <c r="T98" s="26">
        <v>0</v>
      </c>
    </row>
    <row r="99" spans="1:20" x14ac:dyDescent="0.3">
      <c r="A99" s="1">
        <f t="shared" si="8"/>
        <v>46235.958333333103</v>
      </c>
      <c r="B99" s="28">
        <v>2.5</v>
      </c>
      <c r="C99" s="29">
        <v>4.7</v>
      </c>
      <c r="D99" s="25">
        <f t="shared" si="0"/>
        <v>434.23947440000001</v>
      </c>
      <c r="E99" s="26">
        <v>0</v>
      </c>
      <c r="F99" s="29">
        <v>11.45</v>
      </c>
      <c r="G99" s="27">
        <f t="shared" si="1"/>
        <v>281.80479993624766</v>
      </c>
      <c r="H99" s="26">
        <v>0</v>
      </c>
      <c r="I99" s="29">
        <v>1.85</v>
      </c>
      <c r="J99" s="27">
        <f t="shared" si="7"/>
        <v>52.943525716422748</v>
      </c>
      <c r="K99" s="26">
        <v>0</v>
      </c>
      <c r="L99" s="29">
        <v>0.83</v>
      </c>
      <c r="M99" s="27">
        <f t="shared" si="2"/>
        <v>8.1163620624984478</v>
      </c>
      <c r="N99" s="26">
        <v>0</v>
      </c>
      <c r="O99" s="29">
        <v>1</v>
      </c>
      <c r="P99" s="27">
        <f t="shared" si="3"/>
        <v>28.62</v>
      </c>
      <c r="Q99" s="26">
        <v>0</v>
      </c>
      <c r="R99" s="29">
        <v>0.65</v>
      </c>
      <c r="S99" s="27">
        <f t="shared" si="4"/>
        <v>4.5654060497778257</v>
      </c>
      <c r="T99" s="26">
        <v>0</v>
      </c>
    </row>
    <row r="100" spans="1:20" x14ac:dyDescent="0.3">
      <c r="A100" s="1">
        <f t="shared" si="8"/>
        <v>46235.999999999767</v>
      </c>
      <c r="B100" s="28">
        <v>2.5</v>
      </c>
      <c r="C100" s="29">
        <v>4.5199999999999996</v>
      </c>
      <c r="D100" s="25">
        <f t="shared" si="0"/>
        <v>407.2868216</v>
      </c>
      <c r="E100" s="26">
        <v>0</v>
      </c>
      <c r="F100" s="29">
        <v>11.2</v>
      </c>
      <c r="G100" s="27">
        <f t="shared" si="1"/>
        <v>253.97179656486941</v>
      </c>
      <c r="H100" s="26">
        <v>0</v>
      </c>
      <c r="I100" s="29">
        <v>1.73</v>
      </c>
      <c r="J100" s="27">
        <f t="shared" si="7"/>
        <v>42.792832837073</v>
      </c>
      <c r="K100" s="26">
        <v>0</v>
      </c>
      <c r="L100" s="29">
        <v>0.8</v>
      </c>
      <c r="M100" s="27">
        <f t="shared" si="2"/>
        <v>7.5113568386706309</v>
      </c>
      <c r="N100" s="26">
        <v>0</v>
      </c>
      <c r="O100" s="29">
        <v>0.99</v>
      </c>
      <c r="P100" s="27">
        <f t="shared" si="3"/>
        <v>28.224718014987882</v>
      </c>
      <c r="Q100" s="26">
        <v>1</v>
      </c>
      <c r="R100" s="29">
        <v>0.64</v>
      </c>
      <c r="S100" s="27">
        <f t="shared" si="4"/>
        <v>4.4517129631738817</v>
      </c>
      <c r="T100" s="26">
        <v>0</v>
      </c>
    </row>
    <row r="101" spans="1:20" x14ac:dyDescent="0.3">
      <c r="A101" s="1">
        <f t="shared" si="8"/>
        <v>46236.041666666431</v>
      </c>
      <c r="B101" s="28">
        <v>2.6</v>
      </c>
      <c r="C101" s="29">
        <v>4.28</v>
      </c>
      <c r="D101" s="25">
        <f t="shared" si="0"/>
        <v>372.67990639999999</v>
      </c>
      <c r="E101" s="26">
        <v>0</v>
      </c>
      <c r="F101" s="29">
        <v>10.98</v>
      </c>
      <c r="G101" s="27">
        <f t="shared" si="1"/>
        <v>230.33186738319637</v>
      </c>
      <c r="H101" s="26">
        <v>0</v>
      </c>
      <c r="I101" s="29">
        <v>1.6</v>
      </c>
      <c r="J101" s="27">
        <f t="shared" si="7"/>
        <v>33.395882431255551</v>
      </c>
      <c r="K101" s="26">
        <v>0</v>
      </c>
      <c r="L101" s="29">
        <v>0.76</v>
      </c>
      <c r="M101" s="27">
        <f t="shared" si="2"/>
        <v>6.7382251362327201</v>
      </c>
      <c r="N101" s="26">
        <v>0</v>
      </c>
      <c r="O101" s="29">
        <v>0.97</v>
      </c>
      <c r="P101" s="27">
        <f t="shared" si="3"/>
        <v>27.438752055896515</v>
      </c>
      <c r="Q101" s="26">
        <v>0</v>
      </c>
      <c r="R101" s="29">
        <v>0.64</v>
      </c>
      <c r="S101" s="27">
        <f t="shared" si="4"/>
        <v>4.4517129631738817</v>
      </c>
      <c r="T101" s="26">
        <v>0.5</v>
      </c>
    </row>
    <row r="102" spans="1:20" x14ac:dyDescent="0.3">
      <c r="A102" s="1">
        <f t="shared" si="8"/>
        <v>46236.083333333096</v>
      </c>
      <c r="B102" s="28">
        <v>2.7</v>
      </c>
      <c r="C102" s="29">
        <v>4.13</v>
      </c>
      <c r="D102" s="25">
        <f t="shared" si="0"/>
        <v>351.82243339999997</v>
      </c>
      <c r="E102" s="26">
        <v>0</v>
      </c>
      <c r="F102" s="29">
        <v>10.81</v>
      </c>
      <c r="G102" s="27">
        <f t="shared" si="1"/>
        <v>212.62721319943739</v>
      </c>
      <c r="H102" s="26">
        <v>0</v>
      </c>
      <c r="I102" s="29">
        <v>1.6</v>
      </c>
      <c r="J102" s="27">
        <f t="shared" si="7"/>
        <v>33.395882431255551</v>
      </c>
      <c r="K102" s="26">
        <v>0</v>
      </c>
      <c r="L102" s="29">
        <v>0.74</v>
      </c>
      <c r="M102" s="27">
        <f t="shared" si="2"/>
        <v>6.3661320741246294</v>
      </c>
      <c r="N102" s="26">
        <v>0</v>
      </c>
      <c r="O102" s="29">
        <v>0.95</v>
      </c>
      <c r="P102" s="27">
        <f t="shared" si="3"/>
        <v>26.658981570242144</v>
      </c>
      <c r="Q102" s="26">
        <v>0</v>
      </c>
      <c r="R102" s="29">
        <v>0.64</v>
      </c>
      <c r="S102" s="27">
        <f t="shared" si="4"/>
        <v>4.4517129631738817</v>
      </c>
      <c r="T102" s="26">
        <v>0</v>
      </c>
    </row>
    <row r="103" spans="1:20" x14ac:dyDescent="0.3">
      <c r="A103" s="1">
        <f t="shared" si="8"/>
        <v>46236.12499999976</v>
      </c>
      <c r="B103" s="28">
        <v>2.8</v>
      </c>
      <c r="C103" s="29">
        <v>4.05</v>
      </c>
      <c r="D103" s="25">
        <f t="shared" si="0"/>
        <v>340.94121739999991</v>
      </c>
      <c r="E103" s="26">
        <v>0</v>
      </c>
      <c r="F103" s="29">
        <v>10.68</v>
      </c>
      <c r="G103" s="27">
        <f t="shared" si="1"/>
        <v>199.42734801195471</v>
      </c>
      <c r="H103" s="26">
        <v>0</v>
      </c>
      <c r="I103" s="29">
        <v>1.7</v>
      </c>
      <c r="J103" s="27">
        <f t="shared" si="7"/>
        <v>40.481662713133296</v>
      </c>
      <c r="K103" s="26">
        <v>0</v>
      </c>
      <c r="L103" s="29">
        <v>0.72</v>
      </c>
      <c r="M103" s="27">
        <f t="shared" si="2"/>
        <v>6.0037482250421368</v>
      </c>
      <c r="N103" s="26">
        <v>0</v>
      </c>
      <c r="O103" s="29">
        <v>0.94</v>
      </c>
      <c r="P103" s="27">
        <f t="shared" si="3"/>
        <v>26.271444542051679</v>
      </c>
      <c r="Q103" s="26">
        <v>0</v>
      </c>
      <c r="R103" s="29">
        <v>0.64</v>
      </c>
      <c r="S103" s="27">
        <f t="shared" si="4"/>
        <v>4.4517129631738817</v>
      </c>
      <c r="T103" s="26">
        <v>0</v>
      </c>
    </row>
    <row r="104" spans="1:20" x14ac:dyDescent="0.3">
      <c r="A104" s="1">
        <f t="shared" si="8"/>
        <v>46236.166666666424</v>
      </c>
      <c r="B104" s="28">
        <v>2.6</v>
      </c>
      <c r="C104" s="29">
        <v>3.81</v>
      </c>
      <c r="D104" s="25">
        <f t="shared" si="0"/>
        <v>309.31086860000005</v>
      </c>
      <c r="E104" s="26">
        <v>0</v>
      </c>
      <c r="F104" s="29">
        <v>10.57</v>
      </c>
      <c r="G104" s="27">
        <f t="shared" si="1"/>
        <v>188.49232289763052</v>
      </c>
      <c r="H104" s="26">
        <v>0</v>
      </c>
      <c r="I104" s="29">
        <v>1.7</v>
      </c>
      <c r="J104" s="27">
        <f t="shared" si="7"/>
        <v>40.481662713133296</v>
      </c>
      <c r="K104" s="26">
        <v>0.5</v>
      </c>
      <c r="L104" s="29">
        <v>0.7</v>
      </c>
      <c r="M104" s="27">
        <f t="shared" si="2"/>
        <v>5.6511211857306698</v>
      </c>
      <c r="N104" s="26">
        <v>0</v>
      </c>
      <c r="O104" s="29">
        <v>0.9</v>
      </c>
      <c r="P104" s="27">
        <f t="shared" si="3"/>
        <v>24.737192802536985</v>
      </c>
      <c r="Q104" s="26">
        <v>0</v>
      </c>
      <c r="R104" s="29">
        <v>0.64</v>
      </c>
      <c r="S104" s="27">
        <f t="shared" si="4"/>
        <v>4.4517129631738817</v>
      </c>
      <c r="T104" s="26">
        <v>0</v>
      </c>
    </row>
    <row r="105" spans="1:20" x14ac:dyDescent="0.3">
      <c r="A105" s="1">
        <f t="shared" si="8"/>
        <v>46236.208333333088</v>
      </c>
      <c r="B105" s="28">
        <v>2.2999999999999998</v>
      </c>
      <c r="C105" s="29">
        <v>3.54</v>
      </c>
      <c r="D105" s="25">
        <f t="shared" si="0"/>
        <v>275.54353999999995</v>
      </c>
      <c r="E105" s="26">
        <v>0</v>
      </c>
      <c r="F105" s="29">
        <v>10.47</v>
      </c>
      <c r="G105" s="27">
        <f t="shared" si="1"/>
        <v>178.74083882152107</v>
      </c>
      <c r="H105" s="26">
        <v>0</v>
      </c>
      <c r="I105" s="29">
        <v>1.85</v>
      </c>
      <c r="J105" s="27">
        <f t="shared" si="7"/>
        <v>52.943525716422748</v>
      </c>
      <c r="K105" s="26">
        <v>4.5</v>
      </c>
      <c r="L105" s="29">
        <v>0.68</v>
      </c>
      <c r="M105" s="27">
        <f t="shared" si="2"/>
        <v>5.3083003593465445</v>
      </c>
      <c r="N105" s="26">
        <v>0</v>
      </c>
      <c r="O105" s="29">
        <v>0.85</v>
      </c>
      <c r="P105" s="27">
        <f t="shared" si="3"/>
        <v>22.855963763230644</v>
      </c>
      <c r="Q105" s="26">
        <v>0</v>
      </c>
      <c r="R105" s="29">
        <v>0.63</v>
      </c>
      <c r="S105" s="27">
        <f t="shared" si="4"/>
        <v>4.3398867983686378</v>
      </c>
      <c r="T105" s="26">
        <v>0</v>
      </c>
    </row>
    <row r="106" spans="1:20" x14ac:dyDescent="0.3">
      <c r="A106" s="1">
        <f t="shared" si="8"/>
        <v>46236.249999999753</v>
      </c>
      <c r="B106" s="28">
        <v>2</v>
      </c>
      <c r="C106" s="29">
        <v>3.14</v>
      </c>
      <c r="D106" s="25">
        <f t="shared" si="0"/>
        <v>233.22909215584443</v>
      </c>
      <c r="E106" s="26">
        <v>1</v>
      </c>
      <c r="F106" s="29">
        <v>10.47</v>
      </c>
      <c r="G106" s="27">
        <f t="shared" si="1"/>
        <v>178.74083882152107</v>
      </c>
      <c r="H106" s="26">
        <v>1</v>
      </c>
      <c r="I106" s="29">
        <v>1.85</v>
      </c>
      <c r="J106" s="27">
        <f t="shared" si="7"/>
        <v>52.943525716422748</v>
      </c>
      <c r="K106" s="26">
        <v>0.5</v>
      </c>
      <c r="L106" s="29">
        <v>0.67</v>
      </c>
      <c r="M106" s="27">
        <f t="shared" si="2"/>
        <v>5.1405832407083292</v>
      </c>
      <c r="N106" s="26">
        <v>0</v>
      </c>
      <c r="O106" s="29">
        <v>0.87</v>
      </c>
      <c r="P106" s="27">
        <f t="shared" si="3"/>
        <v>23.60349809359256</v>
      </c>
      <c r="Q106" s="26">
        <v>0.3</v>
      </c>
      <c r="R106" s="29">
        <v>0.63</v>
      </c>
      <c r="S106" s="27">
        <f t="shared" si="4"/>
        <v>4.3398867983686378</v>
      </c>
      <c r="T106" s="26">
        <v>0</v>
      </c>
    </row>
    <row r="107" spans="1:20" x14ac:dyDescent="0.3">
      <c r="A107" s="1">
        <f t="shared" si="8"/>
        <v>46236.291666666417</v>
      </c>
      <c r="B107" s="28">
        <v>1.8</v>
      </c>
      <c r="C107" s="29">
        <v>2.74</v>
      </c>
      <c r="D107" s="25">
        <f t="shared" si="0"/>
        <v>193.15775974510467</v>
      </c>
      <c r="E107" s="26">
        <v>0</v>
      </c>
      <c r="F107" s="29">
        <v>10.28</v>
      </c>
      <c r="G107" s="27">
        <f t="shared" si="1"/>
        <v>160.72077199440776</v>
      </c>
      <c r="H107" s="26">
        <v>0.7</v>
      </c>
      <c r="I107" s="29">
        <v>1.83</v>
      </c>
      <c r="J107" s="27">
        <f t="shared" si="7"/>
        <v>51.14816107888435</v>
      </c>
      <c r="K107" s="26">
        <v>0</v>
      </c>
      <c r="L107" s="29">
        <v>0.65</v>
      </c>
      <c r="M107" s="27">
        <f t="shared" si="2"/>
        <v>4.8125686454472945</v>
      </c>
      <c r="N107" s="26">
        <v>0</v>
      </c>
      <c r="O107" s="29">
        <v>0.9</v>
      </c>
      <c r="P107" s="27">
        <f t="shared" si="3"/>
        <v>24.737192802536985</v>
      </c>
      <c r="Q107" s="26">
        <v>0</v>
      </c>
      <c r="R107" s="29">
        <v>0.62</v>
      </c>
      <c r="S107" s="27">
        <f t="shared" si="4"/>
        <v>4.2299130139961596</v>
      </c>
      <c r="T107" s="26">
        <v>0.5</v>
      </c>
    </row>
    <row r="108" spans="1:20" x14ac:dyDescent="0.3">
      <c r="A108" s="1">
        <f t="shared" si="8"/>
        <v>46236.333333333081</v>
      </c>
      <c r="B108" s="28">
        <v>1.6</v>
      </c>
      <c r="C108" s="29">
        <v>2.59</v>
      </c>
      <c r="D108" s="25">
        <f t="shared" si="0"/>
        <v>178.90523160238175</v>
      </c>
      <c r="E108" s="26">
        <v>0</v>
      </c>
      <c r="F108" s="29">
        <v>10.18</v>
      </c>
      <c r="G108" s="27">
        <f t="shared" si="1"/>
        <v>151.50961118686655</v>
      </c>
      <c r="H108" s="26">
        <v>0</v>
      </c>
      <c r="I108" s="29">
        <v>1.81</v>
      </c>
      <c r="J108" s="27">
        <f t="shared" si="7"/>
        <v>49.394948765022406</v>
      </c>
      <c r="K108" s="26">
        <v>0</v>
      </c>
      <c r="L108" s="29">
        <v>0.63</v>
      </c>
      <c r="M108" s="27">
        <f t="shared" si="2"/>
        <v>4.494492579352821</v>
      </c>
      <c r="N108" s="26">
        <v>0</v>
      </c>
      <c r="O108" s="29">
        <v>0.89</v>
      </c>
      <c r="P108" s="27">
        <f t="shared" si="3"/>
        <v>24.357657566155829</v>
      </c>
      <c r="Q108" s="26">
        <v>0</v>
      </c>
      <c r="R108" s="29">
        <v>0.62</v>
      </c>
      <c r="S108" s="27">
        <f t="shared" si="4"/>
        <v>4.2299130139961596</v>
      </c>
      <c r="T108" s="26">
        <v>0</v>
      </c>
    </row>
    <row r="109" spans="1:20" x14ac:dyDescent="0.3">
      <c r="A109" s="1">
        <f t="shared" si="8"/>
        <v>46236.374999999745</v>
      </c>
      <c r="B109" s="28">
        <v>1.6</v>
      </c>
      <c r="C109" s="29">
        <v>2.44</v>
      </c>
      <c r="D109" s="25">
        <f t="shared" si="0"/>
        <v>165.0856912090893</v>
      </c>
      <c r="E109" s="26">
        <v>0</v>
      </c>
      <c r="F109" s="29">
        <v>10.1</v>
      </c>
      <c r="G109" s="27">
        <f t="shared" si="1"/>
        <v>144.27921778087705</v>
      </c>
      <c r="H109" s="26">
        <v>0</v>
      </c>
      <c r="I109" s="29">
        <v>1.8</v>
      </c>
      <c r="J109" s="27">
        <f t="shared" si="7"/>
        <v>48.533980852738132</v>
      </c>
      <c r="K109" s="26">
        <v>0</v>
      </c>
      <c r="L109" s="29">
        <v>0.62</v>
      </c>
      <c r="M109" s="27">
        <f t="shared" si="2"/>
        <v>4.3391991700825621</v>
      </c>
      <c r="N109" s="26">
        <v>0</v>
      </c>
      <c r="O109" s="29">
        <v>0.87</v>
      </c>
      <c r="P109" s="27">
        <f t="shared" si="3"/>
        <v>23.60349809359256</v>
      </c>
      <c r="Q109" s="26">
        <v>0</v>
      </c>
      <c r="R109" s="29">
        <v>0.65</v>
      </c>
      <c r="S109" s="27">
        <f t="shared" si="4"/>
        <v>4.5654060497778257</v>
      </c>
      <c r="T109" s="26">
        <v>0</v>
      </c>
    </row>
    <row r="110" spans="1:20" x14ac:dyDescent="0.3">
      <c r="A110" s="1">
        <f t="shared" si="8"/>
        <v>46236.41666666641</v>
      </c>
      <c r="B110" s="28">
        <v>1.3</v>
      </c>
      <c r="C110" s="29">
        <v>2.2599999999999998</v>
      </c>
      <c r="D110" s="25">
        <f t="shared" si="0"/>
        <v>149.0843982876942</v>
      </c>
      <c r="E110" s="26">
        <v>0</v>
      </c>
      <c r="F110" s="29">
        <v>10.07</v>
      </c>
      <c r="G110" s="27">
        <f t="shared" si="1"/>
        <v>141.5999714645512</v>
      </c>
      <c r="H110" s="26">
        <v>0</v>
      </c>
      <c r="I110" s="29">
        <v>1.92</v>
      </c>
      <c r="J110" s="27">
        <f t="shared" si="7"/>
        <v>59.567075741720885</v>
      </c>
      <c r="K110" s="26">
        <v>0</v>
      </c>
      <c r="L110" s="29">
        <v>0.61</v>
      </c>
      <c r="M110" s="27">
        <f t="shared" si="2"/>
        <v>4.1864119123985732</v>
      </c>
      <c r="N110" s="26">
        <v>0</v>
      </c>
      <c r="O110" s="29">
        <v>0.85</v>
      </c>
      <c r="P110" s="27">
        <f t="shared" si="3"/>
        <v>22.855963763230644</v>
      </c>
      <c r="Q110" s="26">
        <v>0</v>
      </c>
      <c r="R110" s="29">
        <v>0.67</v>
      </c>
      <c r="S110" s="27">
        <f t="shared" si="4"/>
        <v>4.7984510822675412</v>
      </c>
      <c r="T110" s="26">
        <v>0</v>
      </c>
    </row>
    <row r="111" spans="1:20" x14ac:dyDescent="0.3">
      <c r="A111" s="1">
        <f t="shared" si="8"/>
        <v>46236.458333333074</v>
      </c>
      <c r="B111" s="28">
        <v>1.1000000000000001</v>
      </c>
      <c r="C111" s="29">
        <v>2.17</v>
      </c>
      <c r="D111" s="25">
        <f t="shared" si="0"/>
        <v>141.32595686180622</v>
      </c>
      <c r="E111" s="26">
        <v>0</v>
      </c>
      <c r="F111" s="29">
        <v>10.09</v>
      </c>
      <c r="G111" s="27">
        <f t="shared" si="1"/>
        <v>143.38417634550626</v>
      </c>
      <c r="H111" s="26">
        <v>0</v>
      </c>
      <c r="I111" s="29">
        <v>1.72</v>
      </c>
      <c r="J111" s="27">
        <f t="shared" si="7"/>
        <v>42.012666647869629</v>
      </c>
      <c r="K111" s="26">
        <v>0</v>
      </c>
      <c r="L111" s="29">
        <v>0.6</v>
      </c>
      <c r="M111" s="27">
        <f t="shared" si="2"/>
        <v>4.0361383124214845</v>
      </c>
      <c r="N111" s="26">
        <v>0</v>
      </c>
      <c r="O111" s="29">
        <v>0.68</v>
      </c>
      <c r="P111" s="27">
        <f t="shared" si="3"/>
        <v>16.783999689944796</v>
      </c>
      <c r="Q111" s="26">
        <v>0</v>
      </c>
      <c r="R111" s="29">
        <v>0.69</v>
      </c>
      <c r="S111" s="27">
        <f t="shared" si="4"/>
        <v>5.039137942377196</v>
      </c>
      <c r="T111" s="26">
        <v>0</v>
      </c>
    </row>
    <row r="112" spans="1:20" x14ac:dyDescent="0.3">
      <c r="A112" s="1">
        <f t="shared" si="8"/>
        <v>46236.499999999738</v>
      </c>
      <c r="B112" s="28">
        <v>1</v>
      </c>
      <c r="C112" s="29">
        <v>2.06</v>
      </c>
      <c r="D112" s="25">
        <f t="shared" si="0"/>
        <v>132.06622946212141</v>
      </c>
      <c r="E112" s="26">
        <v>0</v>
      </c>
      <c r="F112" s="29">
        <v>10.1</v>
      </c>
      <c r="G112" s="27">
        <f t="shared" si="1"/>
        <v>144.27921778087705</v>
      </c>
      <c r="H112" s="26">
        <v>0</v>
      </c>
      <c r="I112" s="29">
        <v>1.78</v>
      </c>
      <c r="J112" s="27">
        <f t="shared" si="7"/>
        <v>46.842984330182851</v>
      </c>
      <c r="K112" s="26">
        <v>0</v>
      </c>
      <c r="L112" s="29">
        <v>0.59</v>
      </c>
      <c r="M112" s="27">
        <f t="shared" si="2"/>
        <v>3.8883860480940058</v>
      </c>
      <c r="N112" s="26">
        <v>0</v>
      </c>
      <c r="O112" s="29">
        <v>0.7</v>
      </c>
      <c r="P112" s="27">
        <f t="shared" si="3"/>
        <v>17.470941004264056</v>
      </c>
      <c r="Q112" s="26">
        <v>0</v>
      </c>
      <c r="R112" s="29">
        <v>0.69</v>
      </c>
      <c r="S112" s="27">
        <f t="shared" si="4"/>
        <v>5.039137942377196</v>
      </c>
      <c r="T112" s="26">
        <v>1.4</v>
      </c>
    </row>
    <row r="113" spans="1:20" x14ac:dyDescent="0.3">
      <c r="A113" s="1">
        <f t="shared" si="8"/>
        <v>46236.541666666402</v>
      </c>
      <c r="B113" s="28">
        <v>1.2</v>
      </c>
      <c r="C113" s="29">
        <v>1.97</v>
      </c>
      <c r="D113" s="25">
        <f t="shared" si="0"/>
        <v>124.67472638906467</v>
      </c>
      <c r="E113" s="26">
        <v>0</v>
      </c>
      <c r="F113" s="29">
        <v>10.11</v>
      </c>
      <c r="G113" s="27">
        <f t="shared" si="1"/>
        <v>145.17621370971807</v>
      </c>
      <c r="H113" s="26">
        <v>0</v>
      </c>
      <c r="I113" s="29">
        <v>1.72</v>
      </c>
      <c r="J113" s="27">
        <f t="shared" si="7"/>
        <v>42.012666647869629</v>
      </c>
      <c r="K113" s="26">
        <v>1.2</v>
      </c>
      <c r="L113" s="29">
        <v>0.55000000000000004</v>
      </c>
      <c r="M113" s="27">
        <f t="shared" si="2"/>
        <v>3.3227503534036718</v>
      </c>
      <c r="N113" s="26">
        <v>0</v>
      </c>
      <c r="O113" s="29">
        <v>0.87</v>
      </c>
      <c r="P113" s="27">
        <f t="shared" si="3"/>
        <v>23.60349809359256</v>
      </c>
      <c r="Q113" s="26">
        <v>0.5</v>
      </c>
      <c r="R113" s="29">
        <v>0.7</v>
      </c>
      <c r="S113" s="27">
        <f t="shared" si="4"/>
        <v>5.1623832612482765</v>
      </c>
      <c r="T113" s="26">
        <v>0</v>
      </c>
    </row>
    <row r="114" spans="1:20" x14ac:dyDescent="0.3">
      <c r="A114" s="1">
        <f t="shared" si="8"/>
        <v>46236.583333333067</v>
      </c>
      <c r="B114" s="28">
        <v>1.5</v>
      </c>
      <c r="C114" s="29">
        <v>1.91</v>
      </c>
      <c r="D114" s="25">
        <f t="shared" si="0"/>
        <v>119.84047202109221</v>
      </c>
      <c r="E114" s="26">
        <v>0</v>
      </c>
      <c r="F114" s="29">
        <v>10.11</v>
      </c>
      <c r="G114" s="27">
        <f t="shared" si="1"/>
        <v>145.17621370971807</v>
      </c>
      <c r="H114" s="26">
        <v>0</v>
      </c>
      <c r="I114" s="29">
        <v>1.7</v>
      </c>
      <c r="J114" s="27">
        <f t="shared" si="7"/>
        <v>40.481662713133296</v>
      </c>
      <c r="K114" s="26">
        <v>5</v>
      </c>
      <c r="L114" s="29">
        <v>0.48</v>
      </c>
      <c r="M114" s="27">
        <f t="shared" si="2"/>
        <v>2.4319124260181448</v>
      </c>
      <c r="N114" s="26">
        <v>1.7</v>
      </c>
      <c r="O114" s="29">
        <v>0.88</v>
      </c>
      <c r="P114" s="27">
        <f t="shared" si="3"/>
        <v>23.979755525950928</v>
      </c>
      <c r="Q114" s="26">
        <v>3.1</v>
      </c>
      <c r="R114" s="29">
        <v>0.71</v>
      </c>
      <c r="S114" s="27">
        <f t="shared" si="4"/>
        <v>5.2875824536706935</v>
      </c>
      <c r="T114" s="26">
        <v>1.8</v>
      </c>
    </row>
    <row r="115" spans="1:20" x14ac:dyDescent="0.3">
      <c r="A115" s="1">
        <f t="shared" si="8"/>
        <v>46236.624999999731</v>
      </c>
      <c r="B115" s="28">
        <v>1.9</v>
      </c>
      <c r="C115" s="29">
        <v>1.86</v>
      </c>
      <c r="D115" s="25">
        <f t="shared" si="0"/>
        <v>115.86954980414403</v>
      </c>
      <c r="E115" s="26">
        <v>0</v>
      </c>
      <c r="F115" s="29">
        <v>10.06</v>
      </c>
      <c r="G115" s="27">
        <f t="shared" si="1"/>
        <v>140.7108153274568</v>
      </c>
      <c r="H115" s="26">
        <v>0</v>
      </c>
      <c r="I115" s="29">
        <v>1.73</v>
      </c>
      <c r="J115" s="27">
        <f t="shared" si="7"/>
        <v>42.792832837073</v>
      </c>
      <c r="K115" s="26">
        <v>2</v>
      </c>
      <c r="L115" s="29">
        <v>0.45</v>
      </c>
      <c r="M115" s="27">
        <f t="shared" si="2"/>
        <v>2.0893780230756476</v>
      </c>
      <c r="N115" s="26">
        <v>0</v>
      </c>
      <c r="O115" s="29">
        <v>0.86</v>
      </c>
      <c r="P115" s="27">
        <f t="shared" si="3"/>
        <v>23.228896892293509</v>
      </c>
      <c r="Q115" s="26">
        <v>0</v>
      </c>
      <c r="R115" s="29">
        <v>0.7</v>
      </c>
      <c r="S115" s="27">
        <f t="shared" si="4"/>
        <v>5.1623832612482765</v>
      </c>
      <c r="T115" s="26">
        <v>2.2000000000000002</v>
      </c>
    </row>
    <row r="116" spans="1:20" x14ac:dyDescent="0.3">
      <c r="A116" s="1">
        <f t="shared" si="8"/>
        <v>46236.666666666395</v>
      </c>
      <c r="B116" s="28">
        <v>2.2000000000000002</v>
      </c>
      <c r="C116" s="29">
        <v>1.82</v>
      </c>
      <c r="D116" s="25">
        <f t="shared" si="0"/>
        <v>112.73080108613257</v>
      </c>
      <c r="E116" s="26">
        <v>0</v>
      </c>
      <c r="F116" s="29">
        <v>10.029999999999999</v>
      </c>
      <c r="G116" s="27">
        <f t="shared" si="1"/>
        <v>138.05517643988028</v>
      </c>
      <c r="H116" s="26">
        <v>0</v>
      </c>
      <c r="I116" s="29">
        <v>1.8</v>
      </c>
      <c r="J116" s="27">
        <f t="shared" si="7"/>
        <v>48.533980852738132</v>
      </c>
      <c r="K116" s="26">
        <v>0</v>
      </c>
      <c r="L116" s="29">
        <v>0.57999999999999996</v>
      </c>
      <c r="M116" s="27">
        <f t="shared" si="2"/>
        <v>3.7431629766716883</v>
      </c>
      <c r="N116" s="26">
        <v>0</v>
      </c>
      <c r="O116" s="29">
        <v>0.85</v>
      </c>
      <c r="P116" s="27">
        <f t="shared" si="3"/>
        <v>22.855963763230644</v>
      </c>
      <c r="Q116" s="26">
        <v>0</v>
      </c>
      <c r="R116" s="29">
        <v>0.7</v>
      </c>
      <c r="S116" s="27">
        <f t="shared" si="4"/>
        <v>5.1623832612482765</v>
      </c>
      <c r="T116" s="26">
        <v>2.6</v>
      </c>
    </row>
    <row r="117" spans="1:20" x14ac:dyDescent="0.3">
      <c r="A117" s="1">
        <f t="shared" si="8"/>
        <v>46236.708333333059</v>
      </c>
      <c r="B117" s="28">
        <v>2.2000000000000002</v>
      </c>
      <c r="C117" s="29">
        <v>1.79</v>
      </c>
      <c r="D117" s="25">
        <f t="shared" si="0"/>
        <v>110.3990300378488</v>
      </c>
      <c r="E117" s="26">
        <v>0</v>
      </c>
      <c r="F117" s="29">
        <v>9.9700000000000006</v>
      </c>
      <c r="G117" s="27">
        <f t="shared" si="1"/>
        <v>132.79746990981695</v>
      </c>
      <c r="H117" s="26">
        <v>0</v>
      </c>
      <c r="I117" s="29">
        <v>1.82</v>
      </c>
      <c r="J117" s="27">
        <f t="shared" si="7"/>
        <v>50.266319672958026</v>
      </c>
      <c r="K117" s="26">
        <v>1</v>
      </c>
      <c r="L117" s="29">
        <v>0.59</v>
      </c>
      <c r="M117" s="27">
        <f t="shared" si="2"/>
        <v>3.8883860480940058</v>
      </c>
      <c r="N117" s="26">
        <v>0</v>
      </c>
      <c r="O117" s="29">
        <v>0.88</v>
      </c>
      <c r="P117" s="27">
        <f t="shared" si="3"/>
        <v>23.979755525950928</v>
      </c>
      <c r="Q117" s="26">
        <v>0.6</v>
      </c>
      <c r="R117" s="29">
        <v>0.73</v>
      </c>
      <c r="S117" s="27">
        <f t="shared" si="4"/>
        <v>5.5439002209023807</v>
      </c>
      <c r="T117" s="26">
        <v>0</v>
      </c>
    </row>
    <row r="118" spans="1:20" x14ac:dyDescent="0.3">
      <c r="A118" s="1">
        <f t="shared" si="8"/>
        <v>46236.749999999724</v>
      </c>
      <c r="B118" s="28">
        <v>2.1</v>
      </c>
      <c r="C118" s="29">
        <v>1.75</v>
      </c>
      <c r="D118" s="25">
        <f t="shared" si="0"/>
        <v>107.31988541764736</v>
      </c>
      <c r="E118" s="26">
        <v>0</v>
      </c>
      <c r="F118" s="29">
        <v>9.93</v>
      </c>
      <c r="G118" s="27">
        <f t="shared" si="1"/>
        <v>129.33234751993808</v>
      </c>
      <c r="H118" s="26">
        <v>0</v>
      </c>
      <c r="I118" s="29">
        <v>1.78</v>
      </c>
      <c r="J118" s="27">
        <f t="shared" si="7"/>
        <v>46.842984330182851</v>
      </c>
      <c r="K118" s="26">
        <v>6.9</v>
      </c>
      <c r="L118" s="29">
        <v>0.59</v>
      </c>
      <c r="M118" s="27">
        <f t="shared" si="2"/>
        <v>3.8883860480940058</v>
      </c>
      <c r="N118" s="26">
        <v>1.7</v>
      </c>
      <c r="O118" s="29">
        <v>1.01</v>
      </c>
      <c r="P118" s="27">
        <f t="shared" si="3"/>
        <v>29.016802012810686</v>
      </c>
      <c r="Q118" s="26">
        <v>5.8</v>
      </c>
      <c r="R118" s="29">
        <v>0.83</v>
      </c>
      <c r="S118" s="27">
        <f t="shared" si="4"/>
        <v>6.9476192411106092</v>
      </c>
      <c r="T118" s="26">
        <v>7.5</v>
      </c>
    </row>
    <row r="119" spans="1:20" x14ac:dyDescent="0.3">
      <c r="A119" s="1">
        <f t="shared" si="8"/>
        <v>46236.791666666388</v>
      </c>
      <c r="B119" s="28">
        <v>1.5</v>
      </c>
      <c r="C119" s="29">
        <v>1.72</v>
      </c>
      <c r="D119" s="25">
        <f t="shared" si="0"/>
        <v>105.03305278895311</v>
      </c>
      <c r="E119" s="26">
        <v>0</v>
      </c>
      <c r="F119" s="29">
        <v>9.91</v>
      </c>
      <c r="G119" s="27">
        <f t="shared" si="1"/>
        <v>127.61188525824545</v>
      </c>
      <c r="H119" s="26">
        <v>0</v>
      </c>
      <c r="I119" s="29">
        <v>1.75</v>
      </c>
      <c r="J119" s="27">
        <f t="shared" si="7"/>
        <v>44.38282819861837</v>
      </c>
      <c r="K119" s="26">
        <v>7.2</v>
      </c>
      <c r="L119" s="29">
        <v>0.56000000000000005</v>
      </c>
      <c r="M119" s="27">
        <f t="shared" si="2"/>
        <v>3.4603367865330119</v>
      </c>
      <c r="N119" s="26">
        <v>0</v>
      </c>
      <c r="O119" s="29">
        <v>1.1000000000000001</v>
      </c>
      <c r="P119" s="27">
        <f t="shared" si="3"/>
        <v>32.654935264364688</v>
      </c>
      <c r="Q119" s="26">
        <v>0</v>
      </c>
      <c r="R119" s="29">
        <v>0.94</v>
      </c>
      <c r="S119" s="27">
        <f t="shared" si="4"/>
        <v>8.7394900426367137</v>
      </c>
      <c r="T119" s="26">
        <v>8.6999999999999993</v>
      </c>
    </row>
    <row r="120" spans="1:20" x14ac:dyDescent="0.3">
      <c r="A120" s="1">
        <f t="shared" si="8"/>
        <v>46236.833333333052</v>
      </c>
      <c r="B120" s="28">
        <v>1.3</v>
      </c>
      <c r="C120" s="29">
        <v>1.68</v>
      </c>
      <c r="D120" s="25">
        <f t="shared" si="0"/>
        <v>102.01414660788576</v>
      </c>
      <c r="E120" s="26">
        <v>0</v>
      </c>
      <c r="F120" s="29">
        <v>9.89</v>
      </c>
      <c r="G120" s="27">
        <f t="shared" si="1"/>
        <v>125.89953181055694</v>
      </c>
      <c r="H120" s="26">
        <v>0</v>
      </c>
      <c r="I120" s="29">
        <v>2.2799999999999998</v>
      </c>
      <c r="J120" s="27">
        <f t="shared" si="7"/>
        <v>97.159236800000002</v>
      </c>
      <c r="K120" s="26">
        <v>0</v>
      </c>
      <c r="L120" s="29">
        <v>0.55000000000000004</v>
      </c>
      <c r="M120" s="27">
        <f t="shared" si="2"/>
        <v>3.3227503534036718</v>
      </c>
      <c r="N120" s="26">
        <v>0</v>
      </c>
      <c r="O120" s="29">
        <v>1.35</v>
      </c>
      <c r="P120" s="27">
        <f t="shared" si="3"/>
        <v>43.353633139499159</v>
      </c>
      <c r="Q120" s="26">
        <v>1.1000000000000001</v>
      </c>
      <c r="R120" s="29">
        <v>1.01</v>
      </c>
      <c r="S120" s="27">
        <f t="shared" si="4"/>
        <v>10.023290818310722</v>
      </c>
      <c r="T120" s="26">
        <v>5.3</v>
      </c>
    </row>
    <row r="121" spans="1:20" x14ac:dyDescent="0.3">
      <c r="A121" s="1">
        <f t="shared" si="8"/>
        <v>46236.874999999716</v>
      </c>
      <c r="B121" s="28">
        <v>0.9</v>
      </c>
      <c r="C121" s="29">
        <v>1.64</v>
      </c>
      <c r="D121" s="25">
        <f t="shared" si="0"/>
        <v>99.029957402412336</v>
      </c>
      <c r="E121" s="26">
        <v>0</v>
      </c>
      <c r="F121" s="29">
        <v>9.8699999999999992</v>
      </c>
      <c r="G121" s="27">
        <f t="shared" si="1"/>
        <v>124.19531983488289</v>
      </c>
      <c r="H121" s="26">
        <v>0</v>
      </c>
      <c r="I121" s="29">
        <v>2.15</v>
      </c>
      <c r="J121" s="27">
        <f t="shared" si="7"/>
        <v>83.733895000000004</v>
      </c>
      <c r="K121" s="26">
        <v>7</v>
      </c>
      <c r="L121" s="29">
        <v>0.55000000000000004</v>
      </c>
      <c r="M121" s="27">
        <f t="shared" si="2"/>
        <v>3.3227503534036718</v>
      </c>
      <c r="N121" s="26">
        <v>0</v>
      </c>
      <c r="O121" s="29">
        <v>1.37</v>
      </c>
      <c r="P121" s="27">
        <f t="shared" si="3"/>
        <v>44.244933862607056</v>
      </c>
      <c r="Q121" s="26">
        <v>1</v>
      </c>
      <c r="R121" s="29">
        <v>1.04</v>
      </c>
      <c r="S121" s="27">
        <f t="shared" si="4"/>
        <v>10.609147252958214</v>
      </c>
      <c r="T121" s="26">
        <v>1.3</v>
      </c>
    </row>
    <row r="122" spans="1:20" x14ac:dyDescent="0.3">
      <c r="A122" s="1">
        <f t="shared" si="8"/>
        <v>46236.91666666638</v>
      </c>
      <c r="B122" s="28">
        <v>0.4</v>
      </c>
      <c r="C122" s="29">
        <v>1.6</v>
      </c>
      <c r="D122" s="25">
        <f t="shared" si="0"/>
        <v>96.080706270293049</v>
      </c>
      <c r="E122" s="26">
        <v>0</v>
      </c>
      <c r="F122" s="29">
        <v>9.9</v>
      </c>
      <c r="G122" s="27">
        <f t="shared" si="1"/>
        <v>126.75469290131001</v>
      </c>
      <c r="H122" s="26">
        <v>0</v>
      </c>
      <c r="I122" s="29">
        <v>2.15</v>
      </c>
      <c r="J122" s="27">
        <f t="shared" si="7"/>
        <v>83.733895000000004</v>
      </c>
      <c r="K122" s="26">
        <v>9.5</v>
      </c>
      <c r="L122" s="29">
        <v>0.54</v>
      </c>
      <c r="M122" s="27">
        <f t="shared" si="2"/>
        <v>3.1877265031611879</v>
      </c>
      <c r="N122" s="26">
        <v>3.4</v>
      </c>
      <c r="O122" s="29">
        <v>1.73</v>
      </c>
      <c r="P122" s="27">
        <f t="shared" si="3"/>
        <v>61.105151744315336</v>
      </c>
      <c r="Q122" s="26">
        <v>3.3</v>
      </c>
      <c r="R122" s="29">
        <v>1.1100000000000001</v>
      </c>
      <c r="S122" s="27">
        <f t="shared" si="4"/>
        <v>12.062133005740378</v>
      </c>
      <c r="T122" s="26">
        <v>7.6</v>
      </c>
    </row>
    <row r="123" spans="1:20" x14ac:dyDescent="0.3">
      <c r="A123" s="1">
        <f t="shared" si="8"/>
        <v>46236.958333333045</v>
      </c>
      <c r="B123" s="28">
        <v>0.4</v>
      </c>
      <c r="C123" s="29">
        <v>1.57</v>
      </c>
      <c r="D123" s="25">
        <f t="shared" si="0"/>
        <v>93.891832133722573</v>
      </c>
      <c r="E123" s="26">
        <v>0</v>
      </c>
      <c r="F123" s="29">
        <v>10.050000000000001</v>
      </c>
      <c r="G123" s="27">
        <f t="shared" si="1"/>
        <v>139.82362830124478</v>
      </c>
      <c r="H123" s="26">
        <v>3.6</v>
      </c>
      <c r="I123" s="29">
        <v>2.75</v>
      </c>
      <c r="J123" s="27">
        <f t="shared" si="7"/>
        <v>154.55237500000004</v>
      </c>
      <c r="K123" s="26">
        <v>67</v>
      </c>
      <c r="L123" s="29">
        <v>0.55000000000000004</v>
      </c>
      <c r="M123" s="27">
        <f t="shared" si="2"/>
        <v>3.3227503534036718</v>
      </c>
      <c r="N123" s="26">
        <v>0.3</v>
      </c>
      <c r="O123" s="29">
        <v>2.0299999999999998</v>
      </c>
      <c r="P123" s="27">
        <f t="shared" si="3"/>
        <v>76.239957702826899</v>
      </c>
      <c r="Q123" s="26">
        <v>13</v>
      </c>
      <c r="R123" s="29">
        <v>1.1200000000000001</v>
      </c>
      <c r="S123" s="27">
        <f t="shared" si="4"/>
        <v>12.279735162300968</v>
      </c>
      <c r="T123" s="26">
        <v>6.1</v>
      </c>
    </row>
    <row r="124" spans="1:20" x14ac:dyDescent="0.3">
      <c r="A124" s="1">
        <f t="shared" si="8"/>
        <v>46236.999999999709</v>
      </c>
      <c r="B124" s="28">
        <v>0.6</v>
      </c>
      <c r="C124" s="29">
        <v>1.55</v>
      </c>
      <c r="D124" s="25">
        <f t="shared" si="0"/>
        <v>92.443619779294721</v>
      </c>
      <c r="E124" s="26">
        <v>0</v>
      </c>
      <c r="F124" s="29">
        <v>10.199999999999999</v>
      </c>
      <c r="G124" s="27">
        <f t="shared" si="1"/>
        <v>153.33654199062599</v>
      </c>
      <c r="H124" s="26">
        <v>1</v>
      </c>
      <c r="I124" s="29">
        <v>4.58</v>
      </c>
      <c r="J124" s="27">
        <f t="shared" si="7"/>
        <v>510.19029280000012</v>
      </c>
      <c r="K124" s="26">
        <v>20</v>
      </c>
      <c r="L124" s="29">
        <v>0.53</v>
      </c>
      <c r="M124" s="27">
        <f t="shared" si="2"/>
        <v>3.0552741206719864</v>
      </c>
      <c r="N124" s="26">
        <v>0</v>
      </c>
      <c r="O124" s="29">
        <v>2.96</v>
      </c>
      <c r="P124" s="27">
        <f t="shared" si="3"/>
        <v>128.48223986958718</v>
      </c>
      <c r="Q124" s="26">
        <v>3.2</v>
      </c>
      <c r="R124" s="29">
        <v>1.39</v>
      </c>
      <c r="S124" s="27">
        <f t="shared" si="4"/>
        <v>19.164515995325715</v>
      </c>
      <c r="T124" s="26">
        <v>11.9</v>
      </c>
    </row>
    <row r="125" spans="1:20" x14ac:dyDescent="0.3">
      <c r="A125" s="1">
        <f t="shared" si="8"/>
        <v>46237.041666666373</v>
      </c>
      <c r="B125" s="28">
        <v>0.9</v>
      </c>
      <c r="C125" s="29">
        <v>1.54</v>
      </c>
      <c r="D125" s="25">
        <f t="shared" si="0"/>
        <v>91.722835717458608</v>
      </c>
      <c r="E125" s="26">
        <v>0</v>
      </c>
      <c r="F125" s="29">
        <v>10.5</v>
      </c>
      <c r="G125" s="27">
        <f t="shared" si="1"/>
        <v>181.64716122819658</v>
      </c>
      <c r="H125" s="26">
        <v>1.7</v>
      </c>
      <c r="I125" s="29">
        <v>3.79</v>
      </c>
      <c r="J125" s="27">
        <f t="shared" si="7"/>
        <v>330.86365820000003</v>
      </c>
      <c r="K125" s="26">
        <v>3.2</v>
      </c>
      <c r="L125" s="29">
        <v>0.63</v>
      </c>
      <c r="M125" s="27">
        <f t="shared" si="2"/>
        <v>4.494492579352821</v>
      </c>
      <c r="N125" s="26">
        <v>0</v>
      </c>
      <c r="O125" s="29">
        <v>3.95</v>
      </c>
      <c r="P125" s="27">
        <f t="shared" si="3"/>
        <v>191.53171188623961</v>
      </c>
      <c r="Q125" s="26">
        <v>3.5</v>
      </c>
      <c r="R125" s="29">
        <v>1.57</v>
      </c>
      <c r="S125" s="27">
        <f t="shared" si="4"/>
        <v>24.921763390362578</v>
      </c>
      <c r="T125" s="26">
        <v>9.1</v>
      </c>
    </row>
    <row r="126" spans="1:20" x14ac:dyDescent="0.3">
      <c r="A126" s="1">
        <f t="shared" si="8"/>
        <v>46237.083333333037</v>
      </c>
      <c r="B126" s="28">
        <v>1.1000000000000001</v>
      </c>
      <c r="C126" s="29">
        <v>1.57</v>
      </c>
      <c r="D126" s="25">
        <f t="shared" si="0"/>
        <v>93.891832133722573</v>
      </c>
      <c r="E126" s="26">
        <v>0</v>
      </c>
      <c r="F126" s="29">
        <v>11.09</v>
      </c>
      <c r="G126" s="27">
        <f t="shared" si="1"/>
        <v>242.05045023223866</v>
      </c>
      <c r="H126" s="26">
        <v>1.3</v>
      </c>
      <c r="I126" s="29">
        <v>3.39</v>
      </c>
      <c r="J126" s="27">
        <f t="shared" si="7"/>
        <v>255.0127142</v>
      </c>
      <c r="K126" s="26">
        <v>4.5</v>
      </c>
      <c r="L126" s="29">
        <v>0.7</v>
      </c>
      <c r="M126" s="27">
        <f t="shared" si="2"/>
        <v>5.6511211857306698</v>
      </c>
      <c r="N126" s="26">
        <v>0.6</v>
      </c>
      <c r="O126" s="29">
        <v>3.84</v>
      </c>
      <c r="P126" s="27">
        <f t="shared" si="3"/>
        <v>184.19047917051574</v>
      </c>
      <c r="Q126" s="26">
        <v>2.2000000000000002</v>
      </c>
      <c r="R126" s="29">
        <v>1.68</v>
      </c>
      <c r="S126" s="27">
        <f t="shared" si="4"/>
        <v>28.940599368516832</v>
      </c>
      <c r="T126" s="26">
        <v>7.2</v>
      </c>
    </row>
    <row r="127" spans="1:20" x14ac:dyDescent="0.3">
      <c r="A127" s="1">
        <f t="shared" si="8"/>
        <v>46237.124999999702</v>
      </c>
      <c r="B127" s="28">
        <v>1.3</v>
      </c>
      <c r="C127" s="29">
        <v>1.64</v>
      </c>
      <c r="D127" s="25">
        <f t="shared" si="0"/>
        <v>99.029957402412336</v>
      </c>
      <c r="E127" s="26">
        <v>0</v>
      </c>
      <c r="F127" s="29">
        <v>12.42</v>
      </c>
      <c r="G127" s="27">
        <f t="shared" si="1"/>
        <v>399.02529799904784</v>
      </c>
      <c r="H127" s="26">
        <v>0.6</v>
      </c>
      <c r="I127" s="29">
        <v>3.39</v>
      </c>
      <c r="J127" s="27">
        <f t="shared" si="7"/>
        <v>255.0127142</v>
      </c>
      <c r="K127" s="26">
        <v>1.5</v>
      </c>
      <c r="L127" s="29">
        <v>1.65</v>
      </c>
      <c r="M127" s="27">
        <f t="shared" si="2"/>
        <v>32.585150204509723</v>
      </c>
      <c r="N127" s="26">
        <v>0.8</v>
      </c>
      <c r="O127" s="29">
        <v>3.47</v>
      </c>
      <c r="P127" s="27">
        <f t="shared" si="3"/>
        <v>160.094921907985</v>
      </c>
      <c r="Q127" s="26">
        <v>0.5</v>
      </c>
      <c r="R127" s="29">
        <v>2.08</v>
      </c>
      <c r="S127" s="27">
        <f t="shared" si="4"/>
        <v>47.07239516908399</v>
      </c>
      <c r="T127" s="26">
        <v>9.5</v>
      </c>
    </row>
    <row r="128" spans="1:20" x14ac:dyDescent="0.3">
      <c r="A128" s="1">
        <f t="shared" si="8"/>
        <v>46237.166666666366</v>
      </c>
      <c r="B128" s="28">
        <v>2</v>
      </c>
      <c r="C128" s="29">
        <v>1.87</v>
      </c>
      <c r="D128" s="25">
        <f t="shared" si="0"/>
        <v>116.65952345965967</v>
      </c>
      <c r="E128" s="26">
        <v>1.2</v>
      </c>
      <c r="F128" s="29">
        <v>13.52</v>
      </c>
      <c r="G128" s="27">
        <f t="shared" si="1"/>
        <v>548.3710190431234</v>
      </c>
      <c r="H128" s="26">
        <v>1.4</v>
      </c>
      <c r="I128" s="29">
        <v>3.5</v>
      </c>
      <c r="J128" s="27">
        <f t="shared" si="7"/>
        <v>274.87000000000006</v>
      </c>
      <c r="K128" s="26">
        <v>0</v>
      </c>
      <c r="L128" s="29">
        <v>1.8</v>
      </c>
      <c r="M128" s="27">
        <f t="shared" si="2"/>
        <v>38.643470376077957</v>
      </c>
      <c r="N128" s="26">
        <v>0.3</v>
      </c>
      <c r="O128" s="29">
        <v>3.1</v>
      </c>
      <c r="P128" s="27">
        <f t="shared" si="3"/>
        <v>136.9669993301267</v>
      </c>
      <c r="Q128" s="26">
        <v>0.7</v>
      </c>
      <c r="R128" s="29">
        <v>2.21</v>
      </c>
      <c r="S128" s="27">
        <f t="shared" si="4"/>
        <v>54.251683988701849</v>
      </c>
      <c r="T128" s="26">
        <v>5.9</v>
      </c>
    </row>
    <row r="129" spans="1:20" x14ac:dyDescent="0.3">
      <c r="A129" s="1">
        <f t="shared" si="8"/>
        <v>46237.20833333303</v>
      </c>
      <c r="B129" s="28">
        <v>2.1</v>
      </c>
      <c r="C129" s="29">
        <v>2.21</v>
      </c>
      <c r="D129" s="25">
        <f t="shared" si="0"/>
        <v>144.75402768885613</v>
      </c>
      <c r="E129" s="26">
        <v>0</v>
      </c>
      <c r="F129" s="29">
        <v>14.05</v>
      </c>
      <c r="G129" s="27">
        <f t="shared" si="1"/>
        <v>626.09595688608147</v>
      </c>
      <c r="H129" s="26">
        <v>1.8</v>
      </c>
      <c r="I129" s="29">
        <v>3.45</v>
      </c>
      <c r="J129" s="27">
        <f t="shared" si="7"/>
        <v>265.74975500000011</v>
      </c>
      <c r="K129" s="26">
        <v>0</v>
      </c>
      <c r="L129" s="29">
        <v>1.54</v>
      </c>
      <c r="M129" s="27">
        <f t="shared" si="2"/>
        <v>28.44491057977767</v>
      </c>
      <c r="N129" s="26">
        <v>0</v>
      </c>
      <c r="O129" s="29">
        <v>2.87</v>
      </c>
      <c r="P129" s="27">
        <f t="shared" si="3"/>
        <v>123.10809135017973</v>
      </c>
      <c r="Q129" s="26">
        <v>0</v>
      </c>
      <c r="R129" s="29">
        <v>2.14</v>
      </c>
      <c r="S129" s="27">
        <f t="shared" si="4"/>
        <v>50.303214078743352</v>
      </c>
      <c r="T129" s="26">
        <v>8.6999999999999993</v>
      </c>
    </row>
    <row r="130" spans="1:20" x14ac:dyDescent="0.3">
      <c r="A130" s="1">
        <f t="shared" si="8"/>
        <v>46237.249999999694</v>
      </c>
      <c r="B130" s="28">
        <v>2</v>
      </c>
      <c r="C130" s="29">
        <v>3.4</v>
      </c>
      <c r="D130" s="25">
        <f t="shared" si="0"/>
        <v>260.84294740927834</v>
      </c>
      <c r="E130" s="26">
        <v>1</v>
      </c>
      <c r="F130" s="29">
        <v>14.31</v>
      </c>
      <c r="G130" s="27">
        <f t="shared" si="1"/>
        <v>707.80977431840006</v>
      </c>
      <c r="H130" s="26">
        <v>0</v>
      </c>
      <c r="I130" s="29">
        <v>3.2</v>
      </c>
      <c r="J130" s="27">
        <f t="shared" si="7"/>
        <v>222.50368000000009</v>
      </c>
      <c r="K130" s="26">
        <v>0</v>
      </c>
      <c r="L130" s="29">
        <v>1.34</v>
      </c>
      <c r="M130" s="27">
        <f t="shared" si="2"/>
        <v>21.583597984553961</v>
      </c>
      <c r="N130" s="26">
        <v>0</v>
      </c>
      <c r="O130" s="29">
        <v>2.42</v>
      </c>
      <c r="P130" s="27">
        <f t="shared" si="3"/>
        <v>97.228443398278458</v>
      </c>
      <c r="Q130" s="26">
        <v>0</v>
      </c>
      <c r="R130" s="29">
        <v>2.13</v>
      </c>
      <c r="S130" s="27">
        <f t="shared" si="4"/>
        <v>49.754987300596405</v>
      </c>
      <c r="T130" s="26">
        <v>3.4</v>
      </c>
    </row>
    <row r="131" spans="1:20" x14ac:dyDescent="0.3">
      <c r="A131" s="1">
        <f t="shared" si="8"/>
        <v>46237.291666666359</v>
      </c>
      <c r="B131" s="28">
        <v>1.8</v>
      </c>
      <c r="C131" s="29">
        <v>4.0199999999999996</v>
      </c>
      <c r="D131" s="25">
        <f t="shared" si="0"/>
        <v>336.90430160000005</v>
      </c>
      <c r="E131" s="26">
        <v>0.5</v>
      </c>
      <c r="F131" s="29">
        <v>14.4</v>
      </c>
      <c r="G131" s="27">
        <f t="shared" si="1"/>
        <v>723.55964466440003</v>
      </c>
      <c r="H131" s="26">
        <v>0</v>
      </c>
      <c r="I131" s="29">
        <v>2.83</v>
      </c>
      <c r="J131" s="27">
        <f t="shared" si="7"/>
        <v>165.70310780000005</v>
      </c>
      <c r="K131" s="26">
        <v>1.6</v>
      </c>
      <c r="L131" s="29">
        <v>1.18</v>
      </c>
      <c r="M131" s="27">
        <f t="shared" si="2"/>
        <v>16.72505925375436</v>
      </c>
      <c r="N131" s="26">
        <v>0</v>
      </c>
      <c r="O131" s="29">
        <v>2.2000000000000002</v>
      </c>
      <c r="P131" s="27">
        <f t="shared" si="3"/>
        <v>85.214624605162825</v>
      </c>
      <c r="Q131" s="26">
        <v>0.6</v>
      </c>
      <c r="R131" s="29">
        <v>2.1</v>
      </c>
      <c r="S131" s="27">
        <f t="shared" si="4"/>
        <v>48.133776628057461</v>
      </c>
      <c r="T131" s="26">
        <v>1.2</v>
      </c>
    </row>
    <row r="132" spans="1:20" x14ac:dyDescent="0.3">
      <c r="A132" s="1">
        <f t="shared" si="8"/>
        <v>46237.333333333023</v>
      </c>
      <c r="B132" s="28">
        <v>1.5</v>
      </c>
      <c r="C132" s="29">
        <v>4.45</v>
      </c>
      <c r="D132" s="25">
        <f t="shared" si="0"/>
        <v>397.03612939999999</v>
      </c>
      <c r="E132" s="26">
        <v>0</v>
      </c>
      <c r="F132" s="29">
        <v>14.41</v>
      </c>
      <c r="G132" s="27">
        <f t="shared" si="1"/>
        <v>725.31946835839994</v>
      </c>
      <c r="H132" s="26">
        <v>0</v>
      </c>
      <c r="I132" s="29">
        <v>2.77</v>
      </c>
      <c r="J132" s="27">
        <f t="shared" si="7"/>
        <v>157.30237580000005</v>
      </c>
      <c r="K132" s="26">
        <v>5.7</v>
      </c>
      <c r="L132" s="29">
        <v>1</v>
      </c>
      <c r="M132" s="27">
        <f t="shared" si="2"/>
        <v>11.945355658280643</v>
      </c>
      <c r="N132" s="26">
        <v>0</v>
      </c>
      <c r="O132" s="29">
        <v>2.0299999999999998</v>
      </c>
      <c r="P132" s="27">
        <f t="shared" si="3"/>
        <v>76.239957702826899</v>
      </c>
      <c r="Q132" s="26">
        <v>1.6</v>
      </c>
      <c r="R132" s="29">
        <v>2.02</v>
      </c>
      <c r="S132" s="27">
        <f t="shared" si="4"/>
        <v>43.980327343376374</v>
      </c>
      <c r="T132" s="26">
        <v>4.5999999999999996</v>
      </c>
    </row>
    <row r="133" spans="1:20" x14ac:dyDescent="0.3">
      <c r="A133" s="1">
        <f t="shared" si="8"/>
        <v>46237.374999999687</v>
      </c>
      <c r="B133" s="28">
        <v>1.2</v>
      </c>
      <c r="C133" s="29">
        <v>4.7699999999999996</v>
      </c>
      <c r="D133" s="25">
        <f t="shared" si="0"/>
        <v>444.95195660000002</v>
      </c>
      <c r="E133" s="26">
        <v>0</v>
      </c>
      <c r="F133" s="29">
        <v>14.35</v>
      </c>
      <c r="G133" s="27">
        <f t="shared" si="1"/>
        <v>714.79004049439982</v>
      </c>
      <c r="H133" s="26">
        <v>0</v>
      </c>
      <c r="I133" s="29">
        <v>2.71</v>
      </c>
      <c r="J133" s="27">
        <f t="shared" si="7"/>
        <v>149.12773820000001</v>
      </c>
      <c r="K133" s="26">
        <v>5</v>
      </c>
      <c r="L133" s="29">
        <v>1</v>
      </c>
      <c r="M133" s="27">
        <f t="shared" si="2"/>
        <v>11.945355658280643</v>
      </c>
      <c r="N133" s="26">
        <v>1.4</v>
      </c>
      <c r="O133" s="29">
        <v>1.83</v>
      </c>
      <c r="P133" s="27">
        <f t="shared" si="3"/>
        <v>66.04644515861574</v>
      </c>
      <c r="Q133" s="26">
        <v>1.6</v>
      </c>
      <c r="R133" s="29">
        <v>2.19</v>
      </c>
      <c r="S133" s="27">
        <f t="shared" si="4"/>
        <v>53.103617203200216</v>
      </c>
      <c r="T133" s="26">
        <f>12.6+8.8</f>
        <v>21.4</v>
      </c>
    </row>
    <row r="134" spans="1:20" x14ac:dyDescent="0.3">
      <c r="A134" s="1">
        <f t="shared" si="8"/>
        <v>46237.416666666351</v>
      </c>
      <c r="B134" s="28">
        <v>1.1000000000000001</v>
      </c>
      <c r="C134" s="29">
        <v>4.97</v>
      </c>
      <c r="D134" s="25">
        <f t="shared" si="0"/>
        <v>476.27152459999991</v>
      </c>
      <c r="E134" s="26">
        <v>0</v>
      </c>
      <c r="F134" s="29">
        <v>14.21</v>
      </c>
      <c r="G134" s="27">
        <f t="shared" si="1"/>
        <v>690.49684227839998</v>
      </c>
      <c r="H134" s="26">
        <v>0</v>
      </c>
      <c r="I134" s="29">
        <v>2.99</v>
      </c>
      <c r="J134" s="27">
        <f t="shared" ref="J134:J197" si="9">IF(I134="","",IF(I134&lt;=2.1,7.5134*(I134)^3.1739,31.402*(I134)^2-35.839*(I134)+15.632))</f>
        <v>189.21041020000001</v>
      </c>
      <c r="K134" s="26">
        <v>16.399999999999999</v>
      </c>
      <c r="L134" s="29">
        <v>0.99</v>
      </c>
      <c r="M134" s="27">
        <f t="shared" si="2"/>
        <v>11.701495358873233</v>
      </c>
      <c r="N134" s="26">
        <v>1.1000000000000001</v>
      </c>
      <c r="O134" s="29">
        <v>1.95</v>
      </c>
      <c r="P134" s="27">
        <f t="shared" si="3"/>
        <v>72.11398988239138</v>
      </c>
      <c r="Q134" s="26">
        <v>0</v>
      </c>
      <c r="R134" s="29">
        <v>3.06</v>
      </c>
      <c r="S134" s="27">
        <f t="shared" si="4"/>
        <v>170.11121600000001</v>
      </c>
      <c r="T134" s="26">
        <v>34.799999999999997</v>
      </c>
    </row>
    <row r="135" spans="1:20" x14ac:dyDescent="0.3">
      <c r="A135" s="1">
        <f t="shared" ref="A135:A198" si="10">A134+1/24</f>
        <v>46237.458333333016</v>
      </c>
      <c r="B135" s="28">
        <v>1.4</v>
      </c>
      <c r="C135" s="29">
        <v>5.1100000000000003</v>
      </c>
      <c r="D135" s="25">
        <f t="shared" si="0"/>
        <v>498.82325659999998</v>
      </c>
      <c r="E135" s="26">
        <v>0</v>
      </c>
      <c r="F135" s="29">
        <v>14.05</v>
      </c>
      <c r="G135" s="27">
        <f t="shared" si="1"/>
        <v>626.09595688608147</v>
      </c>
      <c r="H135" s="26">
        <v>2.1</v>
      </c>
      <c r="I135" s="29">
        <v>5.9</v>
      </c>
      <c r="J135" s="27">
        <f t="shared" si="9"/>
        <v>897.28552000000002</v>
      </c>
      <c r="K135" s="26">
        <v>65.8</v>
      </c>
      <c r="L135" s="29">
        <v>0.85</v>
      </c>
      <c r="M135" s="27">
        <f t="shared" si="2"/>
        <v>8.5316003750950333</v>
      </c>
      <c r="N135" s="26">
        <v>0</v>
      </c>
      <c r="O135" s="29">
        <v>2.68</v>
      </c>
      <c r="P135" s="27">
        <f t="shared" si="3"/>
        <v>111.97538321219923</v>
      </c>
      <c r="Q135" s="26">
        <v>12.3</v>
      </c>
      <c r="R135" s="29">
        <v>3.3</v>
      </c>
      <c r="S135" s="27">
        <f t="shared" si="4"/>
        <v>196.83680000000004</v>
      </c>
      <c r="T135" s="26">
        <v>4.8</v>
      </c>
    </row>
    <row r="136" spans="1:20" x14ac:dyDescent="0.3">
      <c r="A136" s="1">
        <f t="shared" si="10"/>
        <v>46237.49999999968</v>
      </c>
      <c r="B136" s="28">
        <v>1.55</v>
      </c>
      <c r="C136" s="29">
        <v>5.18</v>
      </c>
      <c r="D136" s="25">
        <f t="shared" si="0"/>
        <v>510.29307440000008</v>
      </c>
      <c r="E136" s="26">
        <v>0</v>
      </c>
      <c r="F136" s="29">
        <v>13.81</v>
      </c>
      <c r="G136" s="27">
        <f t="shared" si="1"/>
        <v>590.45192457786766</v>
      </c>
      <c r="H136" s="26">
        <v>1.5</v>
      </c>
      <c r="I136" s="32">
        <v>7.5</v>
      </c>
      <c r="J136" s="27">
        <f t="shared" si="9"/>
        <v>1513.202</v>
      </c>
      <c r="K136" s="26">
        <v>22.9</v>
      </c>
      <c r="L136" s="29">
        <v>0.94</v>
      </c>
      <c r="M136" s="27">
        <f t="shared" si="2"/>
        <v>10.516881355120873</v>
      </c>
      <c r="N136" s="26">
        <v>2.2000000000000002</v>
      </c>
      <c r="O136" s="29">
        <v>3.3</v>
      </c>
      <c r="P136" s="27">
        <f t="shared" si="3"/>
        <v>149.34449526033052</v>
      </c>
      <c r="Q136" s="26">
        <v>8.6</v>
      </c>
      <c r="R136" s="29">
        <v>3.19</v>
      </c>
      <c r="S136" s="27">
        <f t="shared" si="4"/>
        <v>184.31394350000002</v>
      </c>
      <c r="T136" s="26">
        <v>28.6</v>
      </c>
    </row>
    <row r="137" spans="1:20" x14ac:dyDescent="0.3">
      <c r="A137" s="1">
        <f t="shared" si="10"/>
        <v>46237.541666666344</v>
      </c>
      <c r="B137" s="28">
        <v>1.9</v>
      </c>
      <c r="C137" s="29">
        <v>5.2</v>
      </c>
      <c r="D137" s="25">
        <f t="shared" si="0"/>
        <v>513.59391440000002</v>
      </c>
      <c r="E137" s="26">
        <v>2</v>
      </c>
      <c r="F137" s="29">
        <v>13.68</v>
      </c>
      <c r="G137" s="27">
        <f t="shared" si="1"/>
        <v>571.45300053421181</v>
      </c>
      <c r="H137" s="26">
        <v>2</v>
      </c>
      <c r="I137" s="29">
        <v>7.18</v>
      </c>
      <c r="J137" s="27">
        <f t="shared" si="9"/>
        <v>1377.1564448000001</v>
      </c>
      <c r="K137" s="26">
        <v>8.6999999999999993</v>
      </c>
      <c r="L137" s="29">
        <v>1.48</v>
      </c>
      <c r="M137" s="27">
        <f t="shared" si="2"/>
        <v>26.295667883626816</v>
      </c>
      <c r="N137" s="26">
        <v>2.8</v>
      </c>
      <c r="O137" s="29">
        <v>5.25</v>
      </c>
      <c r="P137" s="27">
        <f t="shared" si="3"/>
        <v>283.93967014619773</v>
      </c>
      <c r="Q137" s="26">
        <v>6</v>
      </c>
      <c r="R137" s="31">
        <v>3.42</v>
      </c>
      <c r="S137" s="27">
        <f t="shared" si="4"/>
        <v>211.02622399999998</v>
      </c>
      <c r="T137" s="26">
        <v>22.8</v>
      </c>
    </row>
    <row r="138" spans="1:20" x14ac:dyDescent="0.3">
      <c r="A138" s="1">
        <f t="shared" si="10"/>
        <v>46237.583333333008</v>
      </c>
      <c r="B138" s="28">
        <v>2.2000000000000002</v>
      </c>
      <c r="C138" s="29">
        <v>5.18</v>
      </c>
      <c r="D138" s="25">
        <f t="shared" si="0"/>
        <v>510.29307440000008</v>
      </c>
      <c r="E138" s="26">
        <v>0.8</v>
      </c>
      <c r="F138" s="29">
        <v>14</v>
      </c>
      <c r="G138" s="27">
        <f t="shared" si="1"/>
        <v>618.60970780630976</v>
      </c>
      <c r="H138" s="26">
        <v>1.6</v>
      </c>
      <c r="I138" s="29">
        <v>6.71</v>
      </c>
      <c r="J138" s="27">
        <f t="shared" si="9"/>
        <v>1188.9990982000002</v>
      </c>
      <c r="K138" s="26">
        <v>4.9000000000000004</v>
      </c>
      <c r="L138" s="29">
        <v>3.02</v>
      </c>
      <c r="M138" s="27">
        <f t="shared" si="2"/>
        <v>107.65469084</v>
      </c>
      <c r="N138" s="26">
        <v>2.5</v>
      </c>
      <c r="O138" s="31">
        <v>6.24</v>
      </c>
      <c r="P138" s="27">
        <f t="shared" si="3"/>
        <v>360.61689080523763</v>
      </c>
      <c r="Q138" s="26">
        <v>5.2</v>
      </c>
      <c r="R138" s="29">
        <v>3.38</v>
      </c>
      <c r="S138" s="27">
        <f t="shared" si="4"/>
        <v>206.23518399999998</v>
      </c>
      <c r="T138" s="26">
        <v>10.199999999999999</v>
      </c>
    </row>
    <row r="139" spans="1:20" x14ac:dyDescent="0.3">
      <c r="A139" s="1">
        <f t="shared" si="10"/>
        <v>46237.624999999673</v>
      </c>
      <c r="B139" s="28">
        <v>2.5499999999999998</v>
      </c>
      <c r="C139" s="29">
        <v>5.18</v>
      </c>
      <c r="D139" s="25">
        <f t="shared" si="0"/>
        <v>510.29307440000008</v>
      </c>
      <c r="E139" s="26">
        <v>0.5</v>
      </c>
      <c r="F139" s="29">
        <v>14.6</v>
      </c>
      <c r="G139" s="27">
        <f t="shared" si="1"/>
        <v>759.1299663443998</v>
      </c>
      <c r="H139" s="26">
        <v>3</v>
      </c>
      <c r="I139" s="29">
        <v>5.33</v>
      </c>
      <c r="J139" s="27">
        <f t="shared" si="9"/>
        <v>716.70640779999997</v>
      </c>
      <c r="K139" s="26">
        <v>1.5</v>
      </c>
      <c r="L139" s="29">
        <v>3.75</v>
      </c>
      <c r="M139" s="27">
        <f t="shared" si="2"/>
        <v>158.52099374999997</v>
      </c>
      <c r="N139" s="26">
        <v>0.6</v>
      </c>
      <c r="O139" s="29">
        <v>5.85</v>
      </c>
      <c r="P139" s="27">
        <f t="shared" si="3"/>
        <v>329.80703630262889</v>
      </c>
      <c r="Q139" s="26">
        <v>1.7</v>
      </c>
      <c r="R139" s="29">
        <v>3.11</v>
      </c>
      <c r="S139" s="27">
        <f t="shared" si="4"/>
        <v>175.4972635</v>
      </c>
      <c r="T139" s="26">
        <v>8.1999999999999993</v>
      </c>
    </row>
    <row r="140" spans="1:20" x14ac:dyDescent="0.3">
      <c r="A140" s="1">
        <f t="shared" si="10"/>
        <v>46237.666666666337</v>
      </c>
      <c r="B140" s="28">
        <v>2.7</v>
      </c>
      <c r="C140" s="29">
        <v>5.32</v>
      </c>
      <c r="D140" s="25">
        <f t="shared" si="0"/>
        <v>533.62061360000007</v>
      </c>
      <c r="E140" s="26">
        <v>0.3</v>
      </c>
      <c r="F140" s="29">
        <v>15.17</v>
      </c>
      <c r="G140" s="27">
        <f t="shared" si="1"/>
        <v>864.82332522239994</v>
      </c>
      <c r="H140" s="26">
        <v>1.2</v>
      </c>
      <c r="I140" s="29">
        <v>4.13</v>
      </c>
      <c r="J140" s="27">
        <f t="shared" si="9"/>
        <v>403.23770379999996</v>
      </c>
      <c r="K140" s="26">
        <v>0.5</v>
      </c>
      <c r="L140" s="29">
        <v>3.9</v>
      </c>
      <c r="M140" s="27">
        <f t="shared" si="2"/>
        <v>170.15135099999998</v>
      </c>
      <c r="N140" s="26">
        <v>1.2</v>
      </c>
      <c r="O140" s="29">
        <v>5.1100000000000003</v>
      </c>
      <c r="P140" s="27">
        <f t="shared" si="3"/>
        <v>273.51583277698268</v>
      </c>
      <c r="Q140" s="26">
        <v>0.3</v>
      </c>
      <c r="R140" s="29">
        <v>2.78</v>
      </c>
      <c r="S140" s="27">
        <f t="shared" si="4"/>
        <v>141.71742399999999</v>
      </c>
      <c r="T140" s="26">
        <v>2.4</v>
      </c>
    </row>
    <row r="141" spans="1:20" x14ac:dyDescent="0.3">
      <c r="A141" s="1">
        <f t="shared" si="10"/>
        <v>46237.708333333001</v>
      </c>
      <c r="B141" s="28">
        <v>2.8</v>
      </c>
      <c r="C141" s="29">
        <v>5.55</v>
      </c>
      <c r="D141" s="25">
        <f t="shared" si="0"/>
        <v>573.06723739999984</v>
      </c>
      <c r="E141" s="26">
        <v>0.2</v>
      </c>
      <c r="F141" s="29">
        <v>15.65</v>
      </c>
      <c r="G141" s="27">
        <f t="shared" si="1"/>
        <v>958.78666141439999</v>
      </c>
      <c r="H141" s="26">
        <v>1.5</v>
      </c>
      <c r="I141" s="29">
        <v>3.5</v>
      </c>
      <c r="J141" s="27">
        <f t="shared" si="9"/>
        <v>274.87000000000006</v>
      </c>
      <c r="K141" s="26">
        <v>0</v>
      </c>
      <c r="L141" s="29">
        <v>3.68</v>
      </c>
      <c r="M141" s="27">
        <f t="shared" si="2"/>
        <v>153.23097103999999</v>
      </c>
      <c r="N141" s="26">
        <v>0.6</v>
      </c>
      <c r="O141" s="29">
        <v>4.3099999999999996</v>
      </c>
      <c r="P141" s="27">
        <f t="shared" si="3"/>
        <v>216.10224363331344</v>
      </c>
      <c r="Q141" s="26">
        <v>0</v>
      </c>
      <c r="R141" s="29">
        <v>2.5499999999999998</v>
      </c>
      <c r="S141" s="27">
        <f t="shared" si="4"/>
        <v>120.6384875</v>
      </c>
      <c r="T141" s="26">
        <v>0.5</v>
      </c>
    </row>
    <row r="142" spans="1:20" x14ac:dyDescent="0.3">
      <c r="A142" s="1">
        <f t="shared" si="10"/>
        <v>46237.749999999665</v>
      </c>
      <c r="B142" s="28">
        <v>2.75</v>
      </c>
      <c r="C142" s="29">
        <v>5.8</v>
      </c>
      <c r="D142" s="25">
        <f t="shared" si="0"/>
        <v>617.52728239999988</v>
      </c>
      <c r="E142" s="26">
        <v>0.3</v>
      </c>
      <c r="F142" s="29">
        <v>15.96</v>
      </c>
      <c r="G142" s="27">
        <f t="shared" si="1"/>
        <v>1021.8806667284002</v>
      </c>
      <c r="H142" s="26">
        <v>0.6</v>
      </c>
      <c r="I142" s="29">
        <v>3.3</v>
      </c>
      <c r="J142" s="27">
        <f t="shared" si="9"/>
        <v>239.33107999999996</v>
      </c>
      <c r="K142" s="26">
        <v>0</v>
      </c>
      <c r="L142" s="29">
        <v>3.11</v>
      </c>
      <c r="M142" s="27">
        <f t="shared" si="2"/>
        <v>113.41167790999997</v>
      </c>
      <c r="N142" s="26">
        <v>0</v>
      </c>
      <c r="O142" s="29">
        <v>3.41</v>
      </c>
      <c r="P142" s="27">
        <f t="shared" si="3"/>
        <v>156.27702643185071</v>
      </c>
      <c r="Q142" s="26">
        <v>0.6</v>
      </c>
      <c r="R142" s="29">
        <v>2.2799999999999998</v>
      </c>
      <c r="S142" s="27">
        <f t="shared" si="4"/>
        <v>58.397431266069923</v>
      </c>
      <c r="T142" s="26">
        <v>0</v>
      </c>
    </row>
    <row r="143" spans="1:20" x14ac:dyDescent="0.3">
      <c r="A143" s="1">
        <f t="shared" si="10"/>
        <v>46237.79166666633</v>
      </c>
      <c r="B143" s="28">
        <v>2.7</v>
      </c>
      <c r="C143" s="29">
        <v>6.09</v>
      </c>
      <c r="D143" s="25">
        <f t="shared" si="0"/>
        <v>671.16711499999997</v>
      </c>
      <c r="E143" s="26">
        <v>0</v>
      </c>
      <c r="F143" s="29">
        <v>16.190000000000001</v>
      </c>
      <c r="G143" s="27">
        <f t="shared" si="1"/>
        <v>1069.9142401104007</v>
      </c>
      <c r="H143" s="26">
        <v>0</v>
      </c>
      <c r="I143" s="29">
        <v>3.06</v>
      </c>
      <c r="J143" s="27">
        <f t="shared" si="9"/>
        <v>200.00042720000002</v>
      </c>
      <c r="K143" s="26">
        <v>0</v>
      </c>
      <c r="L143" s="29">
        <v>2.7</v>
      </c>
      <c r="M143" s="27">
        <f t="shared" si="2"/>
        <v>88.356639000000001</v>
      </c>
      <c r="N143" s="26">
        <v>0</v>
      </c>
      <c r="O143" s="29">
        <v>2.82</v>
      </c>
      <c r="P143" s="27">
        <f t="shared" si="3"/>
        <v>120.15015779786469</v>
      </c>
      <c r="Q143" s="26">
        <v>0</v>
      </c>
      <c r="R143" s="29">
        <v>2.23</v>
      </c>
      <c r="S143" s="27">
        <f t="shared" si="4"/>
        <v>55.415855131201333</v>
      </c>
      <c r="T143" s="26">
        <v>4.8</v>
      </c>
    </row>
    <row r="144" spans="1:20" x14ac:dyDescent="0.3">
      <c r="A144" s="1">
        <f t="shared" si="10"/>
        <v>46237.833333332994</v>
      </c>
      <c r="B144" s="28">
        <v>2.4</v>
      </c>
      <c r="C144" s="29">
        <v>6.35</v>
      </c>
      <c r="D144" s="25">
        <f t="shared" si="0"/>
        <v>721.14474140000004</v>
      </c>
      <c r="E144" s="26">
        <v>0</v>
      </c>
      <c r="F144" s="29">
        <v>16.329999999999998</v>
      </c>
      <c r="G144" s="27">
        <f t="shared" si="1"/>
        <v>1099.6616809663999</v>
      </c>
      <c r="H144" s="26">
        <v>0</v>
      </c>
      <c r="I144" s="29">
        <v>3.15</v>
      </c>
      <c r="J144" s="27">
        <f t="shared" si="9"/>
        <v>214.32549499999999</v>
      </c>
      <c r="K144" s="26">
        <v>0</v>
      </c>
      <c r="L144" s="29">
        <v>2.38</v>
      </c>
      <c r="M144" s="27">
        <f t="shared" si="2"/>
        <v>70.886857239999983</v>
      </c>
      <c r="N144" s="26">
        <v>0</v>
      </c>
      <c r="O144" s="29">
        <v>2.63</v>
      </c>
      <c r="P144" s="27">
        <f t="shared" si="3"/>
        <v>109.09488634608397</v>
      </c>
      <c r="Q144" s="26">
        <v>0</v>
      </c>
      <c r="R144" s="29">
        <v>2.09</v>
      </c>
      <c r="S144" s="27">
        <f t="shared" si="4"/>
        <v>47.601152164094515</v>
      </c>
      <c r="T144" s="26">
        <v>0</v>
      </c>
    </row>
    <row r="145" spans="1:20" x14ac:dyDescent="0.3">
      <c r="A145" s="1">
        <f t="shared" si="10"/>
        <v>46237.874999999658</v>
      </c>
      <c r="B145" s="28">
        <v>2.2999999999999998</v>
      </c>
      <c r="C145" s="29">
        <v>6.57</v>
      </c>
      <c r="D145" s="25">
        <f t="shared" si="0"/>
        <v>764.8267886000001</v>
      </c>
      <c r="E145" s="26">
        <v>0</v>
      </c>
      <c r="F145" s="31">
        <v>16.43</v>
      </c>
      <c r="G145" s="27">
        <f t="shared" si="1"/>
        <v>1121.1459674064004</v>
      </c>
      <c r="H145" s="26">
        <v>0</v>
      </c>
      <c r="I145" s="29">
        <v>2.91</v>
      </c>
      <c r="J145" s="27">
        <f t="shared" si="9"/>
        <v>177.25578620000005</v>
      </c>
      <c r="K145" s="26">
        <v>0</v>
      </c>
      <c r="L145" s="29">
        <v>2</v>
      </c>
      <c r="M145" s="27">
        <f t="shared" si="2"/>
        <v>47.451130069104941</v>
      </c>
      <c r="N145" s="26">
        <v>0</v>
      </c>
      <c r="O145" s="29">
        <v>2.1800000000000002</v>
      </c>
      <c r="P145" s="27">
        <f t="shared" si="3"/>
        <v>84.144498285291462</v>
      </c>
      <c r="Q145" s="26">
        <v>0</v>
      </c>
      <c r="R145" s="29">
        <v>1.82</v>
      </c>
      <c r="S145" s="27">
        <f t="shared" si="4"/>
        <v>34.638649582711842</v>
      </c>
      <c r="T145" s="26">
        <v>0.3</v>
      </c>
    </row>
    <row r="146" spans="1:20" x14ac:dyDescent="0.3">
      <c r="A146" s="1">
        <f t="shared" si="10"/>
        <v>46237.916666666322</v>
      </c>
      <c r="B146" s="28">
        <v>2.4</v>
      </c>
      <c r="C146" s="29">
        <v>6.77</v>
      </c>
      <c r="D146" s="25">
        <f t="shared" si="0"/>
        <v>805.6460366</v>
      </c>
      <c r="E146" s="26">
        <v>0</v>
      </c>
      <c r="F146" s="29">
        <v>16.43</v>
      </c>
      <c r="G146" s="27">
        <f t="shared" si="1"/>
        <v>1121.1459674064004</v>
      </c>
      <c r="H146" s="26">
        <v>0</v>
      </c>
      <c r="I146" s="29">
        <v>2.79</v>
      </c>
      <c r="J146" s="27">
        <f t="shared" si="9"/>
        <v>160.07749820000004</v>
      </c>
      <c r="K146" s="26">
        <v>0</v>
      </c>
      <c r="L146" s="29">
        <v>1.68</v>
      </c>
      <c r="M146" s="27">
        <f t="shared" si="2"/>
        <v>33.758908381367981</v>
      </c>
      <c r="N146" s="26">
        <v>0</v>
      </c>
      <c r="O146" s="29">
        <v>2.0299999999999998</v>
      </c>
      <c r="P146" s="27">
        <f t="shared" si="3"/>
        <v>76.239957702826899</v>
      </c>
      <c r="Q146" s="26">
        <v>0</v>
      </c>
      <c r="R146" s="29">
        <v>1.71</v>
      </c>
      <c r="S146" s="27">
        <f t="shared" si="4"/>
        <v>30.105586078740711</v>
      </c>
      <c r="T146" s="26">
        <v>0</v>
      </c>
    </row>
    <row r="147" spans="1:20" x14ac:dyDescent="0.3">
      <c r="A147" s="1">
        <f t="shared" si="10"/>
        <v>46237.958333332987</v>
      </c>
      <c r="B147" s="28">
        <v>2.5</v>
      </c>
      <c r="C147" s="29">
        <v>6.91</v>
      </c>
      <c r="D147" s="25">
        <f t="shared" si="0"/>
        <v>834.84754460000022</v>
      </c>
      <c r="E147" s="26">
        <v>0</v>
      </c>
      <c r="F147" s="29">
        <v>16.38</v>
      </c>
      <c r="G147" s="27">
        <f t="shared" si="1"/>
        <v>1110.3792289364001</v>
      </c>
      <c r="H147" s="26">
        <v>0</v>
      </c>
      <c r="I147" s="29">
        <v>3.08</v>
      </c>
      <c r="J147" s="27">
        <f t="shared" si="9"/>
        <v>203.13981280000002</v>
      </c>
      <c r="K147" s="26">
        <v>0</v>
      </c>
      <c r="L147" s="29">
        <v>1.58</v>
      </c>
      <c r="M147" s="27">
        <f t="shared" si="2"/>
        <v>29.920616592458135</v>
      </c>
      <c r="N147" s="26">
        <v>0</v>
      </c>
      <c r="O147" s="29">
        <v>1.93</v>
      </c>
      <c r="P147" s="27">
        <f t="shared" si="3"/>
        <v>71.092507688753486</v>
      </c>
      <c r="Q147" s="26">
        <v>0</v>
      </c>
      <c r="R147" s="29">
        <v>1.68</v>
      </c>
      <c r="S147" s="27">
        <f t="shared" si="4"/>
        <v>28.940599368516832</v>
      </c>
      <c r="T147" s="26">
        <v>0</v>
      </c>
    </row>
    <row r="148" spans="1:20" x14ac:dyDescent="0.3">
      <c r="A148" s="1">
        <f t="shared" si="10"/>
        <v>46237.999999999651</v>
      </c>
      <c r="B148" s="28">
        <v>2.7</v>
      </c>
      <c r="C148" s="29">
        <v>7.01</v>
      </c>
      <c r="D148" s="25">
        <f t="shared" si="0"/>
        <v>856.02242060000003</v>
      </c>
      <c r="E148" s="26">
        <v>0</v>
      </c>
      <c r="F148" s="29">
        <v>16.29</v>
      </c>
      <c r="G148" s="27">
        <f t="shared" si="1"/>
        <v>1091.1230597504002</v>
      </c>
      <c r="H148" s="26">
        <v>0</v>
      </c>
      <c r="I148" s="29">
        <v>3.05</v>
      </c>
      <c r="J148" s="27">
        <f t="shared" si="9"/>
        <v>198.440155</v>
      </c>
      <c r="K148" s="26">
        <v>0.9</v>
      </c>
      <c r="L148" s="29">
        <v>1.49</v>
      </c>
      <c r="M148" s="27">
        <f t="shared" si="2"/>
        <v>26.648497875362867</v>
      </c>
      <c r="N148" s="26">
        <v>0</v>
      </c>
      <c r="O148" s="29">
        <v>1.85</v>
      </c>
      <c r="P148" s="27">
        <f t="shared" si="3"/>
        <v>67.04738857228098</v>
      </c>
      <c r="Q148" s="26">
        <v>0</v>
      </c>
      <c r="R148" s="29">
        <v>1.56</v>
      </c>
      <c r="S148" s="27">
        <f t="shared" si="4"/>
        <v>24.575705540235013</v>
      </c>
      <c r="T148" s="26">
        <v>0</v>
      </c>
    </row>
    <row r="149" spans="1:20" x14ac:dyDescent="0.3">
      <c r="A149" s="1">
        <f t="shared" si="10"/>
        <v>46238.041666666315</v>
      </c>
      <c r="B149" s="28">
        <v>3.1</v>
      </c>
      <c r="C149" s="29">
        <v>7.1</v>
      </c>
      <c r="D149" s="25">
        <f t="shared" si="0"/>
        <v>875.3054264000001</v>
      </c>
      <c r="E149" s="26">
        <v>0</v>
      </c>
      <c r="F149" s="29">
        <v>16.100000000000001</v>
      </c>
      <c r="G149" s="27">
        <f t="shared" si="1"/>
        <v>1050.9945339444002</v>
      </c>
      <c r="H149" s="26">
        <v>0</v>
      </c>
      <c r="I149" s="29">
        <v>2.98</v>
      </c>
      <c r="J149" s="27">
        <f t="shared" si="9"/>
        <v>187.69410080000003</v>
      </c>
      <c r="K149" s="26">
        <v>0</v>
      </c>
      <c r="L149" s="29">
        <v>1.46</v>
      </c>
      <c r="M149" s="27">
        <f t="shared" si="2"/>
        <v>25.596479503410542</v>
      </c>
      <c r="N149" s="26">
        <v>0</v>
      </c>
      <c r="O149" s="29">
        <v>1.71</v>
      </c>
      <c r="P149" s="27">
        <f t="shared" si="3"/>
        <v>60.129784446054941</v>
      </c>
      <c r="Q149" s="26">
        <v>0</v>
      </c>
      <c r="R149" s="29">
        <v>1.5</v>
      </c>
      <c r="S149" s="27">
        <f t="shared" si="4"/>
        <v>22.56516473736648</v>
      </c>
      <c r="T149" s="26">
        <v>0</v>
      </c>
    </row>
    <row r="150" spans="1:20" x14ac:dyDescent="0.3">
      <c r="A150" s="1">
        <f t="shared" si="10"/>
        <v>46238.083333332979</v>
      </c>
      <c r="B150" s="28">
        <v>3.3</v>
      </c>
      <c r="C150" s="29">
        <v>7.15</v>
      </c>
      <c r="D150" s="25">
        <f t="shared" si="0"/>
        <v>886.11056540000016</v>
      </c>
      <c r="E150" s="26">
        <v>0</v>
      </c>
      <c r="F150" s="29">
        <v>16</v>
      </c>
      <c r="G150" s="27">
        <f t="shared" si="1"/>
        <v>1030.1595621043998</v>
      </c>
      <c r="H150" s="26">
        <v>0.5</v>
      </c>
      <c r="I150" s="29">
        <v>2.82</v>
      </c>
      <c r="J150" s="27">
        <f t="shared" si="9"/>
        <v>164.28728479999998</v>
      </c>
      <c r="K150" s="26">
        <v>0</v>
      </c>
      <c r="L150" s="29">
        <v>1.44</v>
      </c>
      <c r="M150" s="27">
        <f t="shared" si="2"/>
        <v>24.905936140413083</v>
      </c>
      <c r="N150" s="26">
        <v>0</v>
      </c>
      <c r="O150" s="29">
        <v>1.62</v>
      </c>
      <c r="P150" s="27">
        <f t="shared" si="3"/>
        <v>55.795157331793753</v>
      </c>
      <c r="Q150" s="26">
        <v>0</v>
      </c>
      <c r="R150" s="29">
        <v>1.45</v>
      </c>
      <c r="S150" s="27">
        <f t="shared" si="4"/>
        <v>20.974389865308012</v>
      </c>
      <c r="T150" s="26">
        <v>1.8</v>
      </c>
    </row>
    <row r="151" spans="1:20" x14ac:dyDescent="0.3">
      <c r="A151" s="1">
        <f t="shared" si="10"/>
        <v>46238.124999999643</v>
      </c>
      <c r="B151" s="28">
        <v>3.6</v>
      </c>
      <c r="C151" s="31">
        <v>7.17</v>
      </c>
      <c r="D151" s="25">
        <f t="shared" si="0"/>
        <v>890.45109260000004</v>
      </c>
      <c r="E151" s="26">
        <v>0</v>
      </c>
      <c r="F151" s="29">
        <v>15.81</v>
      </c>
      <c r="G151" s="27">
        <f t="shared" si="1"/>
        <v>991.11519491839999</v>
      </c>
      <c r="H151" s="26">
        <v>1.7</v>
      </c>
      <c r="I151" s="29">
        <v>2.77</v>
      </c>
      <c r="J151" s="27">
        <f t="shared" si="9"/>
        <v>157.30237580000005</v>
      </c>
      <c r="K151" s="26">
        <v>0</v>
      </c>
      <c r="L151" s="29">
        <v>1.4</v>
      </c>
      <c r="M151" s="27">
        <f t="shared" si="2"/>
        <v>23.550863797828864</v>
      </c>
      <c r="N151" s="26">
        <v>0</v>
      </c>
      <c r="O151" s="29">
        <v>1.67</v>
      </c>
      <c r="P151" s="27">
        <f t="shared" si="3"/>
        <v>58.192187386435826</v>
      </c>
      <c r="Q151" s="26">
        <v>0</v>
      </c>
      <c r="R151" s="29">
        <v>1.45</v>
      </c>
      <c r="S151" s="27">
        <f t="shared" si="4"/>
        <v>20.974389865308012</v>
      </c>
      <c r="T151" s="26">
        <v>1.2</v>
      </c>
    </row>
    <row r="152" spans="1:20" x14ac:dyDescent="0.3">
      <c r="A152" s="1">
        <f t="shared" si="10"/>
        <v>46238.166666666308</v>
      </c>
      <c r="B152" s="28">
        <v>3.9</v>
      </c>
      <c r="C152" s="29">
        <v>7.15</v>
      </c>
      <c r="D152" s="25">
        <f t="shared" si="0"/>
        <v>886.11056540000016</v>
      </c>
      <c r="E152" s="26">
        <v>0.3</v>
      </c>
      <c r="F152" s="29">
        <v>15.41</v>
      </c>
      <c r="G152" s="27">
        <f t="shared" si="1"/>
        <v>911.23831875840006</v>
      </c>
      <c r="H152" s="26">
        <v>0</v>
      </c>
      <c r="I152" s="29">
        <v>2.75</v>
      </c>
      <c r="J152" s="27">
        <f t="shared" si="9"/>
        <v>154.55237500000004</v>
      </c>
      <c r="K152" s="26">
        <v>0</v>
      </c>
      <c r="L152" s="29">
        <v>1.32</v>
      </c>
      <c r="M152" s="27">
        <f t="shared" si="2"/>
        <v>20.945351831633381</v>
      </c>
      <c r="N152" s="26">
        <v>0</v>
      </c>
      <c r="O152" s="29">
        <v>1.6</v>
      </c>
      <c r="P152" s="27">
        <f t="shared" si="3"/>
        <v>54.844219638821464</v>
      </c>
      <c r="Q152" s="26">
        <v>19.5</v>
      </c>
      <c r="R152" s="29">
        <v>1.43</v>
      </c>
      <c r="S152" s="27">
        <f t="shared" si="4"/>
        <v>20.359219548880962</v>
      </c>
      <c r="T152" s="26">
        <v>0</v>
      </c>
    </row>
    <row r="153" spans="1:20" x14ac:dyDescent="0.3">
      <c r="A153" s="1">
        <f t="shared" si="10"/>
        <v>46238.208333332972</v>
      </c>
      <c r="B153" s="28">
        <v>4.05</v>
      </c>
      <c r="C153" s="29">
        <v>7.11</v>
      </c>
      <c r="D153" s="25">
        <f t="shared" si="0"/>
        <v>877.46117659999993</v>
      </c>
      <c r="E153" s="26">
        <v>0</v>
      </c>
      <c r="F153" s="29">
        <v>15.37</v>
      </c>
      <c r="G153" s="27">
        <f t="shared" si="1"/>
        <v>903.42378170239976</v>
      </c>
      <c r="H153" s="26">
        <v>0</v>
      </c>
      <c r="I153" s="29">
        <v>2.75</v>
      </c>
      <c r="J153" s="27">
        <f t="shared" si="9"/>
        <v>154.55237500000004</v>
      </c>
      <c r="K153" s="26">
        <v>10.7</v>
      </c>
      <c r="L153" s="29">
        <v>1.17</v>
      </c>
      <c r="M153" s="27">
        <f t="shared" si="2"/>
        <v>16.440304839072116</v>
      </c>
      <c r="N153" s="26">
        <v>1.7</v>
      </c>
      <c r="O153" s="29">
        <v>1.71</v>
      </c>
      <c r="P153" s="27">
        <f t="shared" si="3"/>
        <v>60.129784446054941</v>
      </c>
      <c r="Q153" s="26">
        <v>0</v>
      </c>
      <c r="R153" s="29">
        <v>1.38</v>
      </c>
      <c r="S153" s="27">
        <f t="shared" si="4"/>
        <v>18.87318450958804</v>
      </c>
      <c r="T153" s="26">
        <v>3.8</v>
      </c>
    </row>
    <row r="154" spans="1:20" x14ac:dyDescent="0.3">
      <c r="A154" s="1">
        <f t="shared" si="10"/>
        <v>46238.249999999636</v>
      </c>
      <c r="B154" s="33">
        <v>4.0999999999999996</v>
      </c>
      <c r="C154" s="29">
        <v>7.04</v>
      </c>
      <c r="D154" s="25">
        <f t="shared" si="0"/>
        <v>862.42633999999998</v>
      </c>
      <c r="E154" s="26">
        <v>0</v>
      </c>
      <c r="F154" s="29">
        <v>15.12</v>
      </c>
      <c r="G154" s="27">
        <f t="shared" si="1"/>
        <v>855.29618735239978</v>
      </c>
      <c r="H154" s="26">
        <v>2.9</v>
      </c>
      <c r="I154" s="29">
        <v>2.83</v>
      </c>
      <c r="J154" s="27">
        <f t="shared" si="9"/>
        <v>165.70310780000005</v>
      </c>
      <c r="K154" s="26">
        <v>0</v>
      </c>
      <c r="L154" s="29">
        <v>1.05</v>
      </c>
      <c r="M154" s="27">
        <f t="shared" si="2"/>
        <v>13.199126398319068</v>
      </c>
      <c r="N154" s="26">
        <v>0</v>
      </c>
      <c r="O154" s="29">
        <v>1.75</v>
      </c>
      <c r="P154" s="27">
        <f t="shared" si="3"/>
        <v>62.084856435093684</v>
      </c>
      <c r="Q154" s="26">
        <v>0</v>
      </c>
      <c r="R154" s="29">
        <v>1.33</v>
      </c>
      <c r="S154" s="27">
        <f t="shared" si="4"/>
        <v>17.459906656177232</v>
      </c>
      <c r="T154" s="26">
        <v>2.4</v>
      </c>
    </row>
    <row r="155" spans="1:20" x14ac:dyDescent="0.3">
      <c r="A155" s="1">
        <f t="shared" si="10"/>
        <v>46238.2916666663</v>
      </c>
      <c r="B155" s="28">
        <v>4.0999999999999996</v>
      </c>
      <c r="C155" s="29">
        <v>6.94</v>
      </c>
      <c r="D155" s="25">
        <f t="shared" si="0"/>
        <v>841.17229999999995</v>
      </c>
      <c r="E155" s="26">
        <v>0</v>
      </c>
      <c r="F155" s="29">
        <v>14.85</v>
      </c>
      <c r="G155" s="27">
        <f t="shared" si="1"/>
        <v>804.6996546943999</v>
      </c>
      <c r="H155" s="26">
        <v>0</v>
      </c>
      <c r="I155" s="29">
        <v>2.88</v>
      </c>
      <c r="J155" s="27">
        <f t="shared" si="9"/>
        <v>172.87642879999999</v>
      </c>
      <c r="K155" s="26">
        <v>1.5</v>
      </c>
      <c r="L155" s="29">
        <v>1.05</v>
      </c>
      <c r="M155" s="27">
        <f t="shared" si="2"/>
        <v>13.199126398319068</v>
      </c>
      <c r="N155" s="26">
        <v>0</v>
      </c>
      <c r="O155" s="29">
        <v>1.85</v>
      </c>
      <c r="P155" s="27">
        <f t="shared" si="3"/>
        <v>67.04738857228098</v>
      </c>
      <c r="Q155" s="26">
        <v>0.6</v>
      </c>
      <c r="R155" s="29">
        <v>1.31</v>
      </c>
      <c r="S155" s="27">
        <f t="shared" si="4"/>
        <v>16.914582432371613</v>
      </c>
      <c r="T155" s="26">
        <v>0.8</v>
      </c>
    </row>
    <row r="156" spans="1:20" x14ac:dyDescent="0.3">
      <c r="A156" s="1">
        <f t="shared" si="10"/>
        <v>46238.333333332965</v>
      </c>
      <c r="B156" s="28">
        <v>3.9</v>
      </c>
      <c r="C156" s="29">
        <v>6.85</v>
      </c>
      <c r="D156" s="25">
        <f t="shared" si="0"/>
        <v>822.26928140000007</v>
      </c>
      <c r="E156" s="26">
        <v>0</v>
      </c>
      <c r="F156" s="29">
        <v>14.6</v>
      </c>
      <c r="G156" s="27">
        <f t="shared" si="1"/>
        <v>759.1299663443998</v>
      </c>
      <c r="H156" s="26">
        <v>0</v>
      </c>
      <c r="I156" s="29">
        <v>2.88</v>
      </c>
      <c r="J156" s="27">
        <f t="shared" si="9"/>
        <v>172.87642879999999</v>
      </c>
      <c r="K156" s="26">
        <v>0</v>
      </c>
      <c r="L156" s="29">
        <v>1.04</v>
      </c>
      <c r="M156" s="27">
        <f t="shared" si="2"/>
        <v>12.943789160996259</v>
      </c>
      <c r="N156" s="26">
        <v>0</v>
      </c>
      <c r="O156" s="29">
        <v>2.14</v>
      </c>
      <c r="P156" s="27">
        <f t="shared" si="3"/>
        <v>82.015551387121576</v>
      </c>
      <c r="Q156" s="26">
        <v>0</v>
      </c>
      <c r="R156" s="29">
        <v>1.27</v>
      </c>
      <c r="S156" s="27">
        <f t="shared" si="4"/>
        <v>15.85759064483829</v>
      </c>
      <c r="T156" s="26">
        <v>9.1999999999999993</v>
      </c>
    </row>
    <row r="157" spans="1:20" x14ac:dyDescent="0.3">
      <c r="A157" s="1">
        <f t="shared" si="10"/>
        <v>46238.374999999629</v>
      </c>
      <c r="B157" s="28">
        <v>3.75</v>
      </c>
      <c r="C157" s="29">
        <v>6.73</v>
      </c>
      <c r="D157" s="25">
        <f t="shared" si="0"/>
        <v>797.39774540000019</v>
      </c>
      <c r="E157" s="26">
        <v>0</v>
      </c>
      <c r="F157" s="29">
        <v>14.3</v>
      </c>
      <c r="G157" s="27">
        <f t="shared" si="1"/>
        <v>706.06962682440007</v>
      </c>
      <c r="H157" s="26">
        <v>0</v>
      </c>
      <c r="I157" s="29">
        <v>2.98</v>
      </c>
      <c r="J157" s="27">
        <f t="shared" si="9"/>
        <v>187.69410080000003</v>
      </c>
      <c r="K157" s="26">
        <v>0</v>
      </c>
      <c r="L157" s="29">
        <v>1.04</v>
      </c>
      <c r="M157" s="27">
        <f t="shared" si="2"/>
        <v>12.943789160996259</v>
      </c>
      <c r="N157" s="26">
        <v>0</v>
      </c>
      <c r="O157" s="29">
        <v>2.0499999999999998</v>
      </c>
      <c r="P157" s="27">
        <f t="shared" si="3"/>
        <v>77.28133618162687</v>
      </c>
      <c r="Q157" s="26">
        <v>0</v>
      </c>
      <c r="R157" s="29">
        <v>1.32</v>
      </c>
      <c r="S157" s="27">
        <f t="shared" si="4"/>
        <v>17.185830683644909</v>
      </c>
      <c r="T157" s="26">
        <v>7.9</v>
      </c>
    </row>
    <row r="158" spans="1:20" x14ac:dyDescent="0.3">
      <c r="A158" s="1">
        <f t="shared" si="10"/>
        <v>46238.416666666293</v>
      </c>
      <c r="B158" s="28">
        <v>3.55</v>
      </c>
      <c r="C158" s="29">
        <v>6.61</v>
      </c>
      <c r="D158" s="25">
        <f t="shared" si="0"/>
        <v>772.90619659999993</v>
      </c>
      <c r="E158" s="26">
        <v>0</v>
      </c>
      <c r="F158" s="29">
        <v>14.06</v>
      </c>
      <c r="G158" s="27">
        <f t="shared" si="1"/>
        <v>627.59699913220413</v>
      </c>
      <c r="H158" s="26">
        <v>0</v>
      </c>
      <c r="I158" s="29">
        <v>2.98</v>
      </c>
      <c r="J158" s="27">
        <f t="shared" si="9"/>
        <v>187.69410080000003</v>
      </c>
      <c r="K158" s="26">
        <v>0</v>
      </c>
      <c r="L158" s="29">
        <v>1.04</v>
      </c>
      <c r="M158" s="27">
        <f t="shared" si="2"/>
        <v>12.943789160996259</v>
      </c>
      <c r="N158" s="26">
        <v>0</v>
      </c>
      <c r="O158" s="29">
        <v>1.95</v>
      </c>
      <c r="P158" s="27">
        <f t="shared" si="3"/>
        <v>72.11398988239138</v>
      </c>
      <c r="Q158" s="26">
        <v>0</v>
      </c>
      <c r="R158" s="29">
        <v>1.42</v>
      </c>
      <c r="S158" s="27">
        <f t="shared" si="4"/>
        <v>20.056109582057218</v>
      </c>
      <c r="T158" s="26">
        <v>1.4</v>
      </c>
    </row>
    <row r="159" spans="1:20" x14ac:dyDescent="0.3">
      <c r="A159" s="1">
        <f t="shared" si="10"/>
        <v>46238.458333332957</v>
      </c>
      <c r="B159" s="28">
        <v>3.4</v>
      </c>
      <c r="C159" s="29">
        <v>6.45</v>
      </c>
      <c r="D159" s="25">
        <f t="shared" si="0"/>
        <v>740.8418893999999</v>
      </c>
      <c r="E159" s="26">
        <v>0</v>
      </c>
      <c r="F159" s="29">
        <v>13.83</v>
      </c>
      <c r="G159" s="27">
        <f t="shared" si="1"/>
        <v>593.39416609410932</v>
      </c>
      <c r="H159" s="26">
        <v>0</v>
      </c>
      <c r="I159" s="29">
        <v>2.5499999999999998</v>
      </c>
      <c r="J159" s="27">
        <f t="shared" si="9"/>
        <v>128.43405499999997</v>
      </c>
      <c r="K159" s="26">
        <v>0.5</v>
      </c>
      <c r="L159" s="29">
        <v>1.03</v>
      </c>
      <c r="M159" s="27">
        <f t="shared" si="2"/>
        <v>12.690739673392212</v>
      </c>
      <c r="N159" s="26">
        <v>0.6</v>
      </c>
      <c r="O159" s="29">
        <v>1.8</v>
      </c>
      <c r="P159" s="27">
        <f t="shared" si="3"/>
        <v>64.552894727495826</v>
      </c>
      <c r="Q159" s="26">
        <v>0</v>
      </c>
      <c r="R159" s="29">
        <v>1.38</v>
      </c>
      <c r="S159" s="27">
        <f t="shared" si="4"/>
        <v>18.87318450958804</v>
      </c>
      <c r="T159" s="26">
        <v>1.1000000000000001</v>
      </c>
    </row>
    <row r="160" spans="1:20" x14ac:dyDescent="0.3">
      <c r="A160" s="1">
        <f t="shared" si="10"/>
        <v>46238.499999999622</v>
      </c>
      <c r="B160" s="28">
        <v>3.3</v>
      </c>
      <c r="C160" s="29">
        <v>6.28</v>
      </c>
      <c r="D160" s="25">
        <f t="shared" si="0"/>
        <v>707.51374639999995</v>
      </c>
      <c r="E160" s="26">
        <v>0</v>
      </c>
      <c r="F160" s="29">
        <v>13.6</v>
      </c>
      <c r="G160" s="27">
        <f t="shared" si="1"/>
        <v>559.87022843840884</v>
      </c>
      <c r="H160" s="26">
        <v>0</v>
      </c>
      <c r="I160" s="29">
        <v>2.92</v>
      </c>
      <c r="J160" s="27">
        <f t="shared" si="9"/>
        <v>178.72813279999997</v>
      </c>
      <c r="K160" s="26">
        <v>5</v>
      </c>
      <c r="L160" s="29">
        <v>1.02</v>
      </c>
      <c r="M160" s="27">
        <f t="shared" si="2"/>
        <v>12.439981706789121</v>
      </c>
      <c r="N160" s="26">
        <v>0.6</v>
      </c>
      <c r="O160" s="29">
        <v>1.79</v>
      </c>
      <c r="P160" s="27">
        <f t="shared" si="3"/>
        <v>64.057156100172492</v>
      </c>
      <c r="Q160" s="26">
        <v>11</v>
      </c>
      <c r="R160" s="29">
        <v>1.36</v>
      </c>
      <c r="S160" s="27">
        <f t="shared" si="4"/>
        <v>18.299238706821864</v>
      </c>
      <c r="T160" s="26">
        <v>0</v>
      </c>
    </row>
    <row r="161" spans="1:20" x14ac:dyDescent="0.3">
      <c r="A161" s="1">
        <f t="shared" si="10"/>
        <v>46238.541666666286</v>
      </c>
      <c r="D161" s="5" t="str">
        <f t="shared" ref="D161:D197" si="11">IF(C161="","",IF((C161+0.56)&gt;4,13.194*(C161+0.56)^2+13.311*(C161+0.56)-0.8227,27.012*(C161+0.56)^1.6477))</f>
        <v/>
      </c>
      <c r="E161" s="4"/>
      <c r="G161" s="6" t="str">
        <f t="shared" ref="G161:G197" si="12">IF(F161="","",IF((F161-0.118)&gt;14,9.8381*((F161-0.118)-7.5)^2+42.44*((F161-0.118)-7.5)-16.777,35.535*((F161-0.118)-7.5)^1.5414))</f>
        <v/>
      </c>
      <c r="H161" s="4"/>
      <c r="J161" s="27" t="str">
        <f t="shared" si="9"/>
        <v/>
      </c>
      <c r="K161" s="4"/>
      <c r="M161" s="6" t="str">
        <f t="shared" ref="M161:M197" si="13">IF(L161="","",IF((L161)&gt;2,8.9271*((L161)^2)+9.2434*(L161)-1.6791,14.51*(((L161)-0.1)^1.846)))</f>
        <v/>
      </c>
      <c r="N161" s="4"/>
      <c r="P161" s="6" t="str">
        <f t="shared" ref="P161:P197" si="14">IF(O161="","",28.62*(O161)^1.3838)</f>
        <v/>
      </c>
      <c r="Q161" s="4"/>
      <c r="S161" s="6" t="str">
        <f t="shared" ref="S161:S197" si="15">IF(R161="","",IF(R161&gt;2.5,19.135*(R161+0.5)^2-29.477*(R161+0.5)+32.54,3.0494*((R161+0.5)^2.8875)))</f>
        <v/>
      </c>
      <c r="T161" s="4"/>
    </row>
    <row r="162" spans="1:20" x14ac:dyDescent="0.3">
      <c r="A162" s="1">
        <f t="shared" si="10"/>
        <v>46238.58333333295</v>
      </c>
      <c r="D162" s="5" t="str">
        <f t="shared" si="11"/>
        <v/>
      </c>
      <c r="E162" s="4"/>
      <c r="G162" s="6" t="str">
        <f t="shared" si="12"/>
        <v/>
      </c>
      <c r="H162" s="4"/>
      <c r="J162" s="27" t="str">
        <f t="shared" si="9"/>
        <v/>
      </c>
      <c r="K162" s="4"/>
      <c r="M162" s="6" t="str">
        <f t="shared" si="13"/>
        <v/>
      </c>
      <c r="N162" s="4"/>
      <c r="P162" s="6" t="str">
        <f t="shared" si="14"/>
        <v/>
      </c>
      <c r="Q162" s="4"/>
      <c r="S162" s="6" t="str">
        <f t="shared" si="15"/>
        <v/>
      </c>
      <c r="T162" s="4"/>
    </row>
    <row r="163" spans="1:20" x14ac:dyDescent="0.3">
      <c r="A163" s="1">
        <f t="shared" si="10"/>
        <v>46238.624999999614</v>
      </c>
      <c r="D163" s="5" t="str">
        <f t="shared" si="11"/>
        <v/>
      </c>
      <c r="E163" s="4"/>
      <c r="G163" s="6" t="str">
        <f t="shared" si="12"/>
        <v/>
      </c>
      <c r="H163" s="4"/>
      <c r="J163" s="27" t="str">
        <f t="shared" si="9"/>
        <v/>
      </c>
      <c r="K163" s="4"/>
      <c r="M163" s="6" t="str">
        <f t="shared" si="13"/>
        <v/>
      </c>
      <c r="N163" s="4"/>
      <c r="P163" s="6" t="str">
        <f t="shared" si="14"/>
        <v/>
      </c>
      <c r="Q163" s="4"/>
      <c r="S163" s="6" t="str">
        <f t="shared" si="15"/>
        <v/>
      </c>
      <c r="T163" s="4"/>
    </row>
    <row r="164" spans="1:20" x14ac:dyDescent="0.3">
      <c r="A164" s="1">
        <f t="shared" si="10"/>
        <v>46238.666666666279</v>
      </c>
      <c r="D164" s="5" t="str">
        <f t="shared" si="11"/>
        <v/>
      </c>
      <c r="E164" s="4"/>
      <c r="G164" s="6" t="str">
        <f t="shared" si="12"/>
        <v/>
      </c>
      <c r="H164" s="4"/>
      <c r="J164" s="27" t="str">
        <f t="shared" si="9"/>
        <v/>
      </c>
      <c r="K164" s="4"/>
      <c r="M164" s="6" t="str">
        <f t="shared" si="13"/>
        <v/>
      </c>
      <c r="N164" s="4"/>
      <c r="P164" s="6" t="str">
        <f t="shared" si="14"/>
        <v/>
      </c>
      <c r="Q164" s="4"/>
      <c r="S164" s="6" t="str">
        <f t="shared" si="15"/>
        <v/>
      </c>
      <c r="T164" s="4"/>
    </row>
    <row r="165" spans="1:20" x14ac:dyDescent="0.3">
      <c r="A165" s="1">
        <f t="shared" si="10"/>
        <v>46238.708333332943</v>
      </c>
      <c r="D165" s="5" t="str">
        <f t="shared" si="11"/>
        <v/>
      </c>
      <c r="E165" s="4"/>
      <c r="G165" s="6" t="str">
        <f t="shared" si="12"/>
        <v/>
      </c>
      <c r="H165" s="4"/>
      <c r="J165" s="27" t="str">
        <f t="shared" si="9"/>
        <v/>
      </c>
      <c r="K165" s="4"/>
      <c r="M165" s="6" t="str">
        <f t="shared" si="13"/>
        <v/>
      </c>
      <c r="N165" s="4"/>
      <c r="P165" s="6" t="str">
        <f t="shared" si="14"/>
        <v/>
      </c>
      <c r="Q165" s="4"/>
      <c r="S165" s="6" t="str">
        <f t="shared" si="15"/>
        <v/>
      </c>
      <c r="T165" s="4"/>
    </row>
    <row r="166" spans="1:20" x14ac:dyDescent="0.3">
      <c r="A166" s="1">
        <f t="shared" si="10"/>
        <v>46238.749999999607</v>
      </c>
      <c r="D166" s="5" t="str">
        <f t="shared" si="11"/>
        <v/>
      </c>
      <c r="E166" s="4"/>
      <c r="G166" s="6" t="str">
        <f t="shared" si="12"/>
        <v/>
      </c>
      <c r="H166" s="4"/>
      <c r="J166" s="27" t="str">
        <f t="shared" si="9"/>
        <v/>
      </c>
      <c r="K166" s="4"/>
      <c r="M166" s="6" t="str">
        <f t="shared" si="13"/>
        <v/>
      </c>
      <c r="N166" s="4"/>
      <c r="P166" s="6" t="str">
        <f t="shared" si="14"/>
        <v/>
      </c>
      <c r="Q166" s="4"/>
      <c r="S166" s="6" t="str">
        <f t="shared" si="15"/>
        <v/>
      </c>
      <c r="T166" s="4"/>
    </row>
    <row r="167" spans="1:20" x14ac:dyDescent="0.3">
      <c r="A167" s="1">
        <f t="shared" si="10"/>
        <v>46238.791666666271</v>
      </c>
      <c r="D167" s="5" t="str">
        <f t="shared" si="11"/>
        <v/>
      </c>
      <c r="E167" s="4"/>
      <c r="G167" s="6" t="str">
        <f t="shared" si="12"/>
        <v/>
      </c>
      <c r="H167" s="4"/>
      <c r="J167" s="27" t="str">
        <f t="shared" si="9"/>
        <v/>
      </c>
      <c r="K167" s="4"/>
      <c r="M167" s="6" t="str">
        <f t="shared" si="13"/>
        <v/>
      </c>
      <c r="N167" s="4"/>
      <c r="P167" s="6" t="str">
        <f t="shared" si="14"/>
        <v/>
      </c>
      <c r="Q167" s="4"/>
      <c r="S167" s="6" t="str">
        <f t="shared" si="15"/>
        <v/>
      </c>
      <c r="T167" s="4"/>
    </row>
    <row r="168" spans="1:20" x14ac:dyDescent="0.3">
      <c r="A168" s="1">
        <f t="shared" si="10"/>
        <v>46238.833333332936</v>
      </c>
      <c r="D168" s="5" t="str">
        <f t="shared" si="11"/>
        <v/>
      </c>
      <c r="E168" s="4"/>
      <c r="G168" s="6" t="str">
        <f t="shared" si="12"/>
        <v/>
      </c>
      <c r="H168" s="4"/>
      <c r="J168" s="27" t="str">
        <f t="shared" si="9"/>
        <v/>
      </c>
      <c r="K168" s="4"/>
      <c r="M168" s="6" t="str">
        <f t="shared" si="13"/>
        <v/>
      </c>
      <c r="N168" s="4"/>
      <c r="P168" s="6" t="str">
        <f t="shared" si="14"/>
        <v/>
      </c>
      <c r="Q168" s="4"/>
      <c r="S168" s="6" t="str">
        <f t="shared" si="15"/>
        <v/>
      </c>
      <c r="T168" s="4"/>
    </row>
    <row r="169" spans="1:20" x14ac:dyDescent="0.3">
      <c r="A169" s="1">
        <f t="shared" si="10"/>
        <v>46238.8749999996</v>
      </c>
      <c r="D169" s="5" t="str">
        <f t="shared" si="11"/>
        <v/>
      </c>
      <c r="E169" s="4"/>
      <c r="G169" s="6" t="str">
        <f t="shared" si="12"/>
        <v/>
      </c>
      <c r="H169" s="4"/>
      <c r="J169" s="27" t="str">
        <f t="shared" si="9"/>
        <v/>
      </c>
      <c r="K169" s="4"/>
      <c r="M169" s="6" t="str">
        <f t="shared" si="13"/>
        <v/>
      </c>
      <c r="N169" s="4"/>
      <c r="P169" s="6" t="str">
        <f t="shared" si="14"/>
        <v/>
      </c>
      <c r="Q169" s="4"/>
      <c r="S169" s="6" t="str">
        <f t="shared" si="15"/>
        <v/>
      </c>
      <c r="T169" s="4"/>
    </row>
    <row r="170" spans="1:20" x14ac:dyDescent="0.3">
      <c r="A170" s="1">
        <f t="shared" si="10"/>
        <v>46238.916666666264</v>
      </c>
      <c r="D170" s="5" t="str">
        <f t="shared" si="11"/>
        <v/>
      </c>
      <c r="E170" s="4"/>
      <c r="G170" s="6" t="str">
        <f t="shared" si="12"/>
        <v/>
      </c>
      <c r="H170" s="4"/>
      <c r="J170" s="27" t="str">
        <f t="shared" si="9"/>
        <v/>
      </c>
      <c r="K170" s="4"/>
      <c r="M170" s="6" t="str">
        <f t="shared" si="13"/>
        <v/>
      </c>
      <c r="N170" s="4"/>
      <c r="P170" s="6" t="str">
        <f t="shared" si="14"/>
        <v/>
      </c>
      <c r="Q170" s="4"/>
      <c r="S170" s="6" t="str">
        <f t="shared" si="15"/>
        <v/>
      </c>
      <c r="T170" s="4"/>
    </row>
    <row r="171" spans="1:20" x14ac:dyDescent="0.3">
      <c r="A171" s="1">
        <f t="shared" si="10"/>
        <v>46238.958333332928</v>
      </c>
      <c r="D171" s="5" t="str">
        <f t="shared" si="11"/>
        <v/>
      </c>
      <c r="E171" s="4"/>
      <c r="G171" s="6" t="str">
        <f t="shared" si="12"/>
        <v/>
      </c>
      <c r="H171" s="4"/>
      <c r="J171" s="27" t="str">
        <f t="shared" si="9"/>
        <v/>
      </c>
      <c r="K171" s="4"/>
      <c r="M171" s="6" t="str">
        <f t="shared" si="13"/>
        <v/>
      </c>
      <c r="N171" s="4"/>
      <c r="P171" s="6" t="str">
        <f t="shared" si="14"/>
        <v/>
      </c>
      <c r="Q171" s="4"/>
      <c r="S171" s="6" t="str">
        <f t="shared" si="15"/>
        <v/>
      </c>
      <c r="T171" s="4"/>
    </row>
    <row r="172" spans="1:20" x14ac:dyDescent="0.3">
      <c r="A172" s="1">
        <f t="shared" si="10"/>
        <v>46238.999999999593</v>
      </c>
      <c r="D172" s="5" t="str">
        <f t="shared" si="11"/>
        <v/>
      </c>
      <c r="E172" s="4"/>
      <c r="G172" s="6" t="str">
        <f t="shared" si="12"/>
        <v/>
      </c>
      <c r="H172" s="4"/>
      <c r="J172" s="27" t="str">
        <f t="shared" si="9"/>
        <v/>
      </c>
      <c r="K172" s="4"/>
      <c r="M172" s="6" t="str">
        <f t="shared" si="13"/>
        <v/>
      </c>
      <c r="N172" s="4"/>
      <c r="P172" s="6" t="str">
        <f t="shared" si="14"/>
        <v/>
      </c>
      <c r="Q172" s="4"/>
      <c r="S172" s="6" t="str">
        <f t="shared" si="15"/>
        <v/>
      </c>
      <c r="T172" s="4"/>
    </row>
    <row r="173" spans="1:20" x14ac:dyDescent="0.3">
      <c r="A173" s="1">
        <f t="shared" si="10"/>
        <v>46239.041666666257</v>
      </c>
      <c r="D173" s="5" t="str">
        <f t="shared" si="11"/>
        <v/>
      </c>
      <c r="E173" s="4"/>
      <c r="G173" s="6" t="str">
        <f t="shared" si="12"/>
        <v/>
      </c>
      <c r="H173" s="4"/>
      <c r="J173" s="27" t="str">
        <f t="shared" si="9"/>
        <v/>
      </c>
      <c r="K173" s="4"/>
      <c r="M173" s="6" t="str">
        <f t="shared" si="13"/>
        <v/>
      </c>
      <c r="N173" s="4"/>
      <c r="P173" s="6" t="str">
        <f t="shared" si="14"/>
        <v/>
      </c>
      <c r="Q173" s="4"/>
      <c r="S173" s="6" t="str">
        <f t="shared" si="15"/>
        <v/>
      </c>
      <c r="T173" s="4"/>
    </row>
    <row r="174" spans="1:20" x14ac:dyDescent="0.3">
      <c r="A174" s="1">
        <f t="shared" si="10"/>
        <v>46239.083333332921</v>
      </c>
      <c r="D174" s="5" t="str">
        <f t="shared" si="11"/>
        <v/>
      </c>
      <c r="E174" s="4"/>
      <c r="G174" s="6" t="str">
        <f t="shared" si="12"/>
        <v/>
      </c>
      <c r="H174" s="4"/>
      <c r="J174" s="27" t="str">
        <f t="shared" si="9"/>
        <v/>
      </c>
      <c r="K174" s="4"/>
      <c r="M174" s="6" t="str">
        <f t="shared" si="13"/>
        <v/>
      </c>
      <c r="N174" s="4"/>
      <c r="P174" s="6" t="str">
        <f t="shared" si="14"/>
        <v/>
      </c>
      <c r="Q174" s="4"/>
      <c r="S174" s="6" t="str">
        <f t="shared" si="15"/>
        <v/>
      </c>
      <c r="T174" s="4"/>
    </row>
    <row r="175" spans="1:20" x14ac:dyDescent="0.3">
      <c r="A175" s="1">
        <f t="shared" si="10"/>
        <v>46239.124999999585</v>
      </c>
      <c r="D175" s="5" t="str">
        <f t="shared" si="11"/>
        <v/>
      </c>
      <c r="E175" s="4"/>
      <c r="G175" s="6" t="str">
        <f t="shared" si="12"/>
        <v/>
      </c>
      <c r="H175" s="4"/>
      <c r="J175" s="27" t="str">
        <f t="shared" si="9"/>
        <v/>
      </c>
      <c r="K175" s="4"/>
      <c r="M175" s="6" t="str">
        <f t="shared" si="13"/>
        <v/>
      </c>
      <c r="N175" s="4"/>
      <c r="P175" s="6" t="str">
        <f t="shared" si="14"/>
        <v/>
      </c>
      <c r="Q175" s="4"/>
      <c r="S175" s="6" t="str">
        <f t="shared" si="15"/>
        <v/>
      </c>
      <c r="T175" s="4"/>
    </row>
    <row r="176" spans="1:20" x14ac:dyDescent="0.3">
      <c r="A176" s="1">
        <f t="shared" si="10"/>
        <v>46239.16666666625</v>
      </c>
      <c r="D176" s="5" t="str">
        <f t="shared" si="11"/>
        <v/>
      </c>
      <c r="E176" s="4"/>
      <c r="G176" s="6" t="str">
        <f t="shared" si="12"/>
        <v/>
      </c>
      <c r="H176" s="4"/>
      <c r="J176" s="27" t="str">
        <f t="shared" si="9"/>
        <v/>
      </c>
      <c r="K176" s="4"/>
      <c r="M176" s="6" t="str">
        <f t="shared" si="13"/>
        <v/>
      </c>
      <c r="N176" s="4"/>
      <c r="P176" s="6" t="str">
        <f t="shared" si="14"/>
        <v/>
      </c>
      <c r="Q176" s="4"/>
      <c r="S176" s="6" t="str">
        <f t="shared" si="15"/>
        <v/>
      </c>
      <c r="T176" s="4"/>
    </row>
    <row r="177" spans="1:20" x14ac:dyDescent="0.3">
      <c r="A177" s="1">
        <f t="shared" si="10"/>
        <v>46239.208333332914</v>
      </c>
      <c r="D177" s="5" t="str">
        <f t="shared" si="11"/>
        <v/>
      </c>
      <c r="E177" s="4"/>
      <c r="G177" s="6" t="str">
        <f t="shared" si="12"/>
        <v/>
      </c>
      <c r="H177" s="4"/>
      <c r="J177" s="27" t="str">
        <f t="shared" si="9"/>
        <v/>
      </c>
      <c r="K177" s="4"/>
      <c r="M177" s="6" t="str">
        <f t="shared" si="13"/>
        <v/>
      </c>
      <c r="N177" s="4"/>
      <c r="P177" s="6" t="str">
        <f t="shared" si="14"/>
        <v/>
      </c>
      <c r="Q177" s="4"/>
      <c r="S177" s="6" t="str">
        <f t="shared" si="15"/>
        <v/>
      </c>
      <c r="T177" s="4"/>
    </row>
    <row r="178" spans="1:20" x14ac:dyDescent="0.3">
      <c r="A178" s="1">
        <f t="shared" si="10"/>
        <v>46239.249999999578</v>
      </c>
      <c r="D178" s="5" t="str">
        <f t="shared" si="11"/>
        <v/>
      </c>
      <c r="E178" s="4"/>
      <c r="G178" s="6" t="str">
        <f t="shared" si="12"/>
        <v/>
      </c>
      <c r="H178" s="4"/>
      <c r="J178" s="27" t="str">
        <f t="shared" si="9"/>
        <v/>
      </c>
      <c r="K178" s="4"/>
      <c r="M178" s="6" t="str">
        <f t="shared" si="13"/>
        <v/>
      </c>
      <c r="N178" s="4"/>
      <c r="P178" s="6" t="str">
        <f t="shared" si="14"/>
        <v/>
      </c>
      <c r="Q178" s="4"/>
      <c r="S178" s="6" t="str">
        <f t="shared" si="15"/>
        <v/>
      </c>
      <c r="T178" s="4"/>
    </row>
    <row r="179" spans="1:20" x14ac:dyDescent="0.3">
      <c r="A179" s="1">
        <f t="shared" si="10"/>
        <v>46239.291666666242</v>
      </c>
      <c r="D179" s="5" t="str">
        <f t="shared" si="11"/>
        <v/>
      </c>
      <c r="E179" s="4"/>
      <c r="G179" s="6" t="str">
        <f t="shared" si="12"/>
        <v/>
      </c>
      <c r="H179" s="4"/>
      <c r="J179" s="27" t="str">
        <f t="shared" si="9"/>
        <v/>
      </c>
      <c r="K179" s="4"/>
      <c r="M179" s="6" t="str">
        <f t="shared" si="13"/>
        <v/>
      </c>
      <c r="N179" s="4"/>
      <c r="P179" s="6" t="str">
        <f t="shared" si="14"/>
        <v/>
      </c>
      <c r="Q179" s="4"/>
      <c r="S179" s="6" t="str">
        <f t="shared" si="15"/>
        <v/>
      </c>
      <c r="T179" s="4"/>
    </row>
    <row r="180" spans="1:20" x14ac:dyDescent="0.3">
      <c r="A180" s="1">
        <f t="shared" si="10"/>
        <v>46239.333333332906</v>
      </c>
      <c r="D180" s="5" t="str">
        <f t="shared" si="11"/>
        <v/>
      </c>
      <c r="E180" s="4"/>
      <c r="G180" s="6" t="str">
        <f t="shared" si="12"/>
        <v/>
      </c>
      <c r="H180" s="4"/>
      <c r="J180" s="27" t="str">
        <f t="shared" si="9"/>
        <v/>
      </c>
      <c r="K180" s="4"/>
      <c r="M180" s="6" t="str">
        <f t="shared" si="13"/>
        <v/>
      </c>
      <c r="N180" s="4"/>
      <c r="P180" s="6" t="str">
        <f t="shared" si="14"/>
        <v/>
      </c>
      <c r="Q180" s="4"/>
      <c r="S180" s="6" t="str">
        <f t="shared" si="15"/>
        <v/>
      </c>
      <c r="T180" s="4"/>
    </row>
    <row r="181" spans="1:20" x14ac:dyDescent="0.3">
      <c r="A181" s="1">
        <f t="shared" si="10"/>
        <v>46239.374999999571</v>
      </c>
      <c r="D181" s="5" t="str">
        <f t="shared" si="11"/>
        <v/>
      </c>
      <c r="E181" s="4"/>
      <c r="G181" s="6" t="str">
        <f t="shared" si="12"/>
        <v/>
      </c>
      <c r="H181" s="4"/>
      <c r="J181" s="27" t="str">
        <f t="shared" si="9"/>
        <v/>
      </c>
      <c r="K181" s="4"/>
      <c r="M181" s="6" t="str">
        <f t="shared" si="13"/>
        <v/>
      </c>
      <c r="N181" s="4"/>
      <c r="P181" s="6" t="str">
        <f t="shared" si="14"/>
        <v/>
      </c>
      <c r="Q181" s="4"/>
      <c r="S181" s="6" t="str">
        <f t="shared" si="15"/>
        <v/>
      </c>
      <c r="T181" s="4"/>
    </row>
    <row r="182" spans="1:20" x14ac:dyDescent="0.3">
      <c r="A182" s="1">
        <f t="shared" si="10"/>
        <v>46239.416666666235</v>
      </c>
      <c r="D182" s="5" t="str">
        <f t="shared" si="11"/>
        <v/>
      </c>
      <c r="E182" s="4"/>
      <c r="G182" s="6" t="str">
        <f t="shared" si="12"/>
        <v/>
      </c>
      <c r="H182" s="4"/>
      <c r="J182" s="27" t="str">
        <f t="shared" si="9"/>
        <v/>
      </c>
      <c r="K182" s="4"/>
      <c r="M182" s="6" t="str">
        <f t="shared" si="13"/>
        <v/>
      </c>
      <c r="N182" s="4"/>
      <c r="P182" s="6" t="str">
        <f t="shared" si="14"/>
        <v/>
      </c>
      <c r="Q182" s="4"/>
      <c r="S182" s="6" t="str">
        <f t="shared" si="15"/>
        <v/>
      </c>
      <c r="T182" s="4"/>
    </row>
    <row r="183" spans="1:20" x14ac:dyDescent="0.3">
      <c r="A183" s="1">
        <f t="shared" si="10"/>
        <v>46239.458333332899</v>
      </c>
      <c r="D183" s="5" t="str">
        <f t="shared" si="11"/>
        <v/>
      </c>
      <c r="E183" s="4"/>
      <c r="G183" s="6" t="str">
        <f t="shared" si="12"/>
        <v/>
      </c>
      <c r="H183" s="4"/>
      <c r="J183" s="27" t="str">
        <f t="shared" si="9"/>
        <v/>
      </c>
      <c r="K183" s="4"/>
      <c r="M183" s="6" t="str">
        <f t="shared" si="13"/>
        <v/>
      </c>
      <c r="N183" s="4"/>
      <c r="P183" s="6" t="str">
        <f t="shared" si="14"/>
        <v/>
      </c>
      <c r="Q183" s="4"/>
      <c r="S183" s="6" t="str">
        <f t="shared" si="15"/>
        <v/>
      </c>
      <c r="T183" s="4"/>
    </row>
    <row r="184" spans="1:20" x14ac:dyDescent="0.3">
      <c r="A184" s="1">
        <f t="shared" si="10"/>
        <v>46239.499999999563</v>
      </c>
      <c r="D184" s="5" t="str">
        <f t="shared" si="11"/>
        <v/>
      </c>
      <c r="E184" s="4"/>
      <c r="G184" s="6" t="str">
        <f t="shared" si="12"/>
        <v/>
      </c>
      <c r="H184" s="4"/>
      <c r="J184" s="27" t="str">
        <f t="shared" si="9"/>
        <v/>
      </c>
      <c r="K184" s="4"/>
      <c r="M184" s="6" t="str">
        <f t="shared" si="13"/>
        <v/>
      </c>
      <c r="N184" s="4"/>
      <c r="P184" s="6" t="str">
        <f t="shared" si="14"/>
        <v/>
      </c>
      <c r="Q184" s="4"/>
      <c r="S184" s="6" t="str">
        <f t="shared" si="15"/>
        <v/>
      </c>
      <c r="T184" s="4"/>
    </row>
    <row r="185" spans="1:20" x14ac:dyDescent="0.3">
      <c r="A185" s="1">
        <f t="shared" si="10"/>
        <v>46239.541666666228</v>
      </c>
      <c r="D185" s="5" t="str">
        <f t="shared" si="11"/>
        <v/>
      </c>
      <c r="E185" s="4"/>
      <c r="G185" s="6" t="str">
        <f t="shared" si="12"/>
        <v/>
      </c>
      <c r="H185" s="4"/>
      <c r="J185" s="27" t="str">
        <f t="shared" si="9"/>
        <v/>
      </c>
      <c r="K185" s="4"/>
      <c r="M185" s="6" t="str">
        <f t="shared" si="13"/>
        <v/>
      </c>
      <c r="N185" s="4"/>
      <c r="P185" s="6" t="str">
        <f t="shared" si="14"/>
        <v/>
      </c>
      <c r="Q185" s="4"/>
      <c r="S185" s="6" t="str">
        <f t="shared" si="15"/>
        <v/>
      </c>
      <c r="T185" s="4"/>
    </row>
    <row r="186" spans="1:20" x14ac:dyDescent="0.3">
      <c r="A186" s="1">
        <f t="shared" si="10"/>
        <v>46239.583333332892</v>
      </c>
      <c r="D186" s="5" t="str">
        <f t="shared" si="11"/>
        <v/>
      </c>
      <c r="E186" s="4"/>
      <c r="G186" s="6" t="str">
        <f t="shared" si="12"/>
        <v/>
      </c>
      <c r="H186" s="4"/>
      <c r="J186" s="27" t="str">
        <f t="shared" si="9"/>
        <v/>
      </c>
      <c r="K186" s="4"/>
      <c r="M186" s="6" t="str">
        <f t="shared" si="13"/>
        <v/>
      </c>
      <c r="N186" s="4"/>
      <c r="P186" s="6" t="str">
        <f t="shared" si="14"/>
        <v/>
      </c>
      <c r="Q186" s="4"/>
      <c r="S186" s="6" t="str">
        <f t="shared" si="15"/>
        <v/>
      </c>
      <c r="T186" s="4"/>
    </row>
    <row r="187" spans="1:20" x14ac:dyDescent="0.3">
      <c r="A187" s="1">
        <f t="shared" si="10"/>
        <v>46239.624999999556</v>
      </c>
      <c r="D187" s="5" t="str">
        <f t="shared" si="11"/>
        <v/>
      </c>
      <c r="E187" s="4"/>
      <c r="G187" s="6" t="str">
        <f t="shared" si="12"/>
        <v/>
      </c>
      <c r="H187" s="4"/>
      <c r="J187" s="27" t="str">
        <f t="shared" si="9"/>
        <v/>
      </c>
      <c r="K187" s="4"/>
      <c r="M187" s="6" t="str">
        <f t="shared" si="13"/>
        <v/>
      </c>
      <c r="N187" s="4"/>
      <c r="P187" s="6" t="str">
        <f t="shared" si="14"/>
        <v/>
      </c>
      <c r="Q187" s="4"/>
      <c r="S187" s="6" t="str">
        <f t="shared" si="15"/>
        <v/>
      </c>
      <c r="T187" s="4"/>
    </row>
    <row r="188" spans="1:20" x14ac:dyDescent="0.3">
      <c r="A188" s="1">
        <f t="shared" si="10"/>
        <v>46239.66666666622</v>
      </c>
      <c r="D188" s="5" t="str">
        <f t="shared" si="11"/>
        <v/>
      </c>
      <c r="E188" s="4"/>
      <c r="G188" s="6" t="str">
        <f t="shared" si="12"/>
        <v/>
      </c>
      <c r="H188" s="4"/>
      <c r="J188" s="27" t="str">
        <f t="shared" si="9"/>
        <v/>
      </c>
      <c r="K188" s="4"/>
      <c r="M188" s="6" t="str">
        <f t="shared" si="13"/>
        <v/>
      </c>
      <c r="N188" s="4"/>
      <c r="P188" s="6" t="str">
        <f t="shared" si="14"/>
        <v/>
      </c>
      <c r="Q188" s="4"/>
      <c r="S188" s="6" t="str">
        <f t="shared" si="15"/>
        <v/>
      </c>
      <c r="T188" s="4"/>
    </row>
    <row r="189" spans="1:20" x14ac:dyDescent="0.3">
      <c r="A189" s="1">
        <f t="shared" si="10"/>
        <v>46239.708333332885</v>
      </c>
      <c r="D189" s="5" t="str">
        <f t="shared" si="11"/>
        <v/>
      </c>
      <c r="E189" s="4"/>
      <c r="G189" s="6" t="str">
        <f t="shared" si="12"/>
        <v/>
      </c>
      <c r="H189" s="4"/>
      <c r="J189" s="27" t="str">
        <f t="shared" si="9"/>
        <v/>
      </c>
      <c r="K189" s="4"/>
      <c r="M189" s="6" t="str">
        <f t="shared" si="13"/>
        <v/>
      </c>
      <c r="N189" s="4"/>
      <c r="P189" s="6" t="str">
        <f t="shared" si="14"/>
        <v/>
      </c>
      <c r="Q189" s="4"/>
      <c r="S189" s="6" t="str">
        <f t="shared" si="15"/>
        <v/>
      </c>
      <c r="T189" s="4"/>
    </row>
    <row r="190" spans="1:20" x14ac:dyDescent="0.3">
      <c r="A190" s="1">
        <f t="shared" si="10"/>
        <v>46239.749999999549</v>
      </c>
      <c r="D190" s="5" t="str">
        <f t="shared" si="11"/>
        <v/>
      </c>
      <c r="E190" s="4"/>
      <c r="G190" s="6" t="str">
        <f t="shared" si="12"/>
        <v/>
      </c>
      <c r="H190" s="4"/>
      <c r="J190" s="27" t="str">
        <f t="shared" si="9"/>
        <v/>
      </c>
      <c r="K190" s="4"/>
      <c r="M190" s="6" t="str">
        <f t="shared" si="13"/>
        <v/>
      </c>
      <c r="N190" s="4"/>
      <c r="P190" s="6" t="str">
        <f t="shared" si="14"/>
        <v/>
      </c>
      <c r="Q190" s="4"/>
      <c r="S190" s="6" t="str">
        <f t="shared" si="15"/>
        <v/>
      </c>
      <c r="T190" s="4"/>
    </row>
    <row r="191" spans="1:20" x14ac:dyDescent="0.3">
      <c r="A191" s="1">
        <f t="shared" si="10"/>
        <v>46239.791666666213</v>
      </c>
      <c r="D191" s="5" t="str">
        <f t="shared" si="11"/>
        <v/>
      </c>
      <c r="E191" s="4"/>
      <c r="G191" s="6" t="str">
        <f t="shared" si="12"/>
        <v/>
      </c>
      <c r="H191" s="4"/>
      <c r="J191" s="27" t="str">
        <f t="shared" si="9"/>
        <v/>
      </c>
      <c r="K191" s="4"/>
      <c r="M191" s="6" t="str">
        <f t="shared" si="13"/>
        <v/>
      </c>
      <c r="N191" s="4"/>
      <c r="P191" s="6" t="str">
        <f t="shared" si="14"/>
        <v/>
      </c>
      <c r="Q191" s="4"/>
      <c r="S191" s="6" t="str">
        <f t="shared" si="15"/>
        <v/>
      </c>
      <c r="T191" s="4"/>
    </row>
    <row r="192" spans="1:20" x14ac:dyDescent="0.3">
      <c r="A192" s="1">
        <f t="shared" si="10"/>
        <v>46239.833333332877</v>
      </c>
      <c r="D192" s="5" t="str">
        <f t="shared" si="11"/>
        <v/>
      </c>
      <c r="E192" s="4"/>
      <c r="G192" s="6" t="str">
        <f t="shared" si="12"/>
        <v/>
      </c>
      <c r="H192" s="4"/>
      <c r="J192" s="27" t="str">
        <f t="shared" si="9"/>
        <v/>
      </c>
      <c r="K192" s="4"/>
      <c r="M192" s="6" t="str">
        <f t="shared" si="13"/>
        <v/>
      </c>
      <c r="N192" s="4"/>
      <c r="P192" s="6" t="str">
        <f t="shared" si="14"/>
        <v/>
      </c>
      <c r="Q192" s="4"/>
      <c r="S192" s="6" t="str">
        <f t="shared" si="15"/>
        <v/>
      </c>
      <c r="T192" s="4"/>
    </row>
    <row r="193" spans="1:20" x14ac:dyDescent="0.3">
      <c r="A193" s="1">
        <f t="shared" si="10"/>
        <v>46239.874999999542</v>
      </c>
      <c r="D193" s="5" t="str">
        <f t="shared" si="11"/>
        <v/>
      </c>
      <c r="E193" s="4"/>
      <c r="G193" s="6" t="str">
        <f t="shared" si="12"/>
        <v/>
      </c>
      <c r="H193" s="4"/>
      <c r="J193" s="27" t="str">
        <f t="shared" si="9"/>
        <v/>
      </c>
      <c r="K193" s="4"/>
      <c r="M193" s="6" t="str">
        <f t="shared" si="13"/>
        <v/>
      </c>
      <c r="N193" s="4"/>
      <c r="P193" s="6" t="str">
        <f t="shared" si="14"/>
        <v/>
      </c>
      <c r="Q193" s="4"/>
      <c r="S193" s="6" t="str">
        <f t="shared" si="15"/>
        <v/>
      </c>
      <c r="T193" s="4"/>
    </row>
    <row r="194" spans="1:20" x14ac:dyDescent="0.3">
      <c r="A194" s="1">
        <f t="shared" si="10"/>
        <v>46239.916666666206</v>
      </c>
      <c r="D194" s="5" t="str">
        <f t="shared" si="11"/>
        <v/>
      </c>
      <c r="E194" s="4"/>
      <c r="G194" s="6" t="str">
        <f t="shared" si="12"/>
        <v/>
      </c>
      <c r="H194" s="4"/>
      <c r="J194" s="27" t="str">
        <f t="shared" si="9"/>
        <v/>
      </c>
      <c r="K194" s="4"/>
      <c r="M194" s="6" t="str">
        <f t="shared" si="13"/>
        <v/>
      </c>
      <c r="N194" s="4"/>
      <c r="P194" s="6" t="str">
        <f t="shared" si="14"/>
        <v/>
      </c>
      <c r="Q194" s="4"/>
      <c r="S194" s="6" t="str">
        <f t="shared" si="15"/>
        <v/>
      </c>
      <c r="T194" s="4"/>
    </row>
    <row r="195" spans="1:20" x14ac:dyDescent="0.3">
      <c r="A195" s="1">
        <f t="shared" si="10"/>
        <v>46239.95833333287</v>
      </c>
      <c r="D195" s="5" t="str">
        <f t="shared" si="11"/>
        <v/>
      </c>
      <c r="E195" s="4"/>
      <c r="G195" s="6" t="str">
        <f t="shared" si="12"/>
        <v/>
      </c>
      <c r="H195" s="4"/>
      <c r="J195" s="27" t="str">
        <f t="shared" si="9"/>
        <v/>
      </c>
      <c r="K195" s="4"/>
      <c r="M195" s="6" t="str">
        <f t="shared" si="13"/>
        <v/>
      </c>
      <c r="N195" s="4"/>
      <c r="P195" s="6" t="str">
        <f t="shared" si="14"/>
        <v/>
      </c>
      <c r="Q195" s="4"/>
      <c r="S195" s="6" t="str">
        <f t="shared" si="15"/>
        <v/>
      </c>
      <c r="T195" s="4"/>
    </row>
    <row r="196" spans="1:20" x14ac:dyDescent="0.3">
      <c r="A196" s="1">
        <f t="shared" si="10"/>
        <v>46239.999999999534</v>
      </c>
      <c r="D196" s="5" t="str">
        <f t="shared" si="11"/>
        <v/>
      </c>
      <c r="E196" s="4"/>
      <c r="G196" s="6" t="str">
        <f t="shared" si="12"/>
        <v/>
      </c>
      <c r="H196" s="4"/>
      <c r="J196" s="27" t="str">
        <f t="shared" si="9"/>
        <v/>
      </c>
      <c r="K196" s="4"/>
      <c r="M196" s="6" t="str">
        <f t="shared" si="13"/>
        <v/>
      </c>
      <c r="N196" s="4"/>
      <c r="P196" s="6" t="str">
        <f t="shared" si="14"/>
        <v/>
      </c>
      <c r="Q196" s="4"/>
      <c r="S196" s="6" t="str">
        <f t="shared" si="15"/>
        <v/>
      </c>
      <c r="T196" s="4"/>
    </row>
    <row r="197" spans="1:20" x14ac:dyDescent="0.3">
      <c r="A197" s="1">
        <f t="shared" si="10"/>
        <v>46240.041666666199</v>
      </c>
      <c r="D197" s="5" t="str">
        <f t="shared" si="11"/>
        <v/>
      </c>
      <c r="E197" s="4"/>
      <c r="G197" s="6" t="str">
        <f t="shared" si="12"/>
        <v/>
      </c>
      <c r="H197" s="4"/>
      <c r="J197" s="27" t="str">
        <f t="shared" si="9"/>
        <v/>
      </c>
      <c r="K197" s="4"/>
      <c r="M197" s="6" t="str">
        <f t="shared" si="13"/>
        <v/>
      </c>
      <c r="N197" s="4"/>
      <c r="P197" s="6" t="str">
        <f t="shared" si="14"/>
        <v/>
      </c>
      <c r="Q197" s="4"/>
      <c r="S197" s="6" t="str">
        <f t="shared" si="15"/>
        <v/>
      </c>
      <c r="T197" s="4"/>
    </row>
    <row r="198" spans="1:20" x14ac:dyDescent="0.3">
      <c r="A198" s="1">
        <f t="shared" si="10"/>
        <v>46240.083333332863</v>
      </c>
      <c r="D198" s="5" t="str">
        <f t="shared" ref="D198:D261" si="16">IF(C198="","",IF((C198+0.56)&gt;4,13.194*(C198+0.56)^2+13.311*(C198+0.56)-0.8227,27.012*(C198+0.56)^1.6477))</f>
        <v/>
      </c>
      <c r="E198" s="4"/>
      <c r="G198" s="6" t="str">
        <f t="shared" ref="G198:G261" si="17">IF(F198="","",IF((F198-0.118)&gt;14,9.8381*((F198-0.118)-7.5)^2+42.44*((F198-0.118)-7.5)-16.777,35.535*((F198-0.118)-7.5)^1.5414))</f>
        <v/>
      </c>
      <c r="H198" s="4"/>
      <c r="J198" s="27" t="str">
        <f t="shared" ref="J198:J261" si="18">IF(I198="","",IF(I198&lt;=2.1,7.5134*(I198)^3.1739,31.402*(I198)^2-35.839*(I198)+15.632))</f>
        <v/>
      </c>
      <c r="K198" s="4"/>
      <c r="M198" s="6" t="str">
        <f t="shared" ref="M198:M261" si="19">IF(L198="","",IF((L198)&gt;2,8.9271*((L198)^2)+9.2434*(L198)-1.6791,14.51*(((L198)-0.1)^1.846)))</f>
        <v/>
      </c>
      <c r="N198" s="4"/>
      <c r="P198" s="6" t="str">
        <f t="shared" ref="P198:P261" si="20">IF(O198="","",28.62*(O198)^1.3838)</f>
        <v/>
      </c>
      <c r="Q198" s="4"/>
      <c r="S198" s="6" t="str">
        <f t="shared" ref="S198:S261" si="21">IF(R198="","",IF(R198&gt;2.5,19.135*(R198+0.5)^2-29.477*(R198+0.5)+32.54,3.0494*((R198+0.5)^2.8875)))</f>
        <v/>
      </c>
      <c r="T198" s="4"/>
    </row>
    <row r="199" spans="1:20" x14ac:dyDescent="0.3">
      <c r="A199" s="1">
        <f t="shared" ref="A199:A262" si="22">A198+1/24</f>
        <v>46240.124999999527</v>
      </c>
      <c r="D199" s="5" t="str">
        <f t="shared" si="16"/>
        <v/>
      </c>
      <c r="E199" s="4"/>
      <c r="G199" s="6" t="str">
        <f t="shared" si="17"/>
        <v/>
      </c>
      <c r="H199" s="4"/>
      <c r="J199" s="27" t="str">
        <f t="shared" si="18"/>
        <v/>
      </c>
      <c r="K199" s="4"/>
      <c r="M199" s="6" t="str">
        <f t="shared" si="19"/>
        <v/>
      </c>
      <c r="N199" s="4"/>
      <c r="P199" s="6" t="str">
        <f t="shared" si="20"/>
        <v/>
      </c>
      <c r="Q199" s="4"/>
      <c r="S199" s="6" t="str">
        <f t="shared" si="21"/>
        <v/>
      </c>
      <c r="T199" s="4"/>
    </row>
    <row r="200" spans="1:20" x14ac:dyDescent="0.3">
      <c r="A200" s="1">
        <f t="shared" si="22"/>
        <v>46240.166666666191</v>
      </c>
      <c r="D200" s="5" t="str">
        <f t="shared" si="16"/>
        <v/>
      </c>
      <c r="E200" s="4"/>
      <c r="G200" s="6" t="str">
        <f t="shared" si="17"/>
        <v/>
      </c>
      <c r="H200" s="4"/>
      <c r="J200" s="27" t="str">
        <f t="shared" si="18"/>
        <v/>
      </c>
      <c r="K200" s="4"/>
      <c r="M200" s="6" t="str">
        <f t="shared" si="19"/>
        <v/>
      </c>
      <c r="N200" s="4"/>
      <c r="P200" s="6" t="str">
        <f t="shared" si="20"/>
        <v/>
      </c>
      <c r="Q200" s="4"/>
      <c r="S200" s="6" t="str">
        <f t="shared" si="21"/>
        <v/>
      </c>
      <c r="T200" s="4"/>
    </row>
    <row r="201" spans="1:20" x14ac:dyDescent="0.3">
      <c r="A201" s="1">
        <f t="shared" si="22"/>
        <v>46240.208333332856</v>
      </c>
      <c r="D201" s="5" t="str">
        <f t="shared" si="16"/>
        <v/>
      </c>
      <c r="E201" s="4"/>
      <c r="G201" s="6" t="str">
        <f t="shared" si="17"/>
        <v/>
      </c>
      <c r="H201" s="4"/>
      <c r="J201" s="27" t="str">
        <f t="shared" si="18"/>
        <v/>
      </c>
      <c r="K201" s="4"/>
      <c r="M201" s="6" t="str">
        <f t="shared" si="19"/>
        <v/>
      </c>
      <c r="N201" s="4"/>
      <c r="P201" s="6" t="str">
        <f t="shared" si="20"/>
        <v/>
      </c>
      <c r="Q201" s="4"/>
      <c r="S201" s="6" t="str">
        <f t="shared" si="21"/>
        <v/>
      </c>
      <c r="T201" s="4"/>
    </row>
    <row r="202" spans="1:20" x14ac:dyDescent="0.3">
      <c r="A202" s="1">
        <f t="shared" si="22"/>
        <v>46240.24999999952</v>
      </c>
      <c r="D202" s="5" t="str">
        <f t="shared" si="16"/>
        <v/>
      </c>
      <c r="E202" s="4"/>
      <c r="G202" s="6" t="str">
        <f t="shared" si="17"/>
        <v/>
      </c>
      <c r="H202" s="4"/>
      <c r="J202" s="27" t="str">
        <f t="shared" si="18"/>
        <v/>
      </c>
      <c r="K202" s="4"/>
      <c r="M202" s="6" t="str">
        <f t="shared" si="19"/>
        <v/>
      </c>
      <c r="N202" s="4"/>
      <c r="P202" s="6" t="str">
        <f t="shared" si="20"/>
        <v/>
      </c>
      <c r="Q202" s="4"/>
      <c r="S202" s="6" t="str">
        <f t="shared" si="21"/>
        <v/>
      </c>
      <c r="T202" s="4"/>
    </row>
    <row r="203" spans="1:20" x14ac:dyDescent="0.3">
      <c r="A203" s="1">
        <f t="shared" si="22"/>
        <v>46240.291666666184</v>
      </c>
      <c r="D203" s="5" t="str">
        <f t="shared" si="16"/>
        <v/>
      </c>
      <c r="E203" s="4"/>
      <c r="G203" s="6" t="str">
        <f t="shared" si="17"/>
        <v/>
      </c>
      <c r="H203" s="4"/>
      <c r="J203" s="27" t="str">
        <f t="shared" si="18"/>
        <v/>
      </c>
      <c r="K203" s="4"/>
      <c r="M203" s="6" t="str">
        <f t="shared" si="19"/>
        <v/>
      </c>
      <c r="N203" s="4"/>
      <c r="P203" s="6" t="str">
        <f t="shared" si="20"/>
        <v/>
      </c>
      <c r="Q203" s="4"/>
      <c r="S203" s="6" t="str">
        <f t="shared" si="21"/>
        <v/>
      </c>
      <c r="T203" s="4"/>
    </row>
    <row r="204" spans="1:20" x14ac:dyDescent="0.3">
      <c r="A204" s="1">
        <f t="shared" si="22"/>
        <v>46240.333333332848</v>
      </c>
      <c r="D204" s="5" t="str">
        <f t="shared" si="16"/>
        <v/>
      </c>
      <c r="E204" s="4"/>
      <c r="G204" s="6" t="str">
        <f t="shared" si="17"/>
        <v/>
      </c>
      <c r="H204" s="4"/>
      <c r="J204" s="27" t="str">
        <f t="shared" si="18"/>
        <v/>
      </c>
      <c r="K204" s="4"/>
      <c r="M204" s="6" t="str">
        <f t="shared" si="19"/>
        <v/>
      </c>
      <c r="N204" s="4"/>
      <c r="P204" s="6" t="str">
        <f t="shared" si="20"/>
        <v/>
      </c>
      <c r="Q204" s="4"/>
      <c r="S204" s="6" t="str">
        <f t="shared" si="21"/>
        <v/>
      </c>
      <c r="T204" s="4"/>
    </row>
    <row r="205" spans="1:20" x14ac:dyDescent="0.3">
      <c r="A205" s="1">
        <f t="shared" si="22"/>
        <v>46240.374999999513</v>
      </c>
      <c r="D205" s="5" t="str">
        <f t="shared" si="16"/>
        <v/>
      </c>
      <c r="E205" s="4"/>
      <c r="G205" s="6" t="str">
        <f t="shared" si="17"/>
        <v/>
      </c>
      <c r="H205" s="4"/>
      <c r="J205" s="27" t="str">
        <f t="shared" si="18"/>
        <v/>
      </c>
      <c r="K205" s="4"/>
      <c r="M205" s="6" t="str">
        <f t="shared" si="19"/>
        <v/>
      </c>
      <c r="N205" s="4"/>
      <c r="P205" s="6" t="str">
        <f t="shared" si="20"/>
        <v/>
      </c>
      <c r="Q205" s="4"/>
      <c r="S205" s="6" t="str">
        <f t="shared" si="21"/>
        <v/>
      </c>
      <c r="T205" s="4"/>
    </row>
    <row r="206" spans="1:20" x14ac:dyDescent="0.3">
      <c r="A206" s="1">
        <f t="shared" si="22"/>
        <v>46240.416666666177</v>
      </c>
      <c r="D206" s="5" t="str">
        <f t="shared" si="16"/>
        <v/>
      </c>
      <c r="E206" s="4"/>
      <c r="G206" s="6" t="str">
        <f t="shared" si="17"/>
        <v/>
      </c>
      <c r="H206" s="4"/>
      <c r="J206" s="27" t="str">
        <f t="shared" si="18"/>
        <v/>
      </c>
      <c r="K206" s="4"/>
      <c r="M206" s="6" t="str">
        <f t="shared" si="19"/>
        <v/>
      </c>
      <c r="N206" s="4"/>
      <c r="P206" s="6" t="str">
        <f t="shared" si="20"/>
        <v/>
      </c>
      <c r="Q206" s="4"/>
      <c r="S206" s="6" t="str">
        <f t="shared" si="21"/>
        <v/>
      </c>
      <c r="T206" s="4"/>
    </row>
    <row r="207" spans="1:20" x14ac:dyDescent="0.3">
      <c r="A207" s="1">
        <f t="shared" si="22"/>
        <v>46240.458333332841</v>
      </c>
      <c r="D207" s="5" t="str">
        <f t="shared" si="16"/>
        <v/>
      </c>
      <c r="E207" s="4"/>
      <c r="G207" s="6" t="str">
        <f t="shared" si="17"/>
        <v/>
      </c>
      <c r="H207" s="4"/>
      <c r="J207" s="27" t="str">
        <f t="shared" si="18"/>
        <v/>
      </c>
      <c r="K207" s="4"/>
      <c r="M207" s="6" t="str">
        <f t="shared" si="19"/>
        <v/>
      </c>
      <c r="N207" s="4"/>
      <c r="P207" s="6" t="str">
        <f t="shared" si="20"/>
        <v/>
      </c>
      <c r="Q207" s="4"/>
      <c r="S207" s="6" t="str">
        <f t="shared" si="21"/>
        <v/>
      </c>
      <c r="T207" s="4"/>
    </row>
    <row r="208" spans="1:20" x14ac:dyDescent="0.3">
      <c r="A208" s="1">
        <f t="shared" si="22"/>
        <v>46240.499999999505</v>
      </c>
      <c r="D208" s="5" t="str">
        <f t="shared" si="16"/>
        <v/>
      </c>
      <c r="E208" s="4"/>
      <c r="G208" s="6" t="str">
        <f t="shared" si="17"/>
        <v/>
      </c>
      <c r="H208" s="4"/>
      <c r="J208" s="27" t="str">
        <f t="shared" si="18"/>
        <v/>
      </c>
      <c r="K208" s="4"/>
      <c r="M208" s="6" t="str">
        <f t="shared" si="19"/>
        <v/>
      </c>
      <c r="N208" s="4"/>
      <c r="P208" s="6" t="str">
        <f t="shared" si="20"/>
        <v/>
      </c>
      <c r="Q208" s="4"/>
      <c r="S208" s="6" t="str">
        <f t="shared" si="21"/>
        <v/>
      </c>
      <c r="T208" s="4"/>
    </row>
    <row r="209" spans="1:20" x14ac:dyDescent="0.3">
      <c r="A209" s="1">
        <f t="shared" si="22"/>
        <v>46240.541666666169</v>
      </c>
      <c r="D209" s="5" t="str">
        <f t="shared" si="16"/>
        <v/>
      </c>
      <c r="E209" s="4"/>
      <c r="G209" s="6" t="str">
        <f t="shared" si="17"/>
        <v/>
      </c>
      <c r="H209" s="4"/>
      <c r="J209" s="27" t="str">
        <f t="shared" si="18"/>
        <v/>
      </c>
      <c r="K209" s="4"/>
      <c r="M209" s="6" t="str">
        <f t="shared" si="19"/>
        <v/>
      </c>
      <c r="N209" s="4"/>
      <c r="P209" s="6" t="str">
        <f t="shared" si="20"/>
        <v/>
      </c>
      <c r="Q209" s="4"/>
      <c r="S209" s="6" t="str">
        <f t="shared" si="21"/>
        <v/>
      </c>
      <c r="T209" s="4"/>
    </row>
    <row r="210" spans="1:20" x14ac:dyDescent="0.3">
      <c r="A210" s="1">
        <f t="shared" si="22"/>
        <v>46240.583333332834</v>
      </c>
      <c r="D210" s="5" t="str">
        <f t="shared" si="16"/>
        <v/>
      </c>
      <c r="E210" s="4"/>
      <c r="G210" s="6" t="str">
        <f t="shared" si="17"/>
        <v/>
      </c>
      <c r="H210" s="4"/>
      <c r="J210" s="27" t="str">
        <f t="shared" si="18"/>
        <v/>
      </c>
      <c r="K210" s="4"/>
      <c r="M210" s="6" t="str">
        <f t="shared" si="19"/>
        <v/>
      </c>
      <c r="N210" s="4"/>
      <c r="P210" s="6" t="str">
        <f t="shared" si="20"/>
        <v/>
      </c>
      <c r="Q210" s="4"/>
      <c r="S210" s="6" t="str">
        <f t="shared" si="21"/>
        <v/>
      </c>
      <c r="T210" s="4"/>
    </row>
    <row r="211" spans="1:20" x14ac:dyDescent="0.3">
      <c r="A211" s="1">
        <f t="shared" si="22"/>
        <v>46240.624999999498</v>
      </c>
      <c r="D211" s="5" t="str">
        <f t="shared" si="16"/>
        <v/>
      </c>
      <c r="E211" s="4"/>
      <c r="G211" s="6" t="str">
        <f t="shared" si="17"/>
        <v/>
      </c>
      <c r="H211" s="4"/>
      <c r="J211" s="27" t="str">
        <f t="shared" si="18"/>
        <v/>
      </c>
      <c r="K211" s="4"/>
      <c r="M211" s="6" t="str">
        <f t="shared" si="19"/>
        <v/>
      </c>
      <c r="N211" s="4"/>
      <c r="P211" s="6" t="str">
        <f t="shared" si="20"/>
        <v/>
      </c>
      <c r="Q211" s="4"/>
      <c r="S211" s="6" t="str">
        <f t="shared" si="21"/>
        <v/>
      </c>
      <c r="T211" s="4"/>
    </row>
    <row r="212" spans="1:20" x14ac:dyDescent="0.3">
      <c r="A212" s="1">
        <f t="shared" si="22"/>
        <v>46240.666666666162</v>
      </c>
      <c r="D212" s="5" t="str">
        <f t="shared" si="16"/>
        <v/>
      </c>
      <c r="E212" s="4"/>
      <c r="G212" s="6" t="str">
        <f t="shared" si="17"/>
        <v/>
      </c>
      <c r="H212" s="4"/>
      <c r="J212" s="27" t="str">
        <f t="shared" si="18"/>
        <v/>
      </c>
      <c r="K212" s="4"/>
      <c r="M212" s="6" t="str">
        <f t="shared" si="19"/>
        <v/>
      </c>
      <c r="N212" s="4"/>
      <c r="P212" s="6" t="str">
        <f t="shared" si="20"/>
        <v/>
      </c>
      <c r="Q212" s="4"/>
      <c r="S212" s="6" t="str">
        <f t="shared" si="21"/>
        <v/>
      </c>
      <c r="T212" s="4"/>
    </row>
    <row r="213" spans="1:20" x14ac:dyDescent="0.3">
      <c r="A213" s="1">
        <f t="shared" si="22"/>
        <v>46240.708333332826</v>
      </c>
      <c r="D213" s="5" t="str">
        <f t="shared" si="16"/>
        <v/>
      </c>
      <c r="E213" s="4"/>
      <c r="G213" s="6" t="str">
        <f t="shared" si="17"/>
        <v/>
      </c>
      <c r="H213" s="4"/>
      <c r="J213" s="27" t="str">
        <f t="shared" si="18"/>
        <v/>
      </c>
      <c r="K213" s="4"/>
      <c r="M213" s="6" t="str">
        <f t="shared" si="19"/>
        <v/>
      </c>
      <c r="N213" s="4"/>
      <c r="P213" s="6" t="str">
        <f t="shared" si="20"/>
        <v/>
      </c>
      <c r="Q213" s="4"/>
      <c r="S213" s="6" t="str">
        <f t="shared" si="21"/>
        <v/>
      </c>
      <c r="T213" s="4"/>
    </row>
    <row r="214" spans="1:20" x14ac:dyDescent="0.3">
      <c r="A214" s="1">
        <f t="shared" si="22"/>
        <v>46240.749999999491</v>
      </c>
      <c r="D214" s="5" t="str">
        <f t="shared" si="16"/>
        <v/>
      </c>
      <c r="G214" s="6" t="str">
        <f t="shared" si="17"/>
        <v/>
      </c>
      <c r="J214" s="27" t="str">
        <f t="shared" si="18"/>
        <v/>
      </c>
      <c r="M214" s="6" t="str">
        <f t="shared" si="19"/>
        <v/>
      </c>
      <c r="P214" s="6" t="str">
        <f t="shared" si="20"/>
        <v/>
      </c>
      <c r="S214" s="6" t="str">
        <f t="shared" si="21"/>
        <v/>
      </c>
      <c r="T214" s="3"/>
    </row>
    <row r="215" spans="1:20" x14ac:dyDescent="0.3">
      <c r="A215" s="1">
        <f t="shared" si="22"/>
        <v>46240.791666666155</v>
      </c>
      <c r="D215" s="5" t="str">
        <f t="shared" si="16"/>
        <v/>
      </c>
      <c r="G215" s="6" t="str">
        <f t="shared" si="17"/>
        <v/>
      </c>
      <c r="J215" s="27" t="str">
        <f t="shared" si="18"/>
        <v/>
      </c>
      <c r="M215" s="6" t="str">
        <f t="shared" si="19"/>
        <v/>
      </c>
      <c r="P215" s="6" t="str">
        <f t="shared" si="20"/>
        <v/>
      </c>
      <c r="S215" s="6" t="str">
        <f t="shared" si="21"/>
        <v/>
      </c>
      <c r="T215" s="3"/>
    </row>
    <row r="216" spans="1:20" x14ac:dyDescent="0.3">
      <c r="A216" s="1">
        <f t="shared" si="22"/>
        <v>46240.833333332819</v>
      </c>
      <c r="D216" s="5" t="str">
        <f t="shared" si="16"/>
        <v/>
      </c>
      <c r="G216" s="6" t="str">
        <f t="shared" si="17"/>
        <v/>
      </c>
      <c r="J216" s="27" t="str">
        <f t="shared" si="18"/>
        <v/>
      </c>
      <c r="M216" s="6" t="str">
        <f t="shared" si="19"/>
        <v/>
      </c>
      <c r="P216" s="6" t="str">
        <f t="shared" si="20"/>
        <v/>
      </c>
      <c r="S216" s="6" t="str">
        <f t="shared" si="21"/>
        <v/>
      </c>
      <c r="T216" s="3"/>
    </row>
    <row r="217" spans="1:20" x14ac:dyDescent="0.3">
      <c r="A217" s="1">
        <f t="shared" si="22"/>
        <v>46240.874999999483</v>
      </c>
      <c r="D217" s="5" t="str">
        <f t="shared" si="16"/>
        <v/>
      </c>
      <c r="G217" s="6" t="str">
        <f t="shared" si="17"/>
        <v/>
      </c>
      <c r="J217" s="27" t="str">
        <f t="shared" si="18"/>
        <v/>
      </c>
      <c r="M217" s="6" t="str">
        <f t="shared" si="19"/>
        <v/>
      </c>
      <c r="P217" s="6" t="str">
        <f t="shared" si="20"/>
        <v/>
      </c>
      <c r="S217" s="6" t="str">
        <f t="shared" si="21"/>
        <v/>
      </c>
      <c r="T217" s="3"/>
    </row>
    <row r="218" spans="1:20" x14ac:dyDescent="0.3">
      <c r="A218" s="1">
        <f t="shared" si="22"/>
        <v>46240.916666666148</v>
      </c>
      <c r="D218" s="5" t="str">
        <f t="shared" si="16"/>
        <v/>
      </c>
      <c r="G218" s="6" t="str">
        <f t="shared" si="17"/>
        <v/>
      </c>
      <c r="J218" s="27" t="str">
        <f t="shared" si="18"/>
        <v/>
      </c>
      <c r="M218" s="6" t="str">
        <f t="shared" si="19"/>
        <v/>
      </c>
      <c r="P218" s="6" t="str">
        <f t="shared" si="20"/>
        <v/>
      </c>
      <c r="S218" s="6" t="str">
        <f t="shared" si="21"/>
        <v/>
      </c>
      <c r="T218" s="3"/>
    </row>
    <row r="219" spans="1:20" x14ac:dyDescent="0.3">
      <c r="A219" s="1">
        <f t="shared" si="22"/>
        <v>46240.958333332812</v>
      </c>
      <c r="D219" s="5" t="str">
        <f t="shared" si="16"/>
        <v/>
      </c>
      <c r="G219" s="6" t="str">
        <f t="shared" si="17"/>
        <v/>
      </c>
      <c r="J219" s="27" t="str">
        <f t="shared" si="18"/>
        <v/>
      </c>
      <c r="M219" s="6" t="str">
        <f t="shared" si="19"/>
        <v/>
      </c>
      <c r="P219" s="6" t="str">
        <f t="shared" si="20"/>
        <v/>
      </c>
      <c r="S219" s="6" t="str">
        <f t="shared" si="21"/>
        <v/>
      </c>
      <c r="T219" s="3"/>
    </row>
    <row r="220" spans="1:20" x14ac:dyDescent="0.3">
      <c r="A220" s="1">
        <f t="shared" si="22"/>
        <v>46240.999999999476</v>
      </c>
      <c r="D220" s="5" t="str">
        <f t="shared" si="16"/>
        <v/>
      </c>
      <c r="G220" s="6" t="str">
        <f t="shared" si="17"/>
        <v/>
      </c>
      <c r="J220" s="27" t="str">
        <f t="shared" si="18"/>
        <v/>
      </c>
      <c r="M220" s="6" t="str">
        <f t="shared" si="19"/>
        <v/>
      </c>
      <c r="P220" s="6" t="str">
        <f t="shared" si="20"/>
        <v/>
      </c>
      <c r="S220" s="6" t="str">
        <f t="shared" si="21"/>
        <v/>
      </c>
      <c r="T220" s="3"/>
    </row>
    <row r="221" spans="1:20" x14ac:dyDescent="0.3">
      <c r="A221" s="1">
        <f t="shared" si="22"/>
        <v>46241.04166666614</v>
      </c>
      <c r="D221" s="5" t="str">
        <f t="shared" si="16"/>
        <v/>
      </c>
      <c r="G221" s="6" t="str">
        <f t="shared" si="17"/>
        <v/>
      </c>
      <c r="J221" s="27" t="str">
        <f t="shared" si="18"/>
        <v/>
      </c>
      <c r="M221" s="6" t="str">
        <f t="shared" si="19"/>
        <v/>
      </c>
      <c r="P221" s="6" t="str">
        <f t="shared" si="20"/>
        <v/>
      </c>
      <c r="S221" s="6" t="str">
        <f t="shared" si="21"/>
        <v/>
      </c>
      <c r="T221" s="3"/>
    </row>
    <row r="222" spans="1:20" x14ac:dyDescent="0.3">
      <c r="A222" s="1">
        <f t="shared" si="22"/>
        <v>46241.083333332805</v>
      </c>
      <c r="D222" s="5" t="str">
        <f t="shared" si="16"/>
        <v/>
      </c>
      <c r="G222" s="6" t="str">
        <f t="shared" si="17"/>
        <v/>
      </c>
      <c r="J222" s="27" t="str">
        <f t="shared" si="18"/>
        <v/>
      </c>
      <c r="M222" s="6" t="str">
        <f t="shared" si="19"/>
        <v/>
      </c>
      <c r="P222" s="6" t="str">
        <f t="shared" si="20"/>
        <v/>
      </c>
      <c r="S222" s="6" t="str">
        <f t="shared" si="21"/>
        <v/>
      </c>
      <c r="T222" s="3"/>
    </row>
    <row r="223" spans="1:20" x14ac:dyDescent="0.3">
      <c r="A223" s="1">
        <f t="shared" si="22"/>
        <v>46241.124999999469</v>
      </c>
      <c r="D223" s="5" t="str">
        <f t="shared" si="16"/>
        <v/>
      </c>
      <c r="G223" s="6" t="str">
        <f t="shared" si="17"/>
        <v/>
      </c>
      <c r="J223" s="27" t="str">
        <f t="shared" si="18"/>
        <v/>
      </c>
      <c r="M223" s="6" t="str">
        <f t="shared" si="19"/>
        <v/>
      </c>
      <c r="P223" s="6" t="str">
        <f t="shared" si="20"/>
        <v/>
      </c>
      <c r="S223" s="6" t="str">
        <f t="shared" si="21"/>
        <v/>
      </c>
      <c r="T223" s="3"/>
    </row>
    <row r="224" spans="1:20" x14ac:dyDescent="0.3">
      <c r="A224" s="1">
        <f t="shared" si="22"/>
        <v>46241.166666666133</v>
      </c>
      <c r="D224" s="5" t="str">
        <f t="shared" si="16"/>
        <v/>
      </c>
      <c r="G224" s="6" t="str">
        <f t="shared" si="17"/>
        <v/>
      </c>
      <c r="J224" s="27" t="str">
        <f t="shared" si="18"/>
        <v/>
      </c>
      <c r="M224" s="6" t="str">
        <f t="shared" si="19"/>
        <v/>
      </c>
      <c r="P224" s="6" t="str">
        <f t="shared" si="20"/>
        <v/>
      </c>
      <c r="S224" s="6" t="str">
        <f t="shared" si="21"/>
        <v/>
      </c>
      <c r="T224" s="3"/>
    </row>
    <row r="225" spans="1:20" x14ac:dyDescent="0.3">
      <c r="A225" s="1">
        <f t="shared" si="22"/>
        <v>46241.208333332797</v>
      </c>
      <c r="D225" s="5" t="str">
        <f t="shared" si="16"/>
        <v/>
      </c>
      <c r="G225" s="6" t="str">
        <f t="shared" si="17"/>
        <v/>
      </c>
      <c r="J225" s="27" t="str">
        <f t="shared" si="18"/>
        <v/>
      </c>
      <c r="M225" s="6" t="str">
        <f t="shared" si="19"/>
        <v/>
      </c>
      <c r="P225" s="6" t="str">
        <f t="shared" si="20"/>
        <v/>
      </c>
      <c r="S225" s="6" t="str">
        <f t="shared" si="21"/>
        <v/>
      </c>
      <c r="T225" s="3"/>
    </row>
    <row r="226" spans="1:20" x14ac:dyDescent="0.3">
      <c r="A226" s="1">
        <f t="shared" si="22"/>
        <v>46241.249999999462</v>
      </c>
      <c r="D226" s="5" t="str">
        <f t="shared" si="16"/>
        <v/>
      </c>
      <c r="G226" s="6" t="str">
        <f t="shared" si="17"/>
        <v/>
      </c>
      <c r="J226" s="27" t="str">
        <f t="shared" si="18"/>
        <v/>
      </c>
      <c r="M226" s="6" t="str">
        <f t="shared" si="19"/>
        <v/>
      </c>
      <c r="P226" s="6" t="str">
        <f t="shared" si="20"/>
        <v/>
      </c>
      <c r="S226" s="6" t="str">
        <f t="shared" si="21"/>
        <v/>
      </c>
      <c r="T226" s="3"/>
    </row>
    <row r="227" spans="1:20" x14ac:dyDescent="0.3">
      <c r="A227" s="1">
        <f t="shared" si="22"/>
        <v>46241.291666666126</v>
      </c>
      <c r="D227" s="5" t="str">
        <f t="shared" si="16"/>
        <v/>
      </c>
      <c r="G227" s="6" t="str">
        <f t="shared" si="17"/>
        <v/>
      </c>
      <c r="J227" s="27" t="str">
        <f t="shared" si="18"/>
        <v/>
      </c>
      <c r="M227" s="6" t="str">
        <f t="shared" si="19"/>
        <v/>
      </c>
      <c r="P227" s="6" t="str">
        <f t="shared" si="20"/>
        <v/>
      </c>
      <c r="S227" s="6" t="str">
        <f t="shared" si="21"/>
        <v/>
      </c>
      <c r="T227" s="3"/>
    </row>
    <row r="228" spans="1:20" x14ac:dyDescent="0.3">
      <c r="A228" s="1">
        <f t="shared" si="22"/>
        <v>46241.33333333279</v>
      </c>
      <c r="D228" s="5" t="str">
        <f t="shared" si="16"/>
        <v/>
      </c>
      <c r="G228" s="6" t="str">
        <f t="shared" si="17"/>
        <v/>
      </c>
      <c r="J228" s="27" t="str">
        <f t="shared" si="18"/>
        <v/>
      </c>
      <c r="M228" s="6" t="str">
        <f t="shared" si="19"/>
        <v/>
      </c>
      <c r="P228" s="6" t="str">
        <f t="shared" si="20"/>
        <v/>
      </c>
      <c r="S228" s="6" t="str">
        <f t="shared" si="21"/>
        <v/>
      </c>
      <c r="T228" s="3"/>
    </row>
    <row r="229" spans="1:20" x14ac:dyDescent="0.3">
      <c r="A229" s="1">
        <f t="shared" si="22"/>
        <v>46241.374999999454</v>
      </c>
      <c r="D229" s="5" t="str">
        <f t="shared" si="16"/>
        <v/>
      </c>
      <c r="G229" s="6" t="str">
        <f t="shared" si="17"/>
        <v/>
      </c>
      <c r="J229" s="27" t="str">
        <f t="shared" si="18"/>
        <v/>
      </c>
      <c r="M229" s="6" t="str">
        <f t="shared" si="19"/>
        <v/>
      </c>
      <c r="P229" s="6" t="str">
        <f t="shared" si="20"/>
        <v/>
      </c>
      <c r="S229" s="6" t="str">
        <f t="shared" si="21"/>
        <v/>
      </c>
      <c r="T229" s="3"/>
    </row>
    <row r="230" spans="1:20" x14ac:dyDescent="0.3">
      <c r="A230" s="1">
        <f t="shared" si="22"/>
        <v>46241.416666666119</v>
      </c>
      <c r="D230" s="5" t="str">
        <f t="shared" si="16"/>
        <v/>
      </c>
      <c r="G230" s="6" t="str">
        <f t="shared" si="17"/>
        <v/>
      </c>
      <c r="J230" s="27" t="str">
        <f t="shared" si="18"/>
        <v/>
      </c>
      <c r="M230" s="6" t="str">
        <f t="shared" si="19"/>
        <v/>
      </c>
      <c r="P230" s="6" t="str">
        <f t="shared" si="20"/>
        <v/>
      </c>
      <c r="S230" s="6" t="str">
        <f t="shared" si="21"/>
        <v/>
      </c>
      <c r="T230" s="3"/>
    </row>
    <row r="231" spans="1:20" x14ac:dyDescent="0.3">
      <c r="A231" s="1">
        <f t="shared" si="22"/>
        <v>46241.458333332783</v>
      </c>
      <c r="D231" s="5" t="str">
        <f t="shared" si="16"/>
        <v/>
      </c>
      <c r="G231" s="6" t="str">
        <f t="shared" si="17"/>
        <v/>
      </c>
      <c r="J231" s="27" t="str">
        <f t="shared" si="18"/>
        <v/>
      </c>
      <c r="M231" s="6" t="str">
        <f t="shared" si="19"/>
        <v/>
      </c>
      <c r="P231" s="6" t="str">
        <f t="shared" si="20"/>
        <v/>
      </c>
      <c r="S231" s="6" t="str">
        <f t="shared" si="21"/>
        <v/>
      </c>
      <c r="T231" s="3"/>
    </row>
    <row r="232" spans="1:20" x14ac:dyDescent="0.3">
      <c r="A232" s="1">
        <f t="shared" si="22"/>
        <v>46241.499999999447</v>
      </c>
      <c r="D232" s="5" t="str">
        <f t="shared" si="16"/>
        <v/>
      </c>
      <c r="G232" s="6" t="str">
        <f t="shared" si="17"/>
        <v/>
      </c>
      <c r="J232" s="27" t="str">
        <f t="shared" si="18"/>
        <v/>
      </c>
      <c r="M232" s="6" t="str">
        <f t="shared" si="19"/>
        <v/>
      </c>
      <c r="P232" s="6" t="str">
        <f t="shared" si="20"/>
        <v/>
      </c>
      <c r="S232" s="6" t="str">
        <f t="shared" si="21"/>
        <v/>
      </c>
      <c r="T232" s="3"/>
    </row>
    <row r="233" spans="1:20" x14ac:dyDescent="0.3">
      <c r="A233" s="1">
        <f t="shared" si="22"/>
        <v>46241.541666666111</v>
      </c>
      <c r="D233" s="5" t="str">
        <f t="shared" si="16"/>
        <v/>
      </c>
      <c r="G233" s="6" t="str">
        <f t="shared" si="17"/>
        <v/>
      </c>
      <c r="J233" s="27" t="str">
        <f t="shared" si="18"/>
        <v/>
      </c>
      <c r="M233" s="6" t="str">
        <f t="shared" si="19"/>
        <v/>
      </c>
      <c r="P233" s="6" t="str">
        <f t="shared" si="20"/>
        <v/>
      </c>
      <c r="S233" s="6" t="str">
        <f t="shared" si="21"/>
        <v/>
      </c>
      <c r="T233" s="3"/>
    </row>
    <row r="234" spans="1:20" x14ac:dyDescent="0.3">
      <c r="A234" s="1">
        <f t="shared" si="22"/>
        <v>46241.583333332776</v>
      </c>
      <c r="D234" s="5" t="str">
        <f t="shared" si="16"/>
        <v/>
      </c>
      <c r="G234" s="6" t="str">
        <f t="shared" si="17"/>
        <v/>
      </c>
      <c r="J234" s="27" t="str">
        <f t="shared" si="18"/>
        <v/>
      </c>
      <c r="M234" s="6" t="str">
        <f t="shared" si="19"/>
        <v/>
      </c>
      <c r="P234" s="6" t="str">
        <f t="shared" si="20"/>
        <v/>
      </c>
      <c r="S234" s="6" t="str">
        <f t="shared" si="21"/>
        <v/>
      </c>
      <c r="T234" s="3"/>
    </row>
    <row r="235" spans="1:20" x14ac:dyDescent="0.3">
      <c r="A235" s="1">
        <f t="shared" si="22"/>
        <v>46241.62499999944</v>
      </c>
      <c r="D235" s="5" t="str">
        <f t="shared" si="16"/>
        <v/>
      </c>
      <c r="G235" s="6" t="str">
        <f t="shared" si="17"/>
        <v/>
      </c>
      <c r="J235" s="27" t="str">
        <f t="shared" si="18"/>
        <v/>
      </c>
      <c r="M235" s="6" t="str">
        <f t="shared" si="19"/>
        <v/>
      </c>
      <c r="P235" s="6" t="str">
        <f t="shared" si="20"/>
        <v/>
      </c>
      <c r="S235" s="6" t="str">
        <f t="shared" si="21"/>
        <v/>
      </c>
      <c r="T235" s="3"/>
    </row>
    <row r="236" spans="1:20" x14ac:dyDescent="0.3">
      <c r="A236" s="1">
        <f t="shared" si="22"/>
        <v>46241.666666666104</v>
      </c>
      <c r="D236" s="5" t="str">
        <f t="shared" si="16"/>
        <v/>
      </c>
      <c r="G236" s="6" t="str">
        <f t="shared" si="17"/>
        <v/>
      </c>
      <c r="J236" s="27" t="str">
        <f t="shared" si="18"/>
        <v/>
      </c>
      <c r="M236" s="6" t="str">
        <f t="shared" si="19"/>
        <v/>
      </c>
      <c r="P236" s="6" t="str">
        <f t="shared" si="20"/>
        <v/>
      </c>
      <c r="S236" s="6" t="str">
        <f t="shared" si="21"/>
        <v/>
      </c>
      <c r="T236" s="3"/>
    </row>
    <row r="237" spans="1:20" x14ac:dyDescent="0.3">
      <c r="A237" s="1">
        <f t="shared" si="22"/>
        <v>46241.708333332768</v>
      </c>
      <c r="D237" s="5" t="str">
        <f t="shared" si="16"/>
        <v/>
      </c>
      <c r="G237" s="6" t="str">
        <f t="shared" si="17"/>
        <v/>
      </c>
      <c r="J237" s="27" t="str">
        <f t="shared" si="18"/>
        <v/>
      </c>
      <c r="M237" s="6" t="str">
        <f t="shared" si="19"/>
        <v/>
      </c>
      <c r="P237" s="6" t="str">
        <f t="shared" si="20"/>
        <v/>
      </c>
      <c r="S237" s="6" t="str">
        <f t="shared" si="21"/>
        <v/>
      </c>
      <c r="T237" s="3"/>
    </row>
    <row r="238" spans="1:20" x14ac:dyDescent="0.3">
      <c r="A238" s="1">
        <f t="shared" si="22"/>
        <v>46241.749999999432</v>
      </c>
      <c r="D238" s="5" t="str">
        <f t="shared" si="16"/>
        <v/>
      </c>
      <c r="G238" s="6" t="str">
        <f t="shared" si="17"/>
        <v/>
      </c>
      <c r="J238" s="27" t="str">
        <f t="shared" si="18"/>
        <v/>
      </c>
      <c r="M238" s="6" t="str">
        <f t="shared" si="19"/>
        <v/>
      </c>
      <c r="P238" s="6" t="str">
        <f t="shared" si="20"/>
        <v/>
      </c>
      <c r="S238" s="6" t="str">
        <f t="shared" si="21"/>
        <v/>
      </c>
      <c r="T238" s="3"/>
    </row>
    <row r="239" spans="1:20" x14ac:dyDescent="0.3">
      <c r="A239" s="1">
        <f t="shared" si="22"/>
        <v>46241.791666666097</v>
      </c>
      <c r="D239" s="5" t="str">
        <f t="shared" si="16"/>
        <v/>
      </c>
      <c r="G239" s="6" t="str">
        <f t="shared" si="17"/>
        <v/>
      </c>
      <c r="J239" s="27" t="str">
        <f t="shared" si="18"/>
        <v/>
      </c>
      <c r="M239" s="6" t="str">
        <f t="shared" si="19"/>
        <v/>
      </c>
      <c r="P239" s="6" t="str">
        <f t="shared" si="20"/>
        <v/>
      </c>
      <c r="S239" s="6" t="str">
        <f t="shared" si="21"/>
        <v/>
      </c>
      <c r="T239" s="3"/>
    </row>
    <row r="240" spans="1:20" x14ac:dyDescent="0.3">
      <c r="A240" s="1">
        <f t="shared" si="22"/>
        <v>46241.833333332761</v>
      </c>
      <c r="D240" s="5" t="str">
        <f t="shared" si="16"/>
        <v/>
      </c>
      <c r="G240" s="6" t="str">
        <f t="shared" si="17"/>
        <v/>
      </c>
      <c r="J240" s="27" t="str">
        <f t="shared" si="18"/>
        <v/>
      </c>
      <c r="M240" s="6" t="str">
        <f t="shared" si="19"/>
        <v/>
      </c>
      <c r="P240" s="6" t="str">
        <f t="shared" si="20"/>
        <v/>
      </c>
      <c r="S240" s="6" t="str">
        <f t="shared" si="21"/>
        <v/>
      </c>
      <c r="T240" s="3"/>
    </row>
    <row r="241" spans="1:20" x14ac:dyDescent="0.3">
      <c r="A241" s="1">
        <f t="shared" si="22"/>
        <v>46241.874999999425</v>
      </c>
      <c r="D241" s="5" t="str">
        <f t="shared" si="16"/>
        <v/>
      </c>
      <c r="G241" s="6" t="str">
        <f t="shared" si="17"/>
        <v/>
      </c>
      <c r="J241" s="27" t="str">
        <f t="shared" si="18"/>
        <v/>
      </c>
      <c r="M241" s="6" t="str">
        <f t="shared" si="19"/>
        <v/>
      </c>
      <c r="P241" s="6" t="str">
        <f t="shared" si="20"/>
        <v/>
      </c>
      <c r="S241" s="6" t="str">
        <f t="shared" si="21"/>
        <v/>
      </c>
      <c r="T241" s="3"/>
    </row>
    <row r="242" spans="1:20" x14ac:dyDescent="0.3">
      <c r="A242" s="1">
        <f t="shared" si="22"/>
        <v>46241.916666666089</v>
      </c>
      <c r="D242" s="5" t="str">
        <f t="shared" si="16"/>
        <v/>
      </c>
      <c r="G242" s="6" t="str">
        <f t="shared" si="17"/>
        <v/>
      </c>
      <c r="J242" s="27" t="str">
        <f t="shared" si="18"/>
        <v/>
      </c>
      <c r="M242" s="6" t="str">
        <f t="shared" si="19"/>
        <v/>
      </c>
      <c r="P242" s="6" t="str">
        <f t="shared" si="20"/>
        <v/>
      </c>
      <c r="S242" s="6" t="str">
        <f t="shared" si="21"/>
        <v/>
      </c>
      <c r="T242" s="3"/>
    </row>
    <row r="243" spans="1:20" x14ac:dyDescent="0.3">
      <c r="A243" s="1">
        <f t="shared" si="22"/>
        <v>46241.958333332754</v>
      </c>
      <c r="D243" s="5" t="str">
        <f t="shared" si="16"/>
        <v/>
      </c>
      <c r="G243" s="6" t="str">
        <f t="shared" si="17"/>
        <v/>
      </c>
      <c r="J243" s="27" t="str">
        <f t="shared" si="18"/>
        <v/>
      </c>
      <c r="M243" s="6" t="str">
        <f t="shared" si="19"/>
        <v/>
      </c>
      <c r="P243" s="6" t="str">
        <f t="shared" si="20"/>
        <v/>
      </c>
      <c r="S243" s="6" t="str">
        <f t="shared" si="21"/>
        <v/>
      </c>
      <c r="T243" s="3"/>
    </row>
    <row r="244" spans="1:20" x14ac:dyDescent="0.3">
      <c r="A244" s="1">
        <f t="shared" si="22"/>
        <v>46241.999999999418</v>
      </c>
      <c r="D244" s="5" t="str">
        <f t="shared" si="16"/>
        <v/>
      </c>
      <c r="G244" s="6" t="str">
        <f t="shared" si="17"/>
        <v/>
      </c>
      <c r="J244" s="27" t="str">
        <f t="shared" si="18"/>
        <v/>
      </c>
      <c r="M244" s="6" t="str">
        <f t="shared" si="19"/>
        <v/>
      </c>
      <c r="P244" s="6" t="str">
        <f t="shared" si="20"/>
        <v/>
      </c>
      <c r="S244" s="6" t="str">
        <f t="shared" si="21"/>
        <v/>
      </c>
      <c r="T244" s="3"/>
    </row>
    <row r="245" spans="1:20" x14ac:dyDescent="0.3">
      <c r="A245" s="1">
        <f t="shared" si="22"/>
        <v>46242.041666666082</v>
      </c>
      <c r="D245" s="5" t="str">
        <f t="shared" si="16"/>
        <v/>
      </c>
      <c r="G245" s="6" t="str">
        <f t="shared" si="17"/>
        <v/>
      </c>
      <c r="J245" s="27" t="str">
        <f t="shared" si="18"/>
        <v/>
      </c>
      <c r="M245" s="6" t="str">
        <f t="shared" si="19"/>
        <v/>
      </c>
      <c r="P245" s="6" t="str">
        <f t="shared" si="20"/>
        <v/>
      </c>
      <c r="S245" s="6" t="str">
        <f t="shared" si="21"/>
        <v/>
      </c>
      <c r="T245" s="3"/>
    </row>
    <row r="246" spans="1:20" x14ac:dyDescent="0.3">
      <c r="A246" s="1">
        <f t="shared" si="22"/>
        <v>46242.083333332746</v>
      </c>
      <c r="D246" s="5" t="str">
        <f t="shared" si="16"/>
        <v/>
      </c>
      <c r="G246" s="6" t="str">
        <f t="shared" si="17"/>
        <v/>
      </c>
      <c r="J246" s="27" t="str">
        <f t="shared" si="18"/>
        <v/>
      </c>
      <c r="M246" s="6" t="str">
        <f t="shared" si="19"/>
        <v/>
      </c>
      <c r="P246" s="6" t="str">
        <f t="shared" si="20"/>
        <v/>
      </c>
      <c r="S246" s="6" t="str">
        <f t="shared" si="21"/>
        <v/>
      </c>
      <c r="T246" s="3"/>
    </row>
    <row r="247" spans="1:20" x14ac:dyDescent="0.3">
      <c r="A247" s="1">
        <f t="shared" si="22"/>
        <v>46242.124999999411</v>
      </c>
      <c r="D247" s="5" t="str">
        <f t="shared" si="16"/>
        <v/>
      </c>
      <c r="G247" s="6" t="str">
        <f t="shared" si="17"/>
        <v/>
      </c>
      <c r="J247" s="27" t="str">
        <f t="shared" si="18"/>
        <v/>
      </c>
      <c r="M247" s="6" t="str">
        <f t="shared" si="19"/>
        <v/>
      </c>
      <c r="P247" s="6" t="str">
        <f t="shared" si="20"/>
        <v/>
      </c>
      <c r="S247" s="6" t="str">
        <f t="shared" si="21"/>
        <v/>
      </c>
      <c r="T247" s="3"/>
    </row>
    <row r="248" spans="1:20" x14ac:dyDescent="0.3">
      <c r="A248" s="1">
        <f t="shared" si="22"/>
        <v>46242.166666666075</v>
      </c>
      <c r="D248" s="5" t="str">
        <f t="shared" si="16"/>
        <v/>
      </c>
      <c r="G248" s="6" t="str">
        <f t="shared" si="17"/>
        <v/>
      </c>
      <c r="J248" s="27" t="str">
        <f t="shared" si="18"/>
        <v/>
      </c>
      <c r="M248" s="6" t="str">
        <f t="shared" si="19"/>
        <v/>
      </c>
      <c r="P248" s="6" t="str">
        <f t="shared" si="20"/>
        <v/>
      </c>
      <c r="S248" s="6" t="str">
        <f t="shared" si="21"/>
        <v/>
      </c>
      <c r="T248" s="3"/>
    </row>
    <row r="249" spans="1:20" x14ac:dyDescent="0.3">
      <c r="A249" s="1">
        <f t="shared" si="22"/>
        <v>46242.208333332739</v>
      </c>
      <c r="D249" s="5" t="str">
        <f t="shared" si="16"/>
        <v/>
      </c>
      <c r="G249" s="6" t="str">
        <f t="shared" si="17"/>
        <v/>
      </c>
      <c r="J249" s="27" t="str">
        <f t="shared" si="18"/>
        <v/>
      </c>
      <c r="M249" s="6" t="str">
        <f t="shared" si="19"/>
        <v/>
      </c>
      <c r="P249" s="6" t="str">
        <f t="shared" si="20"/>
        <v/>
      </c>
      <c r="S249" s="6" t="str">
        <f t="shared" si="21"/>
        <v/>
      </c>
      <c r="T249" s="3"/>
    </row>
    <row r="250" spans="1:20" x14ac:dyDescent="0.3">
      <c r="A250" s="1">
        <f t="shared" si="22"/>
        <v>46242.249999999403</v>
      </c>
      <c r="D250" s="5" t="str">
        <f t="shared" si="16"/>
        <v/>
      </c>
      <c r="G250" s="6" t="str">
        <f t="shared" si="17"/>
        <v/>
      </c>
      <c r="J250" s="27" t="str">
        <f t="shared" si="18"/>
        <v/>
      </c>
      <c r="M250" s="6" t="str">
        <f t="shared" si="19"/>
        <v/>
      </c>
      <c r="P250" s="6" t="str">
        <f t="shared" si="20"/>
        <v/>
      </c>
      <c r="S250" s="6" t="str">
        <f t="shared" si="21"/>
        <v/>
      </c>
      <c r="T250" s="3"/>
    </row>
    <row r="251" spans="1:20" x14ac:dyDescent="0.3">
      <c r="A251" s="1">
        <f t="shared" si="22"/>
        <v>46242.291666666068</v>
      </c>
      <c r="D251" s="5" t="str">
        <f t="shared" si="16"/>
        <v/>
      </c>
      <c r="G251" s="6" t="str">
        <f t="shared" si="17"/>
        <v/>
      </c>
      <c r="J251" s="27" t="str">
        <f t="shared" si="18"/>
        <v/>
      </c>
      <c r="M251" s="6" t="str">
        <f t="shared" si="19"/>
        <v/>
      </c>
      <c r="P251" s="6" t="str">
        <f t="shared" si="20"/>
        <v/>
      </c>
      <c r="S251" s="6" t="str">
        <f t="shared" si="21"/>
        <v/>
      </c>
      <c r="T251" s="3"/>
    </row>
    <row r="252" spans="1:20" x14ac:dyDescent="0.3">
      <c r="A252" s="1">
        <f t="shared" si="22"/>
        <v>46242.333333332732</v>
      </c>
      <c r="D252" s="5" t="str">
        <f t="shared" si="16"/>
        <v/>
      </c>
      <c r="G252" s="6" t="str">
        <f t="shared" si="17"/>
        <v/>
      </c>
      <c r="J252" s="27" t="str">
        <f t="shared" si="18"/>
        <v/>
      </c>
      <c r="M252" s="6" t="str">
        <f t="shared" si="19"/>
        <v/>
      </c>
      <c r="P252" s="6" t="str">
        <f t="shared" si="20"/>
        <v/>
      </c>
      <c r="S252" s="6" t="str">
        <f t="shared" si="21"/>
        <v/>
      </c>
      <c r="T252" s="3"/>
    </row>
    <row r="253" spans="1:20" x14ac:dyDescent="0.3">
      <c r="A253" s="1">
        <f t="shared" si="22"/>
        <v>46242.374999999396</v>
      </c>
      <c r="D253" s="5" t="str">
        <f t="shared" si="16"/>
        <v/>
      </c>
      <c r="G253" s="6" t="str">
        <f t="shared" si="17"/>
        <v/>
      </c>
      <c r="J253" s="27" t="str">
        <f t="shared" si="18"/>
        <v/>
      </c>
      <c r="M253" s="6" t="str">
        <f t="shared" si="19"/>
        <v/>
      </c>
      <c r="P253" s="6" t="str">
        <f t="shared" si="20"/>
        <v/>
      </c>
      <c r="S253" s="6" t="str">
        <f t="shared" si="21"/>
        <v/>
      </c>
      <c r="T253" s="3"/>
    </row>
    <row r="254" spans="1:20" x14ac:dyDescent="0.3">
      <c r="A254" s="1">
        <f t="shared" si="22"/>
        <v>46242.41666666606</v>
      </c>
      <c r="D254" s="5" t="str">
        <f t="shared" si="16"/>
        <v/>
      </c>
      <c r="G254" s="6" t="str">
        <f t="shared" si="17"/>
        <v/>
      </c>
      <c r="J254" s="27" t="str">
        <f t="shared" si="18"/>
        <v/>
      </c>
      <c r="M254" s="6" t="str">
        <f t="shared" si="19"/>
        <v/>
      </c>
      <c r="P254" s="6" t="str">
        <f t="shared" si="20"/>
        <v/>
      </c>
      <c r="S254" s="6" t="str">
        <f t="shared" si="21"/>
        <v/>
      </c>
      <c r="T254" s="3"/>
    </row>
    <row r="255" spans="1:20" x14ac:dyDescent="0.3">
      <c r="A255" s="1">
        <f t="shared" si="22"/>
        <v>46242.458333332725</v>
      </c>
      <c r="D255" s="5" t="str">
        <f t="shared" si="16"/>
        <v/>
      </c>
      <c r="G255" s="6" t="str">
        <f t="shared" si="17"/>
        <v/>
      </c>
      <c r="J255" s="27" t="str">
        <f t="shared" si="18"/>
        <v/>
      </c>
      <c r="M255" s="6" t="str">
        <f t="shared" si="19"/>
        <v/>
      </c>
      <c r="P255" s="6" t="str">
        <f t="shared" si="20"/>
        <v/>
      </c>
      <c r="S255" s="6" t="str">
        <f t="shared" si="21"/>
        <v/>
      </c>
      <c r="T255" s="3"/>
    </row>
    <row r="256" spans="1:20" x14ac:dyDescent="0.3">
      <c r="A256" s="1">
        <f t="shared" si="22"/>
        <v>46242.499999999389</v>
      </c>
      <c r="D256" s="5" t="str">
        <f t="shared" si="16"/>
        <v/>
      </c>
      <c r="G256" s="6" t="str">
        <f t="shared" si="17"/>
        <v/>
      </c>
      <c r="J256" s="27" t="str">
        <f t="shared" si="18"/>
        <v/>
      </c>
      <c r="M256" s="6" t="str">
        <f t="shared" si="19"/>
        <v/>
      </c>
      <c r="P256" s="6" t="str">
        <f t="shared" si="20"/>
        <v/>
      </c>
      <c r="S256" s="6" t="str">
        <f t="shared" si="21"/>
        <v/>
      </c>
      <c r="T256" s="3"/>
    </row>
    <row r="257" spans="1:20" x14ac:dyDescent="0.3">
      <c r="A257" s="1">
        <f t="shared" si="22"/>
        <v>46242.541666666053</v>
      </c>
      <c r="D257" s="5" t="str">
        <f t="shared" si="16"/>
        <v/>
      </c>
      <c r="G257" s="6" t="str">
        <f t="shared" si="17"/>
        <v/>
      </c>
      <c r="J257" s="27" t="str">
        <f t="shared" si="18"/>
        <v/>
      </c>
      <c r="M257" s="6" t="str">
        <f t="shared" si="19"/>
        <v/>
      </c>
      <c r="P257" s="6" t="str">
        <f t="shared" si="20"/>
        <v/>
      </c>
      <c r="S257" s="6" t="str">
        <f t="shared" si="21"/>
        <v/>
      </c>
      <c r="T257" s="3"/>
    </row>
    <row r="258" spans="1:20" x14ac:dyDescent="0.3">
      <c r="A258" s="1">
        <f t="shared" si="22"/>
        <v>46242.583333332717</v>
      </c>
      <c r="D258" s="5" t="str">
        <f t="shared" si="16"/>
        <v/>
      </c>
      <c r="G258" s="6" t="str">
        <f t="shared" si="17"/>
        <v/>
      </c>
      <c r="J258" s="27" t="str">
        <f t="shared" si="18"/>
        <v/>
      </c>
      <c r="M258" s="6" t="str">
        <f t="shared" si="19"/>
        <v/>
      </c>
      <c r="P258" s="6" t="str">
        <f t="shared" si="20"/>
        <v/>
      </c>
      <c r="S258" s="6" t="str">
        <f t="shared" si="21"/>
        <v/>
      </c>
      <c r="T258" s="3"/>
    </row>
    <row r="259" spans="1:20" x14ac:dyDescent="0.3">
      <c r="A259" s="1">
        <f t="shared" si="22"/>
        <v>46242.624999999382</v>
      </c>
      <c r="D259" s="5" t="str">
        <f t="shared" si="16"/>
        <v/>
      </c>
      <c r="G259" s="6" t="str">
        <f t="shared" si="17"/>
        <v/>
      </c>
      <c r="J259" s="27" t="str">
        <f t="shared" si="18"/>
        <v/>
      </c>
      <c r="M259" s="6" t="str">
        <f t="shared" si="19"/>
        <v/>
      </c>
      <c r="P259" s="6" t="str">
        <f t="shared" si="20"/>
        <v/>
      </c>
      <c r="S259" s="6" t="str">
        <f t="shared" si="21"/>
        <v/>
      </c>
      <c r="T259" s="3"/>
    </row>
    <row r="260" spans="1:20" x14ac:dyDescent="0.3">
      <c r="A260" s="1">
        <f t="shared" si="22"/>
        <v>46242.666666666046</v>
      </c>
      <c r="D260" s="5" t="str">
        <f t="shared" si="16"/>
        <v/>
      </c>
      <c r="G260" s="6" t="str">
        <f t="shared" si="17"/>
        <v/>
      </c>
      <c r="J260" s="27" t="str">
        <f t="shared" si="18"/>
        <v/>
      </c>
      <c r="M260" s="6" t="str">
        <f t="shared" si="19"/>
        <v/>
      </c>
      <c r="P260" s="6" t="str">
        <f t="shared" si="20"/>
        <v/>
      </c>
      <c r="S260" s="6" t="str">
        <f t="shared" si="21"/>
        <v/>
      </c>
      <c r="T260" s="3"/>
    </row>
    <row r="261" spans="1:20" x14ac:dyDescent="0.3">
      <c r="A261" s="1">
        <f t="shared" si="22"/>
        <v>46242.70833333271</v>
      </c>
      <c r="D261" s="5" t="str">
        <f t="shared" si="16"/>
        <v/>
      </c>
      <c r="G261" s="6" t="str">
        <f t="shared" si="17"/>
        <v/>
      </c>
      <c r="J261" s="27" t="str">
        <f t="shared" si="18"/>
        <v/>
      </c>
      <c r="M261" s="6" t="str">
        <f t="shared" si="19"/>
        <v/>
      </c>
      <c r="P261" s="6" t="str">
        <f t="shared" si="20"/>
        <v/>
      </c>
      <c r="S261" s="6" t="str">
        <f t="shared" si="21"/>
        <v/>
      </c>
      <c r="T261" s="3"/>
    </row>
    <row r="262" spans="1:20" x14ac:dyDescent="0.3">
      <c r="A262" s="1">
        <f t="shared" si="22"/>
        <v>46242.749999999374</v>
      </c>
      <c r="D262" s="5" t="str">
        <f t="shared" ref="D262:D268" si="23">IF(C262="","",IF((C262+0.56)&gt;4,13.194*(C262+0.56)^2+13.311*(C262+0.56)-0.8227,27.012*(C262+0.56)^1.6477))</f>
        <v/>
      </c>
      <c r="G262" s="6" t="str">
        <f t="shared" ref="G262:G268" si="24">IF(F262="","",IF((F262-0.118)&gt;14,9.8381*((F262-0.118)-7.5)^2+42.44*((F262-0.118)-7.5)-16.777,35.535*((F262-0.118)-7.5)^1.5414))</f>
        <v/>
      </c>
      <c r="J262" s="27" t="str">
        <f t="shared" ref="J262:J268" si="25">IF(I262="","",IF(I262&lt;=2.1,7.5134*(I262)^3.1739,31.402*(I262)^2-35.839*(I262)+15.632))</f>
        <v/>
      </c>
      <c r="M262" s="6" t="str">
        <f t="shared" ref="M262:M268" si="26">IF(L262="","",IF((L262)&gt;2,8.9271*((L262)^2)+9.2434*(L262)-1.6791,14.51*(((L262)-0.1)^1.846)))</f>
        <v/>
      </c>
      <c r="P262" s="6" t="str">
        <f t="shared" ref="P262:P268" si="27">IF(O262="","",28.62*(O262)^1.3838)</f>
        <v/>
      </c>
      <c r="S262" s="6" t="str">
        <f t="shared" ref="S262:S268" si="28">IF(R262="","",IF(R262&gt;2.5,19.135*(R262+0.5)^2-29.477*(R262+0.5)+32.54,3.0494*((R262+0.5)^2.8875)))</f>
        <v/>
      </c>
      <c r="T262" s="3"/>
    </row>
    <row r="263" spans="1:20" x14ac:dyDescent="0.3">
      <c r="A263" s="1">
        <f t="shared" ref="A263:A268" si="29">A262+1/24</f>
        <v>46242.791666666039</v>
      </c>
      <c r="D263" s="5" t="str">
        <f t="shared" si="23"/>
        <v/>
      </c>
      <c r="G263" s="6" t="str">
        <f t="shared" si="24"/>
        <v/>
      </c>
      <c r="J263" s="27" t="str">
        <f t="shared" si="25"/>
        <v/>
      </c>
      <c r="M263" s="6" t="str">
        <f t="shared" si="26"/>
        <v/>
      </c>
      <c r="P263" s="6" t="str">
        <f t="shared" si="27"/>
        <v/>
      </c>
      <c r="S263" s="6" t="str">
        <f t="shared" si="28"/>
        <v/>
      </c>
      <c r="T263" s="3"/>
    </row>
    <row r="264" spans="1:20" x14ac:dyDescent="0.3">
      <c r="A264" s="1">
        <f t="shared" si="29"/>
        <v>46242.833333332703</v>
      </c>
      <c r="D264" s="5" t="str">
        <f t="shared" si="23"/>
        <v/>
      </c>
      <c r="G264" s="6" t="str">
        <f t="shared" si="24"/>
        <v/>
      </c>
      <c r="J264" s="27" t="str">
        <f t="shared" si="25"/>
        <v/>
      </c>
      <c r="M264" s="6" t="str">
        <f t="shared" si="26"/>
        <v/>
      </c>
      <c r="P264" s="6" t="str">
        <f t="shared" si="27"/>
        <v/>
      </c>
      <c r="S264" s="6" t="str">
        <f t="shared" si="28"/>
        <v/>
      </c>
      <c r="T264" s="3"/>
    </row>
    <row r="265" spans="1:20" x14ac:dyDescent="0.3">
      <c r="A265" s="1">
        <f t="shared" si="29"/>
        <v>46242.874999999367</v>
      </c>
      <c r="D265" s="5" t="str">
        <f t="shared" si="23"/>
        <v/>
      </c>
      <c r="G265" s="6" t="str">
        <f t="shared" si="24"/>
        <v/>
      </c>
      <c r="J265" s="27" t="str">
        <f t="shared" si="25"/>
        <v/>
      </c>
      <c r="M265" s="6" t="str">
        <f t="shared" si="26"/>
        <v/>
      </c>
      <c r="P265" s="6" t="str">
        <f t="shared" si="27"/>
        <v/>
      </c>
      <c r="S265" s="6" t="str">
        <f t="shared" si="28"/>
        <v/>
      </c>
      <c r="T265" s="3"/>
    </row>
    <row r="266" spans="1:20" x14ac:dyDescent="0.3">
      <c r="A266" s="1">
        <f t="shared" si="29"/>
        <v>46242.916666666031</v>
      </c>
      <c r="D266" s="5" t="str">
        <f t="shared" si="23"/>
        <v/>
      </c>
      <c r="G266" s="6" t="str">
        <f t="shared" si="24"/>
        <v/>
      </c>
      <c r="J266" s="27" t="str">
        <f t="shared" si="25"/>
        <v/>
      </c>
      <c r="M266" s="6" t="str">
        <f t="shared" si="26"/>
        <v/>
      </c>
      <c r="P266" s="6" t="str">
        <f t="shared" si="27"/>
        <v/>
      </c>
      <c r="S266" s="6" t="str">
        <f t="shared" si="28"/>
        <v/>
      </c>
      <c r="T266" s="3"/>
    </row>
    <row r="267" spans="1:20" x14ac:dyDescent="0.3">
      <c r="A267" s="1">
        <f t="shared" si="29"/>
        <v>46242.958333332695</v>
      </c>
      <c r="D267" s="5" t="str">
        <f t="shared" si="23"/>
        <v/>
      </c>
      <c r="G267" s="6" t="str">
        <f t="shared" si="24"/>
        <v/>
      </c>
      <c r="J267" s="27" t="str">
        <f t="shared" si="25"/>
        <v/>
      </c>
      <c r="M267" s="6" t="str">
        <f t="shared" si="26"/>
        <v/>
      </c>
      <c r="P267" s="6" t="str">
        <f t="shared" si="27"/>
        <v/>
      </c>
      <c r="S267" s="6" t="str">
        <f t="shared" si="28"/>
        <v/>
      </c>
      <c r="T267" s="3"/>
    </row>
    <row r="268" spans="1:20" x14ac:dyDescent="0.3">
      <c r="A268" s="1">
        <f t="shared" si="29"/>
        <v>46242.99999999936</v>
      </c>
      <c r="D268" s="5" t="str">
        <f t="shared" si="23"/>
        <v/>
      </c>
      <c r="G268" s="6" t="str">
        <f t="shared" si="24"/>
        <v/>
      </c>
      <c r="J268" s="27" t="str">
        <f t="shared" si="25"/>
        <v/>
      </c>
      <c r="M268" s="6" t="str">
        <f t="shared" si="26"/>
        <v/>
      </c>
      <c r="P268" s="6" t="str">
        <f t="shared" si="27"/>
        <v/>
      </c>
      <c r="S268" s="6" t="str">
        <f t="shared" si="28"/>
        <v/>
      </c>
      <c r="T268" s="3"/>
    </row>
  </sheetData>
  <mergeCells count="6">
    <mergeCell ref="R3:T3"/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830F-5EB1-43C6-9C3C-5BAAA43A0203}">
  <dimension ref="A1:N16"/>
  <sheetViews>
    <sheetView workbookViewId="0">
      <selection activeCell="E24" sqref="E24"/>
    </sheetView>
  </sheetViews>
  <sheetFormatPr defaultRowHeight="14.4" x14ac:dyDescent="0.3"/>
  <cols>
    <col min="1" max="1" width="22.88671875" style="11" customWidth="1"/>
    <col min="2" max="4" width="10.33203125" style="11" customWidth="1"/>
    <col min="5" max="11" width="10.88671875" customWidth="1"/>
    <col min="12" max="12" width="11" customWidth="1"/>
    <col min="13" max="13" width="10.77734375" customWidth="1"/>
    <col min="14" max="14" width="10.44140625" customWidth="1"/>
  </cols>
  <sheetData>
    <row r="1" spans="1:14" ht="21" x14ac:dyDescent="0.4">
      <c r="A1" s="2" t="str">
        <f>'WL &amp; Q'!A1</f>
        <v>2026 Kelani Flood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8" x14ac:dyDescent="0.35">
      <c r="A2" s="21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s="11" customFormat="1" x14ac:dyDescent="0.3">
      <c r="A4" s="9" t="s">
        <v>11</v>
      </c>
      <c r="B4" s="10">
        <f>DATE(YEAR('WL &amp; Q'!A5),MONTH('WL &amp; Q'!A5),DAY('WL &amp; Q'!A5))</f>
        <v>46232</v>
      </c>
      <c r="C4" s="10">
        <f>B4+1</f>
        <v>46233</v>
      </c>
      <c r="D4" s="10">
        <f t="shared" ref="D4:N4" si="0">C4+1</f>
        <v>46234</v>
      </c>
      <c r="E4" s="10">
        <f t="shared" si="0"/>
        <v>46235</v>
      </c>
      <c r="F4" s="10">
        <f t="shared" si="0"/>
        <v>46236</v>
      </c>
      <c r="G4" s="10">
        <f t="shared" si="0"/>
        <v>46237</v>
      </c>
      <c r="H4" s="10">
        <f t="shared" si="0"/>
        <v>46238</v>
      </c>
      <c r="I4" s="10">
        <f t="shared" si="0"/>
        <v>46239</v>
      </c>
      <c r="J4" s="10">
        <f t="shared" si="0"/>
        <v>46240</v>
      </c>
      <c r="K4" s="10">
        <f t="shared" si="0"/>
        <v>46241</v>
      </c>
      <c r="L4" s="10">
        <f t="shared" si="0"/>
        <v>46242</v>
      </c>
      <c r="M4" s="10">
        <f t="shared" si="0"/>
        <v>46243</v>
      </c>
      <c r="N4" s="10">
        <f t="shared" si="0"/>
        <v>46244</v>
      </c>
    </row>
    <row r="5" spans="1:14" x14ac:dyDescent="0.3">
      <c r="A5" s="12" t="s">
        <v>1</v>
      </c>
      <c r="B5" s="13">
        <v>0</v>
      </c>
      <c r="C5" s="13">
        <v>2</v>
      </c>
      <c r="D5" s="13">
        <v>13.7</v>
      </c>
      <c r="E5" s="13">
        <v>1</v>
      </c>
      <c r="F5" s="13">
        <v>2.7</v>
      </c>
      <c r="G5" s="13">
        <v>4.4000000000000004</v>
      </c>
      <c r="H5" s="13"/>
      <c r="I5" s="13"/>
      <c r="J5" s="13"/>
      <c r="K5" s="14"/>
      <c r="L5" s="15"/>
      <c r="M5" s="15"/>
      <c r="N5" s="15"/>
    </row>
    <row r="6" spans="1:14" x14ac:dyDescent="0.3">
      <c r="A6" s="12" t="s">
        <v>2</v>
      </c>
      <c r="B6" s="13">
        <v>1.2</v>
      </c>
      <c r="C6" s="13">
        <v>13.5</v>
      </c>
      <c r="D6" s="13">
        <v>63.7</v>
      </c>
      <c r="E6" s="13">
        <v>1.7</v>
      </c>
      <c r="F6" s="13">
        <v>11.4</v>
      </c>
      <c r="G6" s="13">
        <v>18.600000000000001</v>
      </c>
      <c r="H6" s="13"/>
      <c r="I6" s="13"/>
      <c r="J6" s="13"/>
      <c r="K6" s="14"/>
      <c r="L6" s="15"/>
      <c r="M6" s="15"/>
      <c r="N6" s="15"/>
    </row>
    <row r="7" spans="1:14" x14ac:dyDescent="0.3">
      <c r="A7" s="12" t="s">
        <v>3</v>
      </c>
      <c r="B7" s="13">
        <v>5.8</v>
      </c>
      <c r="C7" s="13">
        <v>8.8000000000000007</v>
      </c>
      <c r="D7" s="13">
        <v>151.6</v>
      </c>
      <c r="E7" s="13">
        <v>12.1</v>
      </c>
      <c r="F7" s="13">
        <v>144.1</v>
      </c>
      <c r="G7" s="13">
        <v>138</v>
      </c>
      <c r="H7" s="13"/>
      <c r="I7" s="13"/>
      <c r="J7" s="13"/>
      <c r="K7" s="14"/>
      <c r="L7" s="15"/>
      <c r="M7" s="15"/>
      <c r="N7" s="15"/>
    </row>
    <row r="8" spans="1:14" x14ac:dyDescent="0.3">
      <c r="A8" s="12" t="s">
        <v>4</v>
      </c>
      <c r="B8" s="13">
        <v>0</v>
      </c>
      <c r="C8" s="13">
        <v>4.5</v>
      </c>
      <c r="D8" s="13">
        <v>66.900000000000006</v>
      </c>
      <c r="E8" s="13">
        <v>0</v>
      </c>
      <c r="F8" s="13">
        <v>8.8000000000000007</v>
      </c>
      <c r="G8" s="13">
        <v>14.1</v>
      </c>
      <c r="H8" s="13"/>
      <c r="I8" s="13"/>
      <c r="J8" s="13"/>
      <c r="K8" s="14"/>
      <c r="L8" s="15"/>
      <c r="M8" s="15"/>
      <c r="N8" s="15"/>
    </row>
    <row r="9" spans="1:14" x14ac:dyDescent="0.3">
      <c r="A9" s="12" t="s">
        <v>5</v>
      </c>
      <c r="B9" s="13">
        <v>0.4</v>
      </c>
      <c r="C9" s="13">
        <v>11.7</v>
      </c>
      <c r="D9" s="13">
        <v>104.6</v>
      </c>
      <c r="E9" s="13">
        <v>3.9</v>
      </c>
      <c r="F9" s="13">
        <v>40.700000000000003</v>
      </c>
      <c r="G9" s="13">
        <v>57.4</v>
      </c>
      <c r="H9" s="13"/>
      <c r="I9" s="13"/>
      <c r="J9" s="13"/>
      <c r="K9" s="14"/>
      <c r="L9" s="15"/>
      <c r="M9" s="15"/>
      <c r="N9" s="15"/>
    </row>
    <row r="10" spans="1:14" x14ac:dyDescent="0.3">
      <c r="A10" s="12" t="s">
        <v>6</v>
      </c>
      <c r="B10" s="13">
        <v>1.6</v>
      </c>
      <c r="C10" s="13">
        <v>1.5</v>
      </c>
      <c r="D10" s="13">
        <v>49.9</v>
      </c>
      <c r="E10" s="13">
        <v>11.2</v>
      </c>
      <c r="F10" s="13">
        <v>118.6</v>
      </c>
      <c r="G10" s="13">
        <v>153.30000000000001</v>
      </c>
      <c r="H10" s="13"/>
      <c r="I10" s="13"/>
      <c r="J10" s="13"/>
      <c r="K10" s="14"/>
      <c r="L10" s="15"/>
      <c r="M10" s="15"/>
      <c r="N10" s="15"/>
    </row>
    <row r="11" spans="1:14" x14ac:dyDescent="0.3">
      <c r="A11" s="12" t="s">
        <v>12</v>
      </c>
      <c r="B11" s="13">
        <v>8</v>
      </c>
      <c r="C11" s="13">
        <v>12</v>
      </c>
      <c r="D11" s="13">
        <v>71</v>
      </c>
      <c r="E11" s="13">
        <v>26</v>
      </c>
      <c r="F11" s="13">
        <v>159</v>
      </c>
      <c r="G11" s="13">
        <v>164</v>
      </c>
      <c r="H11" s="13"/>
      <c r="I11" s="13"/>
      <c r="J11" s="13"/>
      <c r="K11" s="14"/>
      <c r="L11" s="15"/>
      <c r="M11" s="15"/>
      <c r="N11" s="15"/>
    </row>
    <row r="12" spans="1:14" x14ac:dyDescent="0.3">
      <c r="A12" s="12" t="s">
        <v>13</v>
      </c>
      <c r="B12" s="13">
        <v>7.2</v>
      </c>
      <c r="C12" s="13">
        <v>21</v>
      </c>
      <c r="D12" s="13">
        <v>160.4</v>
      </c>
      <c r="E12" s="13">
        <v>28.7</v>
      </c>
      <c r="F12" s="13">
        <v>186</v>
      </c>
      <c r="G12" s="13">
        <v>258.60000000000002</v>
      </c>
      <c r="H12" s="13"/>
      <c r="I12" s="13"/>
      <c r="J12" s="13"/>
      <c r="K12" s="14"/>
      <c r="L12" s="15"/>
      <c r="M12" s="15"/>
      <c r="N12" s="15"/>
    </row>
    <row r="13" spans="1:14" x14ac:dyDescent="0.3">
      <c r="A13" s="12" t="s">
        <v>14</v>
      </c>
      <c r="B13" s="13">
        <v>3.5</v>
      </c>
      <c r="C13" s="13">
        <v>7</v>
      </c>
      <c r="D13" s="13">
        <v>84</v>
      </c>
      <c r="E13" s="13">
        <v>25</v>
      </c>
      <c r="F13" s="13">
        <v>39</v>
      </c>
      <c r="G13" s="13">
        <v>125</v>
      </c>
      <c r="H13" s="13"/>
      <c r="I13" s="13"/>
      <c r="J13" s="13"/>
      <c r="K13" s="14"/>
      <c r="L13" s="15"/>
      <c r="M13" s="15"/>
      <c r="N13" s="15"/>
    </row>
    <row r="14" spans="1:14" x14ac:dyDescent="0.3">
      <c r="A14" s="12" t="s">
        <v>15</v>
      </c>
      <c r="B14" s="13">
        <v>5.2</v>
      </c>
      <c r="C14" s="13">
        <v>12</v>
      </c>
      <c r="D14" s="13">
        <v>118.9</v>
      </c>
      <c r="E14" s="13">
        <v>36.4</v>
      </c>
      <c r="F14" s="13">
        <v>191</v>
      </c>
      <c r="G14" s="13">
        <v>234.6</v>
      </c>
      <c r="H14" s="13"/>
      <c r="I14" s="13"/>
      <c r="J14" s="13"/>
      <c r="K14" s="14"/>
      <c r="L14" s="15"/>
      <c r="M14" s="15"/>
      <c r="N14" s="15"/>
    </row>
    <row r="15" spans="1:14" x14ac:dyDescent="0.3">
      <c r="A15" s="12" t="s">
        <v>16</v>
      </c>
      <c r="B15" s="13">
        <v>6</v>
      </c>
      <c r="C15" s="13">
        <v>13.9</v>
      </c>
      <c r="D15" s="13">
        <v>184.3</v>
      </c>
      <c r="E15" s="13">
        <v>17.5</v>
      </c>
      <c r="F15" s="13">
        <v>187</v>
      </c>
      <c r="G15" s="13">
        <v>208.4</v>
      </c>
      <c r="H15" s="13"/>
      <c r="I15" s="13"/>
      <c r="J15" s="13"/>
      <c r="K15" s="14"/>
      <c r="L15" s="15"/>
      <c r="M15" s="15"/>
      <c r="N15" s="15"/>
    </row>
    <row r="16" spans="1:14" x14ac:dyDescent="0.3">
      <c r="A16" s="12" t="s">
        <v>25</v>
      </c>
      <c r="B16" s="13">
        <v>0</v>
      </c>
      <c r="C16" s="13">
        <v>0</v>
      </c>
      <c r="D16" s="13">
        <v>5.2</v>
      </c>
      <c r="E16" s="13">
        <v>2.2999999999999998</v>
      </c>
      <c r="F16" s="13">
        <v>0.5</v>
      </c>
      <c r="G16" s="13">
        <v>0.8</v>
      </c>
      <c r="H16" s="13"/>
      <c r="I16" s="13"/>
      <c r="J16" s="13"/>
      <c r="K16" s="14"/>
      <c r="L16" s="15"/>
      <c r="M16" s="15"/>
      <c r="N1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A111-806F-497A-85C4-E7B0DEEC8084}">
  <dimension ref="A1:Q268"/>
  <sheetViews>
    <sheetView workbookViewId="0">
      <selection activeCell="S22" sqref="S22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1</v>
      </c>
      <c r="C2" s="11"/>
      <c r="I2" s="18" t="s">
        <v>24</v>
      </c>
      <c r="J2" s="24" t="s">
        <v>20</v>
      </c>
      <c r="K2" s="24" t="s">
        <v>21</v>
      </c>
      <c r="L2" s="23" t="s">
        <v>22</v>
      </c>
      <c r="M2" s="24" t="s">
        <v>23</v>
      </c>
    </row>
    <row r="3" spans="1:17" x14ac:dyDescent="0.3">
      <c r="A3" s="11"/>
      <c r="C3" s="11"/>
      <c r="I3" s="18">
        <v>0</v>
      </c>
      <c r="J3" s="19">
        <v>46235.3125</v>
      </c>
      <c r="K3" s="16">
        <v>46237.479166666664</v>
      </c>
      <c r="L3" s="16">
        <v>46237.5625</v>
      </c>
      <c r="M3" s="16"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12</v>
      </c>
      <c r="J4" s="16">
        <f t="shared" ref="J4:K4" si="0">J3</f>
        <v>46235.3125</v>
      </c>
      <c r="K4" s="16">
        <f t="shared" si="0"/>
        <v>46237.479166666664</v>
      </c>
      <c r="L4" s="16">
        <f>L3</f>
        <v>46237.5625</v>
      </c>
      <c r="M4" s="16">
        <f t="shared" ref="M4" si="1">M3</f>
        <v>46237.645833333336</v>
      </c>
      <c r="N4" s="1"/>
      <c r="Q4" s="20"/>
    </row>
    <row r="5" spans="1:17" x14ac:dyDescent="0.3">
      <c r="A5" s="1">
        <f>'WL &amp; Q'!A5</f>
        <v>46232.041666666664</v>
      </c>
      <c r="B5" s="4">
        <f>IF('WL &amp; Q'!C5="","",'WL &amp; Q'!C5)</f>
        <v>0.47</v>
      </c>
      <c r="C5" s="5">
        <f>IF(B5="","",IF((B5+0.56)&gt;4,13.194*(B5+0.56)^2+13.311*(B5+0.56)-0.8227,27.012*(B5+0.56)^1.6477))</f>
        <v>28.36015735595501</v>
      </c>
      <c r="D5" s="4">
        <f>IF('WL &amp; Q'!E5="","",'WL &amp; Q'!E5)</f>
        <v>0</v>
      </c>
      <c r="E5" s="8">
        <v>7</v>
      </c>
      <c r="F5" s="8">
        <v>8</v>
      </c>
      <c r="G5" s="8">
        <v>10</v>
      </c>
      <c r="K5" s="1"/>
      <c r="Q5" s="20"/>
    </row>
    <row r="6" spans="1:17" x14ac:dyDescent="0.3">
      <c r="A6" s="1">
        <f>'WL &amp; Q'!A6</f>
        <v>46232.083333333328</v>
      </c>
      <c r="B6" s="4">
        <f>IF('WL &amp; Q'!C6="","",'WL &amp; Q'!C6)</f>
        <v>0.47</v>
      </c>
      <c r="C6" s="5">
        <f t="shared" ref="C6:C69" si="2">IF(B6="","",IF((B6+0.56)&gt;4,13.194*(B6+0.56)^2+13.311*(B6+0.56)-0.8227,27.012*(B6+0.56)^1.6477))</f>
        <v>28.36015735595501</v>
      </c>
      <c r="D6" s="4">
        <f>IF('WL &amp; Q'!E6="","",'WL &amp; Q'!E6)</f>
        <v>0</v>
      </c>
      <c r="E6" s="8">
        <v>7</v>
      </c>
      <c r="F6" s="8">
        <v>8</v>
      </c>
      <c r="G6" s="8">
        <v>10</v>
      </c>
      <c r="K6" s="1"/>
      <c r="M6" s="1"/>
    </row>
    <row r="7" spans="1:17" x14ac:dyDescent="0.3">
      <c r="A7" s="1">
        <f>'WL &amp; Q'!A7</f>
        <v>46232.124999999993</v>
      </c>
      <c r="B7" s="4">
        <f>IF('WL &amp; Q'!C7="","",'WL &amp; Q'!C7)</f>
        <v>0.48</v>
      </c>
      <c r="C7" s="5">
        <f t="shared" si="2"/>
        <v>28.815262099165182</v>
      </c>
      <c r="D7" s="4">
        <f>IF('WL &amp; Q'!E7="","",'WL &amp; Q'!E7)</f>
        <v>0</v>
      </c>
      <c r="E7" s="8">
        <v>7</v>
      </c>
      <c r="F7" s="8">
        <v>8</v>
      </c>
      <c r="G7" s="8">
        <v>10</v>
      </c>
    </row>
    <row r="8" spans="1:17" x14ac:dyDescent="0.3">
      <c r="A8" s="1">
        <f>'WL &amp; Q'!A8</f>
        <v>46232.166666666657</v>
      </c>
      <c r="B8" s="4">
        <f>IF('WL &amp; Q'!C8="","",'WL &amp; Q'!C8)</f>
        <v>0.49</v>
      </c>
      <c r="C8" s="5">
        <f t="shared" si="2"/>
        <v>29.273210056241769</v>
      </c>
      <c r="D8" s="4">
        <f>IF('WL &amp; Q'!E8="","",'WL &amp; Q'!E8)</f>
        <v>0</v>
      </c>
      <c r="E8" s="8">
        <v>7</v>
      </c>
      <c r="F8" s="8">
        <v>8</v>
      </c>
      <c r="G8" s="8">
        <v>10</v>
      </c>
    </row>
    <row r="9" spans="1:17" x14ac:dyDescent="0.3">
      <c r="A9" s="1">
        <f>'WL &amp; Q'!A9</f>
        <v>46232.208333333321</v>
      </c>
      <c r="B9" s="4">
        <f>IF('WL &amp; Q'!C9="","",'WL &amp; Q'!C9)</f>
        <v>0.51</v>
      </c>
      <c r="C9" s="5">
        <f t="shared" si="2"/>
        <v>30.197597456718235</v>
      </c>
      <c r="D9" s="4">
        <f>IF('WL &amp; Q'!E9="","",'WL &amp; Q'!E9)</f>
        <v>0</v>
      </c>
      <c r="E9" s="8">
        <v>7</v>
      </c>
      <c r="F9" s="8">
        <v>8</v>
      </c>
      <c r="G9" s="8">
        <v>10</v>
      </c>
    </row>
    <row r="10" spans="1:17" x14ac:dyDescent="0.3">
      <c r="A10" s="1">
        <f>'WL &amp; Q'!A10</f>
        <v>46232.249999999985</v>
      </c>
      <c r="B10" s="4">
        <f>IF('WL &amp; Q'!C10="","",'WL &amp; Q'!C10)</f>
        <v>0.55000000000000004</v>
      </c>
      <c r="C10" s="5">
        <f t="shared" si="2"/>
        <v>32.080077825020702</v>
      </c>
      <c r="D10" s="4">
        <f>IF('WL &amp; Q'!E10="","",'WL &amp; Q'!E10)</f>
        <v>3.1</v>
      </c>
      <c r="E10" s="8">
        <v>7</v>
      </c>
      <c r="F10" s="8">
        <v>8</v>
      </c>
      <c r="G10" s="8">
        <v>10</v>
      </c>
    </row>
    <row r="11" spans="1:17" x14ac:dyDescent="0.3">
      <c r="A11" s="1">
        <f>'WL &amp; Q'!A11</f>
        <v>46232.29166666665</v>
      </c>
      <c r="B11" s="4">
        <f>IF('WL &amp; Q'!C11="","",'WL &amp; Q'!C11)</f>
        <v>0.64</v>
      </c>
      <c r="C11" s="5">
        <f t="shared" si="2"/>
        <v>36.477383589027653</v>
      </c>
      <c r="D11" s="4">
        <f>IF('WL &amp; Q'!E11="","",'WL &amp; Q'!E11)</f>
        <v>1.5</v>
      </c>
      <c r="E11" s="8">
        <v>7</v>
      </c>
      <c r="F11" s="8">
        <v>8</v>
      </c>
      <c r="G11" s="8">
        <v>10</v>
      </c>
    </row>
    <row r="12" spans="1:17" x14ac:dyDescent="0.3">
      <c r="A12" s="1">
        <f>'WL &amp; Q'!A12</f>
        <v>46232.333333333314</v>
      </c>
      <c r="B12" s="4">
        <f>IF('WL &amp; Q'!C12="","",'WL &amp; Q'!C12)</f>
        <v>0.66</v>
      </c>
      <c r="C12" s="5">
        <f t="shared" si="2"/>
        <v>37.484509651125741</v>
      </c>
      <c r="D12" s="4">
        <f>IF('WL &amp; Q'!E12="","",'WL &amp; Q'!E12)</f>
        <v>0</v>
      </c>
      <c r="E12" s="8">
        <v>7</v>
      </c>
      <c r="F12" s="8">
        <v>8</v>
      </c>
      <c r="G12" s="8">
        <v>10</v>
      </c>
    </row>
    <row r="13" spans="1:17" x14ac:dyDescent="0.3">
      <c r="A13" s="1">
        <f>'WL &amp; Q'!A13</f>
        <v>46232.374999999978</v>
      </c>
      <c r="B13" s="4">
        <f>IF('WL &amp; Q'!C13="","",'WL &amp; Q'!C13)</f>
        <v>0.68</v>
      </c>
      <c r="C13" s="5">
        <f t="shared" si="2"/>
        <v>38.50238671260351</v>
      </c>
      <c r="D13" s="4">
        <f>IF('WL &amp; Q'!E13="","",'WL &amp; Q'!E13)</f>
        <v>0</v>
      </c>
      <c r="E13" s="8">
        <v>7</v>
      </c>
      <c r="F13" s="8">
        <v>8</v>
      </c>
      <c r="G13" s="8">
        <v>10</v>
      </c>
    </row>
    <row r="14" spans="1:17" x14ac:dyDescent="0.3">
      <c r="A14" s="1">
        <f>'WL &amp; Q'!A14</f>
        <v>46232.416666666642</v>
      </c>
      <c r="B14" s="4">
        <f>IF('WL &amp; Q'!C14="","",'WL &amp; Q'!C14)</f>
        <v>0.69</v>
      </c>
      <c r="C14" s="5">
        <f t="shared" si="2"/>
        <v>39.015337623392981</v>
      </c>
      <c r="D14" s="4">
        <f>IF('WL &amp; Q'!E14="","",'WL &amp; Q'!E14)</f>
        <v>0</v>
      </c>
      <c r="E14" s="8">
        <v>7</v>
      </c>
      <c r="F14" s="8">
        <v>8</v>
      </c>
      <c r="G14" s="8">
        <v>10</v>
      </c>
    </row>
    <row r="15" spans="1:17" x14ac:dyDescent="0.3">
      <c r="A15" s="1">
        <f>'WL &amp; Q'!A15</f>
        <v>46232.458333333307</v>
      </c>
      <c r="B15" s="4">
        <f>IF('WL &amp; Q'!C15="","",'WL &amp; Q'!C15)</f>
        <v>0.7</v>
      </c>
      <c r="C15" s="5">
        <f t="shared" si="2"/>
        <v>39.530953357904352</v>
      </c>
      <c r="D15" s="4">
        <f>IF('WL &amp; Q'!E15="","",'WL &amp; Q'!E15)</f>
        <v>0</v>
      </c>
      <c r="E15" s="8">
        <v>7</v>
      </c>
      <c r="F15" s="8">
        <v>8</v>
      </c>
      <c r="G15" s="8">
        <v>10</v>
      </c>
    </row>
    <row r="16" spans="1:17" x14ac:dyDescent="0.3">
      <c r="A16" s="1">
        <f>'WL &amp; Q'!A16</f>
        <v>46232.499999999971</v>
      </c>
      <c r="B16" s="4">
        <f>IF('WL &amp; Q'!C16="","",'WL &amp; Q'!C16)</f>
        <v>0.7</v>
      </c>
      <c r="C16" s="5">
        <f t="shared" si="2"/>
        <v>39.530953357904352</v>
      </c>
      <c r="D16" s="4">
        <f>IF('WL &amp; Q'!E16="","",'WL &amp; Q'!E16)</f>
        <v>0</v>
      </c>
      <c r="E16" s="8">
        <v>7</v>
      </c>
      <c r="F16" s="8">
        <v>8</v>
      </c>
      <c r="G16" s="8">
        <v>10</v>
      </c>
    </row>
    <row r="17" spans="1:7" x14ac:dyDescent="0.3">
      <c r="A17" s="1">
        <f>'WL &amp; Q'!A17</f>
        <v>46232.541666666635</v>
      </c>
      <c r="B17" s="4">
        <f>IF('WL &amp; Q'!C17="","",'WL &amp; Q'!C17)</f>
        <v>0.72</v>
      </c>
      <c r="C17" s="5">
        <f t="shared" si="2"/>
        <v>40.570149496750176</v>
      </c>
      <c r="D17" s="4">
        <f>IF('WL &amp; Q'!E17="","",'WL &amp; Q'!E17)</f>
        <v>0</v>
      </c>
      <c r="E17" s="8">
        <v>7</v>
      </c>
      <c r="F17" s="8">
        <v>8</v>
      </c>
      <c r="G17" s="8">
        <v>10</v>
      </c>
    </row>
    <row r="18" spans="1:7" x14ac:dyDescent="0.3">
      <c r="A18" s="1">
        <f>'WL &amp; Q'!A18</f>
        <v>46232.583333333299</v>
      </c>
      <c r="B18" s="4">
        <f>IF('WL &amp; Q'!C18="","",'WL &amp; Q'!C18)</f>
        <v>0.72</v>
      </c>
      <c r="C18" s="5">
        <f t="shared" si="2"/>
        <v>40.570149496750176</v>
      </c>
      <c r="D18" s="4">
        <f>IF('WL &amp; Q'!E18="","",'WL &amp; Q'!E18)</f>
        <v>0</v>
      </c>
      <c r="E18" s="8">
        <v>7</v>
      </c>
      <c r="F18" s="8">
        <v>8</v>
      </c>
      <c r="G18" s="8">
        <v>10</v>
      </c>
    </row>
    <row r="19" spans="1:7" x14ac:dyDescent="0.3">
      <c r="A19" s="1">
        <f>'WL &amp; Q'!A19</f>
        <v>46232.624999999964</v>
      </c>
      <c r="B19" s="4">
        <f>IF('WL &amp; Q'!C19="","",'WL &amp; Q'!C19)</f>
        <v>0.74</v>
      </c>
      <c r="C19" s="5">
        <f t="shared" si="2"/>
        <v>41.619916315174329</v>
      </c>
      <c r="D19" s="4">
        <f>IF('WL &amp; Q'!E19="","",'WL &amp; Q'!E19)</f>
        <v>0</v>
      </c>
      <c r="E19" s="8">
        <v>7</v>
      </c>
      <c r="F19" s="8">
        <v>8</v>
      </c>
      <c r="G19" s="8">
        <v>10</v>
      </c>
    </row>
    <row r="20" spans="1:7" x14ac:dyDescent="0.3">
      <c r="A20" s="1">
        <f>'WL &amp; Q'!A20</f>
        <v>46232.666666666628</v>
      </c>
      <c r="B20" s="4">
        <f>IF('WL &amp; Q'!C20="","",'WL &amp; Q'!C20)</f>
        <v>0.76</v>
      </c>
      <c r="C20" s="5">
        <f t="shared" si="2"/>
        <v>42.680196229093255</v>
      </c>
      <c r="D20" s="4">
        <f>IF('WL &amp; Q'!E20="","",'WL &amp; Q'!E20)</f>
        <v>0</v>
      </c>
      <c r="E20" s="8">
        <v>7</v>
      </c>
      <c r="F20" s="8">
        <v>8</v>
      </c>
      <c r="G20" s="8">
        <v>10</v>
      </c>
    </row>
    <row r="21" spans="1:7" x14ac:dyDescent="0.3">
      <c r="A21" s="1">
        <f>'WL &amp; Q'!A21</f>
        <v>46232.708333333292</v>
      </c>
      <c r="B21" s="4">
        <f>IF('WL &amp; Q'!C21="","",'WL &amp; Q'!C21)</f>
        <v>0.76</v>
      </c>
      <c r="C21" s="5">
        <f t="shared" si="2"/>
        <v>42.680196229093255</v>
      </c>
      <c r="D21" s="4">
        <f>IF('WL &amp; Q'!E21="","",'WL &amp; Q'!E21)</f>
        <v>0</v>
      </c>
      <c r="E21" s="8">
        <v>7</v>
      </c>
      <c r="F21" s="8">
        <v>8</v>
      </c>
      <c r="G21" s="8">
        <v>10</v>
      </c>
    </row>
    <row r="22" spans="1:7" x14ac:dyDescent="0.3">
      <c r="A22" s="1">
        <f>'WL &amp; Q'!A22</f>
        <v>46232.749999999956</v>
      </c>
      <c r="B22" s="4">
        <f>IF('WL &amp; Q'!C22="","",'WL &amp; Q'!C22)</f>
        <v>0.77</v>
      </c>
      <c r="C22" s="5">
        <f t="shared" si="2"/>
        <v>43.21426092724483</v>
      </c>
      <c r="D22" s="4">
        <f>IF('WL &amp; Q'!E22="","",'WL &amp; Q'!E22)</f>
        <v>0</v>
      </c>
      <c r="E22" s="8">
        <v>7</v>
      </c>
      <c r="F22" s="8">
        <v>8</v>
      </c>
      <c r="G22" s="8">
        <v>10</v>
      </c>
    </row>
    <row r="23" spans="1:7" x14ac:dyDescent="0.3">
      <c r="A23" s="1">
        <f>'WL &amp; Q'!A23</f>
        <v>46232.791666666621</v>
      </c>
      <c r="B23" s="4">
        <f>IF('WL &amp; Q'!C23="","",'WL &amp; Q'!C23)</f>
        <v>0.77</v>
      </c>
      <c r="C23" s="5">
        <f t="shared" si="2"/>
        <v>43.21426092724483</v>
      </c>
      <c r="D23" s="4">
        <f>IF('WL &amp; Q'!E23="","",'WL &amp; Q'!E23)</f>
        <v>0</v>
      </c>
      <c r="E23" s="8">
        <v>7</v>
      </c>
      <c r="F23" s="8">
        <v>8</v>
      </c>
      <c r="G23" s="8">
        <v>10</v>
      </c>
    </row>
    <row r="24" spans="1:7" x14ac:dyDescent="0.3">
      <c r="A24" s="1">
        <f>'WL &amp; Q'!A24</f>
        <v>46232.833333333285</v>
      </c>
      <c r="B24" s="4">
        <f>IF('WL &amp; Q'!C24="","",'WL &amp; Q'!C24)</f>
        <v>0.76</v>
      </c>
      <c r="C24" s="5">
        <f t="shared" si="2"/>
        <v>42.680196229093255</v>
      </c>
      <c r="D24" s="4">
        <f>IF('WL &amp; Q'!E24="","",'WL &amp; Q'!E24)</f>
        <v>0</v>
      </c>
      <c r="E24" s="8">
        <v>7</v>
      </c>
      <c r="F24" s="8">
        <v>8</v>
      </c>
      <c r="G24" s="8">
        <v>10</v>
      </c>
    </row>
    <row r="25" spans="1:7" x14ac:dyDescent="0.3">
      <c r="A25" s="1">
        <f>'WL &amp; Q'!A25</f>
        <v>46232.874999999949</v>
      </c>
      <c r="B25" s="4">
        <f>IF('WL &amp; Q'!C25="","",'WL &amp; Q'!C25)</f>
        <v>0.73</v>
      </c>
      <c r="C25" s="5">
        <f t="shared" si="2"/>
        <v>41.093715198318087</v>
      </c>
      <c r="D25" s="4">
        <f>IF('WL &amp; Q'!E25="","",'WL &amp; Q'!E25)</f>
        <v>0</v>
      </c>
      <c r="E25" s="8">
        <v>7</v>
      </c>
      <c r="F25" s="8">
        <v>8</v>
      </c>
      <c r="G25" s="8">
        <v>10</v>
      </c>
    </row>
    <row r="26" spans="1:7" x14ac:dyDescent="0.3">
      <c r="A26" s="1">
        <f>'WL &amp; Q'!A26</f>
        <v>46232.916666666613</v>
      </c>
      <c r="B26" s="4">
        <f>IF('WL &amp; Q'!C26="","",'WL &amp; Q'!C26)</f>
        <v>0.69</v>
      </c>
      <c r="C26" s="5">
        <f t="shared" si="2"/>
        <v>39.015337623392981</v>
      </c>
      <c r="D26" s="4">
        <f>IF('WL &amp; Q'!E26="","",'WL &amp; Q'!E26)</f>
        <v>0</v>
      </c>
      <c r="E26" s="8">
        <v>7</v>
      </c>
      <c r="F26" s="8">
        <v>8</v>
      </c>
      <c r="G26" s="8">
        <v>10</v>
      </c>
    </row>
    <row r="27" spans="1:7" x14ac:dyDescent="0.3">
      <c r="A27" s="1">
        <f>'WL &amp; Q'!A27</f>
        <v>46232.958333333278</v>
      </c>
      <c r="B27" s="4">
        <f>IF('WL &amp; Q'!C27="","",'WL &amp; Q'!C27)</f>
        <v>0.67</v>
      </c>
      <c r="C27" s="5">
        <f t="shared" si="2"/>
        <v>37.992108177067628</v>
      </c>
      <c r="D27" s="4">
        <f>IF('WL &amp; Q'!E27="","",'WL &amp; Q'!E27)</f>
        <v>0</v>
      </c>
      <c r="E27" s="8">
        <v>7</v>
      </c>
      <c r="F27" s="8">
        <v>8</v>
      </c>
      <c r="G27" s="8">
        <v>10</v>
      </c>
    </row>
    <row r="28" spans="1:7" x14ac:dyDescent="0.3">
      <c r="A28" s="1">
        <f>'WL &amp; Q'!A28</f>
        <v>46232.999999999942</v>
      </c>
      <c r="B28" s="4">
        <f>IF('WL &amp; Q'!C28="","",'WL &amp; Q'!C28)</f>
        <v>0.66</v>
      </c>
      <c r="C28" s="5">
        <f t="shared" si="2"/>
        <v>37.484509651125741</v>
      </c>
      <c r="D28" s="4">
        <f>IF('WL &amp; Q'!E28="","",'WL &amp; Q'!E28)</f>
        <v>0</v>
      </c>
      <c r="E28" s="8">
        <v>7</v>
      </c>
      <c r="F28" s="8">
        <v>8</v>
      </c>
      <c r="G28" s="8">
        <v>10</v>
      </c>
    </row>
    <row r="29" spans="1:7" x14ac:dyDescent="0.3">
      <c r="A29" s="1">
        <f>'WL &amp; Q'!A29</f>
        <v>46233.041666666606</v>
      </c>
      <c r="B29" s="4">
        <f>IF('WL &amp; Q'!C29="","",'WL &amp; Q'!C29)</f>
        <v>0.66</v>
      </c>
      <c r="C29" s="5">
        <f t="shared" si="2"/>
        <v>37.484509651125741</v>
      </c>
      <c r="D29" s="4">
        <f>IF('WL &amp; Q'!E29="","",'WL &amp; Q'!E29)</f>
        <v>0</v>
      </c>
      <c r="E29" s="8">
        <v>7</v>
      </c>
      <c r="F29" s="8">
        <v>8</v>
      </c>
      <c r="G29" s="8">
        <v>10</v>
      </c>
    </row>
    <row r="30" spans="1:7" x14ac:dyDescent="0.3">
      <c r="A30" s="1">
        <f>'WL &amp; Q'!A30</f>
        <v>46233.08333333327</v>
      </c>
      <c r="B30" s="4">
        <f>IF('WL &amp; Q'!C30="","",'WL &amp; Q'!C30)</f>
        <v>0.68</v>
      </c>
      <c r="C30" s="5">
        <f t="shared" si="2"/>
        <v>38.50238671260351</v>
      </c>
      <c r="D30" s="4">
        <f>IF('WL &amp; Q'!E30="","",'WL &amp; Q'!E30)</f>
        <v>0</v>
      </c>
      <c r="E30" s="8">
        <v>7</v>
      </c>
      <c r="F30" s="8">
        <v>8</v>
      </c>
      <c r="G30" s="8">
        <v>10</v>
      </c>
    </row>
    <row r="31" spans="1:7" x14ac:dyDescent="0.3">
      <c r="A31" s="1">
        <f>'WL &amp; Q'!A31</f>
        <v>46233.124999999935</v>
      </c>
      <c r="B31" s="4">
        <f>IF('WL &amp; Q'!C31="","",'WL &amp; Q'!C31)</f>
        <v>0.71</v>
      </c>
      <c r="C31" s="5">
        <f t="shared" si="2"/>
        <v>40.049226445864555</v>
      </c>
      <c r="D31" s="4">
        <f>IF('WL &amp; Q'!E31="","",'WL &amp; Q'!E31)</f>
        <v>0</v>
      </c>
      <c r="E31" s="8">
        <v>7</v>
      </c>
      <c r="F31" s="8">
        <v>8</v>
      </c>
      <c r="G31" s="8">
        <v>10</v>
      </c>
    </row>
    <row r="32" spans="1:7" x14ac:dyDescent="0.3">
      <c r="A32" s="1">
        <f>'WL &amp; Q'!A32</f>
        <v>46233.166666666599</v>
      </c>
      <c r="B32" s="4">
        <f>IF('WL &amp; Q'!C32="","",'WL &amp; Q'!C32)</f>
        <v>0.73</v>
      </c>
      <c r="C32" s="5">
        <f t="shared" si="2"/>
        <v>41.093715198318087</v>
      </c>
      <c r="D32" s="4">
        <f>IF('WL &amp; Q'!E32="","",'WL &amp; Q'!E32)</f>
        <v>0</v>
      </c>
      <c r="E32" s="8">
        <v>7</v>
      </c>
      <c r="F32" s="8">
        <v>8</v>
      </c>
      <c r="G32" s="8">
        <v>10</v>
      </c>
    </row>
    <row r="33" spans="1:7" x14ac:dyDescent="0.3">
      <c r="A33" s="1">
        <f>'WL &amp; Q'!A33</f>
        <v>46233.208333333263</v>
      </c>
      <c r="B33" s="4">
        <f>IF('WL &amp; Q'!C33="","",'WL &amp; Q'!C33)</f>
        <v>0.74</v>
      </c>
      <c r="C33" s="5">
        <f t="shared" si="2"/>
        <v>41.619916315174329</v>
      </c>
      <c r="D33" s="4">
        <f>IF('WL &amp; Q'!E33="","",'WL &amp; Q'!E33)</f>
        <v>0</v>
      </c>
      <c r="E33" s="8">
        <v>7</v>
      </c>
      <c r="F33" s="8">
        <v>8</v>
      </c>
      <c r="G33" s="8">
        <v>10</v>
      </c>
    </row>
    <row r="34" spans="1:7" x14ac:dyDescent="0.3">
      <c r="A34" s="1">
        <f>'WL &amp; Q'!A34</f>
        <v>46233.249999999927</v>
      </c>
      <c r="B34" s="4">
        <f>IF('WL &amp; Q'!C34="","",'WL &amp; Q'!C34)</f>
        <v>0.76</v>
      </c>
      <c r="C34" s="5">
        <f t="shared" si="2"/>
        <v>42.680196229093255</v>
      </c>
      <c r="D34" s="4">
        <f>IF('WL &amp; Q'!E34="","",'WL &amp; Q'!E34)</f>
        <v>0</v>
      </c>
      <c r="E34" s="8">
        <v>7</v>
      </c>
      <c r="F34" s="8">
        <v>8</v>
      </c>
      <c r="G34" s="8">
        <v>10</v>
      </c>
    </row>
    <row r="35" spans="1:7" x14ac:dyDescent="0.3">
      <c r="A35" s="1">
        <f>'WL &amp; Q'!A35</f>
        <v>46233.291666666591</v>
      </c>
      <c r="B35" s="4">
        <f>IF('WL &amp; Q'!C35="","",'WL &amp; Q'!C35)</f>
        <v>0.78</v>
      </c>
      <c r="C35" s="5">
        <f t="shared" si="2"/>
        <v>43.750932840248488</v>
      </c>
      <c r="D35" s="4">
        <f>IF('WL &amp; Q'!E35="","",'WL &amp; Q'!E35)</f>
        <v>0</v>
      </c>
      <c r="E35" s="8">
        <v>7</v>
      </c>
      <c r="F35" s="8">
        <v>8</v>
      </c>
      <c r="G35" s="8">
        <v>10</v>
      </c>
    </row>
    <row r="36" spans="1:7" x14ac:dyDescent="0.3">
      <c r="A36" s="1">
        <f>'WL &amp; Q'!A36</f>
        <v>46233.333333333256</v>
      </c>
      <c r="B36" s="4">
        <f>IF('WL &amp; Q'!C36="","",'WL &amp; Q'!C36)</f>
        <v>0.79</v>
      </c>
      <c r="C36" s="5">
        <f t="shared" si="2"/>
        <v>44.290205096742746</v>
      </c>
      <c r="D36" s="4">
        <f>IF('WL &amp; Q'!E36="","",'WL &amp; Q'!E36)</f>
        <v>0</v>
      </c>
      <c r="E36" s="8">
        <v>7</v>
      </c>
      <c r="F36" s="8">
        <v>8</v>
      </c>
      <c r="G36" s="8">
        <v>10</v>
      </c>
    </row>
    <row r="37" spans="1:7" x14ac:dyDescent="0.3">
      <c r="A37" s="1">
        <f>'WL &amp; Q'!A37</f>
        <v>46233.37499999992</v>
      </c>
      <c r="B37" s="4">
        <f>IF('WL &amp; Q'!C37="","",'WL &amp; Q'!C37)</f>
        <v>0.79</v>
      </c>
      <c r="C37" s="5">
        <f t="shared" si="2"/>
        <v>44.290205096742746</v>
      </c>
      <c r="D37" s="4">
        <f>IF('WL &amp; Q'!E37="","",'WL &amp; Q'!E37)</f>
        <v>0</v>
      </c>
      <c r="E37" s="8">
        <v>7</v>
      </c>
      <c r="F37" s="8">
        <v>8</v>
      </c>
      <c r="G37" s="8">
        <v>10</v>
      </c>
    </row>
    <row r="38" spans="1:7" x14ac:dyDescent="0.3">
      <c r="A38" s="1">
        <f>'WL &amp; Q'!A38</f>
        <v>46233.416666666584</v>
      </c>
      <c r="B38" s="4">
        <f>IF('WL &amp; Q'!C38="","",'WL &amp; Q'!C38)</f>
        <v>0.78</v>
      </c>
      <c r="C38" s="5">
        <f t="shared" si="2"/>
        <v>43.750932840248488</v>
      </c>
      <c r="D38" s="4">
        <f>IF('WL &amp; Q'!E38="","",'WL &amp; Q'!E38)</f>
        <v>0</v>
      </c>
      <c r="E38" s="8">
        <v>7</v>
      </c>
      <c r="F38" s="8">
        <v>8</v>
      </c>
      <c r="G38" s="8">
        <v>10</v>
      </c>
    </row>
    <row r="39" spans="1:7" x14ac:dyDescent="0.3">
      <c r="A39" s="1">
        <f>'WL &amp; Q'!A39</f>
        <v>46233.458333333248</v>
      </c>
      <c r="B39" s="4">
        <f>IF('WL &amp; Q'!C39="","",'WL &amp; Q'!C39)</f>
        <v>0.75</v>
      </c>
      <c r="C39" s="5">
        <f t="shared" si="2"/>
        <v>42.148745687380078</v>
      </c>
      <c r="D39" s="4">
        <f>IF('WL &amp; Q'!E39="","",'WL &amp; Q'!E39)</f>
        <v>0</v>
      </c>
      <c r="E39" s="8">
        <v>7</v>
      </c>
      <c r="F39" s="8">
        <v>8</v>
      </c>
      <c r="G39" s="8">
        <v>10</v>
      </c>
    </row>
    <row r="40" spans="1:7" x14ac:dyDescent="0.3">
      <c r="A40" s="1">
        <f>'WL &amp; Q'!A40</f>
        <v>46233.499999999913</v>
      </c>
      <c r="B40" s="4">
        <f>IF('WL &amp; Q'!C40="","",'WL &amp; Q'!C40)</f>
        <v>0.72</v>
      </c>
      <c r="C40" s="5">
        <f t="shared" si="2"/>
        <v>40.570149496750176</v>
      </c>
      <c r="D40" s="4">
        <f>IF('WL &amp; Q'!E40="","",'WL &amp; Q'!E40)</f>
        <v>0</v>
      </c>
      <c r="E40" s="8">
        <v>7</v>
      </c>
      <c r="F40" s="8">
        <v>8</v>
      </c>
      <c r="G40" s="8">
        <v>10</v>
      </c>
    </row>
    <row r="41" spans="1:7" x14ac:dyDescent="0.3">
      <c r="A41" s="1">
        <f>'WL &amp; Q'!A41</f>
        <v>46233.541666666577</v>
      </c>
      <c r="B41" s="4">
        <f>IF('WL &amp; Q'!C41="","",'WL &amp; Q'!C41)</f>
        <v>0.69</v>
      </c>
      <c r="C41" s="5">
        <f t="shared" si="2"/>
        <v>39.015337623392981</v>
      </c>
      <c r="D41" s="4">
        <f>IF('WL &amp; Q'!E41="","",'WL &amp; Q'!E41)</f>
        <v>0</v>
      </c>
      <c r="E41" s="8">
        <v>7</v>
      </c>
      <c r="F41" s="8">
        <v>8</v>
      </c>
      <c r="G41" s="8">
        <v>10</v>
      </c>
    </row>
    <row r="42" spans="1:7" x14ac:dyDescent="0.3">
      <c r="A42" s="1">
        <f>'WL &amp; Q'!A42</f>
        <v>46233.583333333241</v>
      </c>
      <c r="B42" s="4">
        <f>IF('WL &amp; Q'!C42="","",'WL &amp; Q'!C42)</f>
        <v>0.66</v>
      </c>
      <c r="C42" s="5">
        <f t="shared" si="2"/>
        <v>37.484509651125741</v>
      </c>
      <c r="D42" s="4">
        <f>IF('WL &amp; Q'!E42="","",'WL &amp; Q'!E42)</f>
        <v>0</v>
      </c>
      <c r="E42" s="8">
        <v>7</v>
      </c>
      <c r="F42" s="8">
        <v>8</v>
      </c>
      <c r="G42" s="8">
        <v>10</v>
      </c>
    </row>
    <row r="43" spans="1:7" x14ac:dyDescent="0.3">
      <c r="A43" s="1">
        <f>'WL &amp; Q'!A43</f>
        <v>46233.624999999905</v>
      </c>
      <c r="B43" s="4">
        <f>IF('WL &amp; Q'!C43="","",'WL &amp; Q'!C43)</f>
        <v>0.64</v>
      </c>
      <c r="C43" s="5">
        <f t="shared" si="2"/>
        <v>36.477383589027653</v>
      </c>
      <c r="D43" s="4">
        <f>IF('WL &amp; Q'!E43="","",'WL &amp; Q'!E43)</f>
        <v>0</v>
      </c>
      <c r="E43" s="8">
        <v>7</v>
      </c>
      <c r="F43" s="8">
        <v>8</v>
      </c>
      <c r="G43" s="8">
        <v>10</v>
      </c>
    </row>
    <row r="44" spans="1:7" x14ac:dyDescent="0.3">
      <c r="A44" s="1">
        <f>'WL &amp; Q'!A44</f>
        <v>46233.66666666657</v>
      </c>
      <c r="B44" s="4">
        <f>IF('WL &amp; Q'!C44="","",'WL &amp; Q'!C44)</f>
        <v>0.63</v>
      </c>
      <c r="C44" s="5">
        <f t="shared" si="2"/>
        <v>35.977871750149596</v>
      </c>
      <c r="D44" s="4">
        <f>IF('WL &amp; Q'!E44="","",'WL &amp; Q'!E44)</f>
        <v>0</v>
      </c>
      <c r="E44" s="8">
        <v>7</v>
      </c>
      <c r="F44" s="8">
        <v>8</v>
      </c>
      <c r="G44" s="8">
        <v>10</v>
      </c>
    </row>
    <row r="45" spans="1:7" x14ac:dyDescent="0.3">
      <c r="A45" s="1">
        <f>'WL &amp; Q'!A45</f>
        <v>46233.708333333234</v>
      </c>
      <c r="B45" s="4">
        <f>IF('WL &amp; Q'!C45="","",'WL &amp; Q'!C45)</f>
        <v>0.63</v>
      </c>
      <c r="C45" s="5">
        <f t="shared" si="2"/>
        <v>35.977871750149596</v>
      </c>
      <c r="D45" s="4">
        <f>IF('WL &amp; Q'!E45="","",'WL &amp; Q'!E45)</f>
        <v>0</v>
      </c>
      <c r="E45" s="8">
        <v>7</v>
      </c>
      <c r="F45" s="8">
        <v>8</v>
      </c>
      <c r="G45" s="8">
        <v>10</v>
      </c>
    </row>
    <row r="46" spans="1:7" x14ac:dyDescent="0.3">
      <c r="A46" s="1">
        <f>'WL &amp; Q'!A46</f>
        <v>46233.749999999898</v>
      </c>
      <c r="B46" s="4">
        <f>IF('WL &amp; Q'!C46="","",'WL &amp; Q'!C46)</f>
        <v>0.62</v>
      </c>
      <c r="C46" s="5">
        <f t="shared" si="2"/>
        <v>35.481071318833266</v>
      </c>
      <c r="D46" s="4">
        <f>IF('WL &amp; Q'!E46="","",'WL &amp; Q'!E46)</f>
        <v>0</v>
      </c>
      <c r="E46" s="8">
        <v>7</v>
      </c>
      <c r="F46" s="8">
        <v>8</v>
      </c>
      <c r="G46" s="8">
        <v>10</v>
      </c>
    </row>
    <row r="47" spans="1:7" x14ac:dyDescent="0.3">
      <c r="A47" s="1">
        <f>'WL &amp; Q'!A47</f>
        <v>46233.791666666562</v>
      </c>
      <c r="B47" s="4">
        <f>IF('WL &amp; Q'!C47="","",'WL &amp; Q'!C47)</f>
        <v>0.6</v>
      </c>
      <c r="C47" s="5">
        <f t="shared" si="2"/>
        <v>34.495637064644583</v>
      </c>
      <c r="D47" s="4">
        <f>IF('WL &amp; Q'!E47="","",'WL &amp; Q'!E47)</f>
        <v>0</v>
      </c>
      <c r="E47" s="8">
        <v>7</v>
      </c>
      <c r="F47" s="8">
        <v>8</v>
      </c>
      <c r="G47" s="8">
        <v>10</v>
      </c>
    </row>
    <row r="48" spans="1:7" x14ac:dyDescent="0.3">
      <c r="A48" s="1">
        <f>'WL &amp; Q'!A48</f>
        <v>46233.833333333227</v>
      </c>
      <c r="B48" s="4">
        <f>IF('WL &amp; Q'!C48="","",'WL &amp; Q'!C48)</f>
        <v>0.57999999999999996</v>
      </c>
      <c r="C48" s="5">
        <f t="shared" si="2"/>
        <v>33.521146539891838</v>
      </c>
      <c r="D48" s="4">
        <f>IF('WL &amp; Q'!E48="","",'WL &amp; Q'!E48)</f>
        <v>0</v>
      </c>
      <c r="E48" s="8">
        <v>7</v>
      </c>
      <c r="F48" s="8">
        <v>8</v>
      </c>
      <c r="G48" s="8">
        <v>10</v>
      </c>
    </row>
    <row r="49" spans="1:7" x14ac:dyDescent="0.3">
      <c r="A49" s="1">
        <f>'WL &amp; Q'!A49</f>
        <v>46233.874999999891</v>
      </c>
      <c r="B49" s="4">
        <f>IF('WL &amp; Q'!C49="","",'WL &amp; Q'!C49)</f>
        <v>0.56000000000000005</v>
      </c>
      <c r="C49" s="5">
        <f t="shared" si="2"/>
        <v>32.557667008462019</v>
      </c>
      <c r="D49" s="4">
        <f>IF('WL &amp; Q'!E49="","",'WL &amp; Q'!E49)</f>
        <v>0</v>
      </c>
      <c r="E49" s="8">
        <v>7</v>
      </c>
      <c r="F49" s="8">
        <v>8</v>
      </c>
      <c r="G49" s="8">
        <v>10</v>
      </c>
    </row>
    <row r="50" spans="1:7" x14ac:dyDescent="0.3">
      <c r="A50" s="1">
        <f>'WL &amp; Q'!A50</f>
        <v>46233.916666666555</v>
      </c>
      <c r="B50" s="4">
        <f>IF('WL &amp; Q'!C50="","",'WL &amp; Q'!C50)</f>
        <v>0.53</v>
      </c>
      <c r="C50" s="5">
        <f t="shared" si="2"/>
        <v>31.133244455336836</v>
      </c>
      <c r="D50" s="4">
        <f>IF('WL &amp; Q'!E50="","",'WL &amp; Q'!E50)</f>
        <v>0</v>
      </c>
      <c r="E50" s="8">
        <v>7</v>
      </c>
      <c r="F50" s="8">
        <v>8</v>
      </c>
      <c r="G50" s="8">
        <v>10</v>
      </c>
    </row>
    <row r="51" spans="1:7" x14ac:dyDescent="0.3">
      <c r="A51" s="1">
        <f>'WL &amp; Q'!A51</f>
        <v>46233.958333333219</v>
      </c>
      <c r="B51" s="4">
        <f>IF('WL &amp; Q'!C51="","",'WL &amp; Q'!C51)</f>
        <v>0.51</v>
      </c>
      <c r="C51" s="5">
        <f t="shared" si="2"/>
        <v>30.197597456718235</v>
      </c>
      <c r="D51" s="4">
        <f>IF('WL &amp; Q'!E51="","",'WL &amp; Q'!E51)</f>
        <v>0</v>
      </c>
      <c r="E51" s="8">
        <v>7</v>
      </c>
      <c r="F51" s="8">
        <v>8</v>
      </c>
      <c r="G51" s="8">
        <v>10</v>
      </c>
    </row>
    <row r="52" spans="1:7" x14ac:dyDescent="0.3">
      <c r="A52" s="1">
        <f>'WL &amp; Q'!A52</f>
        <v>46233.999999999884</v>
      </c>
      <c r="B52" s="4">
        <f>IF('WL &amp; Q'!C52="","",'WL &amp; Q'!C52)</f>
        <v>0.5</v>
      </c>
      <c r="C52" s="5">
        <f t="shared" si="2"/>
        <v>29.733991657750192</v>
      </c>
      <c r="D52" s="4">
        <f>IF('WL &amp; Q'!E52="","",'WL &amp; Q'!E52)</f>
        <v>0</v>
      </c>
      <c r="E52" s="8">
        <v>7</v>
      </c>
      <c r="F52" s="8">
        <v>8</v>
      </c>
      <c r="G52" s="8">
        <v>10</v>
      </c>
    </row>
    <row r="53" spans="1:7" x14ac:dyDescent="0.3">
      <c r="A53" s="1">
        <f>'WL &amp; Q'!A53</f>
        <v>46234.041666666548</v>
      </c>
      <c r="B53" s="4">
        <f>IF('WL &amp; Q'!C53="","",'WL &amp; Q'!C53)</f>
        <v>0.49</v>
      </c>
      <c r="C53" s="5">
        <f t="shared" si="2"/>
        <v>29.273210056241769</v>
      </c>
      <c r="D53" s="4">
        <f>IF('WL &amp; Q'!E53="","",'WL &amp; Q'!E53)</f>
        <v>0</v>
      </c>
      <c r="E53" s="8">
        <v>7</v>
      </c>
      <c r="F53" s="8">
        <v>8</v>
      </c>
      <c r="G53" s="8">
        <v>10</v>
      </c>
    </row>
    <row r="54" spans="1:7" x14ac:dyDescent="0.3">
      <c r="A54" s="1">
        <f>'WL &amp; Q'!A54</f>
        <v>46234.083333333212</v>
      </c>
      <c r="B54" s="4">
        <f>IF('WL &amp; Q'!C54="","",'WL &amp; Q'!C54)</f>
        <v>0.49</v>
      </c>
      <c r="C54" s="5">
        <f t="shared" si="2"/>
        <v>29.273210056241769</v>
      </c>
      <c r="D54" s="4">
        <f>IF('WL &amp; Q'!E54="","",'WL &amp; Q'!E54)</f>
        <v>0.7</v>
      </c>
      <c r="E54" s="8">
        <v>7</v>
      </c>
      <c r="F54" s="8">
        <v>8</v>
      </c>
      <c r="G54" s="8">
        <v>10</v>
      </c>
    </row>
    <row r="55" spans="1:7" x14ac:dyDescent="0.3">
      <c r="A55" s="1">
        <f>'WL &amp; Q'!A55</f>
        <v>46234.124999999876</v>
      </c>
      <c r="B55" s="4">
        <f>IF('WL &amp; Q'!C55="","",'WL &amp; Q'!C55)</f>
        <v>0.51</v>
      </c>
      <c r="C55" s="5">
        <f t="shared" si="2"/>
        <v>30.197597456718235</v>
      </c>
      <c r="D55" s="4">
        <f>IF('WL &amp; Q'!E55="","",'WL &amp; Q'!E55)</f>
        <v>0</v>
      </c>
      <c r="E55" s="8">
        <v>7</v>
      </c>
      <c r="F55" s="8">
        <v>8</v>
      </c>
      <c r="G55" s="8">
        <v>10</v>
      </c>
    </row>
    <row r="56" spans="1:7" x14ac:dyDescent="0.3">
      <c r="A56" s="1">
        <f>'WL &amp; Q'!A56</f>
        <v>46234.166666666541</v>
      </c>
      <c r="B56" s="4">
        <f>IF('WL &amp; Q'!C56="","",'WL &amp; Q'!C56)</f>
        <v>0.56999999999999995</v>
      </c>
      <c r="C56" s="5">
        <f t="shared" si="2"/>
        <v>33.038026133709003</v>
      </c>
      <c r="D56" s="4">
        <f>IF('WL &amp; Q'!E56="","",'WL &amp; Q'!E56)</f>
        <v>1.3</v>
      </c>
      <c r="E56" s="8">
        <v>7</v>
      </c>
      <c r="F56" s="8">
        <v>8</v>
      </c>
      <c r="G56" s="8">
        <v>10</v>
      </c>
    </row>
    <row r="57" spans="1:7" x14ac:dyDescent="0.3">
      <c r="A57" s="1">
        <f>'WL &amp; Q'!A57</f>
        <v>46234.208333333205</v>
      </c>
      <c r="B57" s="4">
        <f>IF('WL &amp; Q'!C57="","",'WL &amp; Q'!C57)</f>
        <v>0.61</v>
      </c>
      <c r="C57" s="5">
        <f t="shared" si="2"/>
        <v>34.986990368254183</v>
      </c>
      <c r="D57" s="4">
        <f>IF('WL &amp; Q'!E57="","",'WL &amp; Q'!E57)</f>
        <v>0</v>
      </c>
      <c r="E57" s="8">
        <v>7</v>
      </c>
      <c r="F57" s="8">
        <v>8</v>
      </c>
      <c r="G57" s="8">
        <v>10</v>
      </c>
    </row>
    <row r="58" spans="1:7" x14ac:dyDescent="0.3">
      <c r="A58" s="1">
        <f>'WL &amp; Q'!A58</f>
        <v>46234.249999999869</v>
      </c>
      <c r="B58" s="4">
        <f>IF('WL &amp; Q'!C58="","",'WL &amp; Q'!C58)</f>
        <v>0.69</v>
      </c>
      <c r="C58" s="5">
        <f t="shared" si="2"/>
        <v>39.015337623392981</v>
      </c>
      <c r="D58" s="4">
        <f>IF('WL &amp; Q'!E58="","",'WL &amp; Q'!E58)</f>
        <v>0</v>
      </c>
      <c r="E58" s="8">
        <v>7</v>
      </c>
      <c r="F58" s="8">
        <v>8</v>
      </c>
      <c r="G58" s="8">
        <v>10</v>
      </c>
    </row>
    <row r="59" spans="1:7" x14ac:dyDescent="0.3">
      <c r="A59" s="1">
        <f>'WL &amp; Q'!A59</f>
        <v>46234.291666666533</v>
      </c>
      <c r="B59" s="4">
        <f>IF('WL &amp; Q'!C59="","",'WL &amp; Q'!C59)</f>
        <v>0.72</v>
      </c>
      <c r="C59" s="5">
        <f t="shared" si="2"/>
        <v>40.570149496750176</v>
      </c>
      <c r="D59" s="4">
        <f>IF('WL &amp; Q'!E59="","",'WL &amp; Q'!E59)</f>
        <v>0</v>
      </c>
      <c r="E59" s="8">
        <v>7</v>
      </c>
      <c r="F59" s="8">
        <v>8</v>
      </c>
      <c r="G59" s="8">
        <v>10</v>
      </c>
    </row>
    <row r="60" spans="1:7" x14ac:dyDescent="0.3">
      <c r="A60" s="1">
        <f>'WL &amp; Q'!A60</f>
        <v>46234.333333333198</v>
      </c>
      <c r="B60" s="4">
        <f>IF('WL &amp; Q'!C60="","",'WL &amp; Q'!C60)</f>
        <v>0.72</v>
      </c>
      <c r="C60" s="5">
        <f t="shared" si="2"/>
        <v>40.570149496750176</v>
      </c>
      <c r="D60" s="4">
        <f>IF('WL &amp; Q'!E60="","",'WL &amp; Q'!E60)</f>
        <v>0</v>
      </c>
      <c r="E60" s="8">
        <v>7</v>
      </c>
      <c r="F60" s="8">
        <v>8</v>
      </c>
      <c r="G60" s="8">
        <v>10</v>
      </c>
    </row>
    <row r="61" spans="1:7" x14ac:dyDescent="0.3">
      <c r="A61" s="1">
        <f>'WL &amp; Q'!A61</f>
        <v>46234.374999999862</v>
      </c>
      <c r="B61" s="4">
        <f>IF('WL &amp; Q'!C61="","",'WL &amp; Q'!C61)</f>
        <v>0.71</v>
      </c>
      <c r="C61" s="5">
        <f t="shared" si="2"/>
        <v>40.049226445864555</v>
      </c>
      <c r="D61" s="4">
        <f>IF('WL &amp; Q'!E61="","",'WL &amp; Q'!E61)</f>
        <v>0</v>
      </c>
      <c r="E61" s="8">
        <v>7</v>
      </c>
      <c r="F61" s="8">
        <v>8</v>
      </c>
      <c r="G61" s="8">
        <v>10</v>
      </c>
    </row>
    <row r="62" spans="1:7" x14ac:dyDescent="0.3">
      <c r="A62" s="1">
        <f>'WL &amp; Q'!A62</f>
        <v>46234.416666666526</v>
      </c>
      <c r="B62" s="4">
        <f>IF('WL &amp; Q'!C62="","",'WL &amp; Q'!C62)</f>
        <v>0.68</v>
      </c>
      <c r="C62" s="5">
        <f t="shared" si="2"/>
        <v>38.50238671260351</v>
      </c>
      <c r="D62" s="4">
        <f>IF('WL &amp; Q'!E62="","",'WL &amp; Q'!E62)</f>
        <v>0</v>
      </c>
      <c r="E62" s="8">
        <v>7</v>
      </c>
      <c r="F62" s="8">
        <v>8</v>
      </c>
      <c r="G62" s="8">
        <v>10</v>
      </c>
    </row>
    <row r="63" spans="1:7" x14ac:dyDescent="0.3">
      <c r="A63" s="1">
        <f>'WL &amp; Q'!A63</f>
        <v>46234.45833333319</v>
      </c>
      <c r="B63" s="4">
        <f>IF('WL &amp; Q'!C63="","",'WL &amp; Q'!C63)</f>
        <v>0.67</v>
      </c>
      <c r="C63" s="5">
        <f t="shared" si="2"/>
        <v>37.992108177067628</v>
      </c>
      <c r="D63" s="4">
        <f>IF('WL &amp; Q'!E63="","",'WL &amp; Q'!E63)</f>
        <v>0</v>
      </c>
      <c r="E63" s="8">
        <v>7</v>
      </c>
      <c r="F63" s="8">
        <v>8</v>
      </c>
      <c r="G63" s="8">
        <v>10</v>
      </c>
    </row>
    <row r="64" spans="1:7" x14ac:dyDescent="0.3">
      <c r="A64" s="1">
        <f>'WL &amp; Q'!A64</f>
        <v>46234.499999999854</v>
      </c>
      <c r="B64" s="4">
        <f>IF('WL &amp; Q'!C64="","",'WL &amp; Q'!C64)</f>
        <v>0.64</v>
      </c>
      <c r="C64" s="5">
        <f t="shared" si="2"/>
        <v>36.477383589027653</v>
      </c>
      <c r="D64" s="4">
        <f>IF('WL &amp; Q'!E64="","",'WL &amp; Q'!E64)</f>
        <v>0</v>
      </c>
      <c r="E64" s="8">
        <v>7</v>
      </c>
      <c r="F64" s="8">
        <v>8</v>
      </c>
      <c r="G64" s="8">
        <v>10</v>
      </c>
    </row>
    <row r="65" spans="1:7" x14ac:dyDescent="0.3">
      <c r="A65" s="1">
        <f>'WL &amp; Q'!A65</f>
        <v>46234.541666666519</v>
      </c>
      <c r="B65" s="4">
        <f>IF('WL &amp; Q'!C65="","",'WL &amp; Q'!C65)</f>
        <v>0.62</v>
      </c>
      <c r="C65" s="5">
        <f t="shared" si="2"/>
        <v>35.481071318833266</v>
      </c>
      <c r="D65" s="4">
        <f>IF('WL &amp; Q'!E65="","",'WL &amp; Q'!E65)</f>
        <v>0</v>
      </c>
      <c r="E65" s="8">
        <v>7</v>
      </c>
      <c r="F65" s="8">
        <v>8</v>
      </c>
      <c r="G65" s="8">
        <v>10</v>
      </c>
    </row>
    <row r="66" spans="1:7" x14ac:dyDescent="0.3">
      <c r="A66" s="1">
        <f>'WL &amp; Q'!A66</f>
        <v>46234.583333333183</v>
      </c>
      <c r="B66" s="4">
        <f>IF('WL &amp; Q'!C66="","",'WL &amp; Q'!C66)</f>
        <v>0.6</v>
      </c>
      <c r="C66" s="5">
        <f t="shared" si="2"/>
        <v>34.495637064644583</v>
      </c>
      <c r="D66" s="4">
        <f>IF('WL &amp; Q'!E66="","",'WL &amp; Q'!E66)</f>
        <v>0</v>
      </c>
      <c r="E66" s="8">
        <v>7</v>
      </c>
      <c r="F66" s="8">
        <v>8</v>
      </c>
      <c r="G66" s="8">
        <v>10</v>
      </c>
    </row>
    <row r="67" spans="1:7" x14ac:dyDescent="0.3">
      <c r="A67" s="1">
        <f>'WL &amp; Q'!A67</f>
        <v>46234.624999999847</v>
      </c>
      <c r="B67" s="4">
        <f>IF('WL &amp; Q'!C67="","",'WL &amp; Q'!C67)</f>
        <v>0.57999999999999996</v>
      </c>
      <c r="C67" s="5">
        <f t="shared" si="2"/>
        <v>33.521146539891838</v>
      </c>
      <c r="D67" s="4">
        <f>IF('WL &amp; Q'!E67="","",'WL &amp; Q'!E67)</f>
        <v>0</v>
      </c>
      <c r="E67" s="8">
        <v>7</v>
      </c>
      <c r="F67" s="8">
        <v>8</v>
      </c>
      <c r="G67" s="8">
        <v>10</v>
      </c>
    </row>
    <row r="68" spans="1:7" x14ac:dyDescent="0.3">
      <c r="A68" s="1">
        <f>'WL &amp; Q'!A68</f>
        <v>46234.666666666511</v>
      </c>
      <c r="B68" s="4">
        <f>IF('WL &amp; Q'!C68="","",'WL &amp; Q'!C68)</f>
        <v>0.59</v>
      </c>
      <c r="C68" s="5">
        <f t="shared" si="2"/>
        <v>34.007019669175158</v>
      </c>
      <c r="D68" s="4">
        <f>IF('WL &amp; Q'!E68="","",'WL &amp; Q'!E68)</f>
        <v>0</v>
      </c>
      <c r="E68" s="8">
        <v>7</v>
      </c>
      <c r="F68" s="8">
        <v>8</v>
      </c>
      <c r="G68" s="8">
        <v>10</v>
      </c>
    </row>
    <row r="69" spans="1:7" x14ac:dyDescent="0.3">
      <c r="A69" s="1">
        <f>'WL &amp; Q'!A69</f>
        <v>46234.708333333176</v>
      </c>
      <c r="B69" s="4">
        <f>IF('WL &amp; Q'!C69="","",'WL &amp; Q'!C69)</f>
        <v>0.63</v>
      </c>
      <c r="C69" s="5">
        <f t="shared" si="2"/>
        <v>35.977871750149596</v>
      </c>
      <c r="D69" s="4">
        <f>IF('WL &amp; Q'!E69="","",'WL &amp; Q'!E69)</f>
        <v>0</v>
      </c>
      <c r="E69" s="8">
        <v>7</v>
      </c>
      <c r="F69" s="8">
        <v>8</v>
      </c>
      <c r="G69" s="8">
        <v>10</v>
      </c>
    </row>
    <row r="70" spans="1:7" x14ac:dyDescent="0.3">
      <c r="A70" s="1">
        <f>'WL &amp; Q'!A70</f>
        <v>46234.74999999984</v>
      </c>
      <c r="B70" s="4">
        <f>IF('WL &amp; Q'!C70="","",'WL &amp; Q'!C70)</f>
        <v>0.67</v>
      </c>
      <c r="C70" s="5">
        <f t="shared" ref="C70:C133" si="3">IF(B70="","",IF((B70+0.56)&gt;4,13.194*(B70+0.56)^2+13.311*(B70+0.56)-0.8227,27.012*(B70+0.56)^1.6477))</f>
        <v>37.992108177067628</v>
      </c>
      <c r="D70" s="4">
        <f>IF('WL &amp; Q'!E70="","",'WL &amp; Q'!E70)</f>
        <v>0</v>
      </c>
      <c r="E70" s="8">
        <v>7</v>
      </c>
      <c r="F70" s="8">
        <v>8</v>
      </c>
      <c r="G70" s="8">
        <v>10</v>
      </c>
    </row>
    <row r="71" spans="1:7" x14ac:dyDescent="0.3">
      <c r="A71" s="1">
        <f>'WL &amp; Q'!A71</f>
        <v>46234.791666666504</v>
      </c>
      <c r="B71" s="4">
        <f>IF('WL &amp; Q'!C71="","",'WL &amp; Q'!C71)</f>
        <v>0.69</v>
      </c>
      <c r="C71" s="5">
        <f t="shared" si="3"/>
        <v>39.015337623392981</v>
      </c>
      <c r="D71" s="4">
        <f>IF('WL &amp; Q'!E71="","",'WL &amp; Q'!E71)</f>
        <v>0</v>
      </c>
      <c r="E71" s="8">
        <v>7</v>
      </c>
      <c r="F71" s="8">
        <v>8</v>
      </c>
      <c r="G71" s="8">
        <v>10</v>
      </c>
    </row>
    <row r="72" spans="1:7" x14ac:dyDescent="0.3">
      <c r="A72" s="1">
        <f>'WL &amp; Q'!A72</f>
        <v>46234.833333333168</v>
      </c>
      <c r="B72" s="4">
        <f>IF('WL &amp; Q'!C72="","",'WL &amp; Q'!C72)</f>
        <v>0.69</v>
      </c>
      <c r="C72" s="5">
        <f t="shared" si="3"/>
        <v>39.015337623392981</v>
      </c>
      <c r="D72" s="4">
        <f>IF('WL &amp; Q'!E72="","",'WL &amp; Q'!E72)</f>
        <v>0.3</v>
      </c>
      <c r="E72" s="8">
        <v>7</v>
      </c>
      <c r="F72" s="8">
        <v>8</v>
      </c>
      <c r="G72" s="8">
        <v>10</v>
      </c>
    </row>
    <row r="73" spans="1:7" x14ac:dyDescent="0.3">
      <c r="A73" s="1">
        <f>'WL &amp; Q'!A73</f>
        <v>46234.874999999833</v>
      </c>
      <c r="B73" s="4">
        <f>IF('WL &amp; Q'!C73="","",'WL &amp; Q'!C73)</f>
        <v>0.68</v>
      </c>
      <c r="C73" s="5">
        <f t="shared" si="3"/>
        <v>38.50238671260351</v>
      </c>
      <c r="D73" s="4">
        <f>IF('WL &amp; Q'!E73="","",'WL &amp; Q'!E73)</f>
        <v>4.2</v>
      </c>
      <c r="E73" s="8">
        <v>7</v>
      </c>
      <c r="F73" s="8">
        <v>8</v>
      </c>
      <c r="G73" s="8">
        <v>10</v>
      </c>
    </row>
    <row r="74" spans="1:7" x14ac:dyDescent="0.3">
      <c r="A74" s="1">
        <f>'WL &amp; Q'!A74</f>
        <v>46234.916666666497</v>
      </c>
      <c r="B74" s="4">
        <f>IF('WL &amp; Q'!C74="","",'WL &amp; Q'!C74)</f>
        <v>0.67</v>
      </c>
      <c r="C74" s="5">
        <f t="shared" si="3"/>
        <v>37.992108177067628</v>
      </c>
      <c r="D74" s="4">
        <f>IF('WL &amp; Q'!E74="","",'WL &amp; Q'!E74)</f>
        <v>0.7</v>
      </c>
      <c r="E74" s="8">
        <v>7</v>
      </c>
      <c r="F74" s="8">
        <v>8</v>
      </c>
      <c r="G74" s="8">
        <v>10</v>
      </c>
    </row>
    <row r="75" spans="1:7" x14ac:dyDescent="0.3">
      <c r="A75" s="1">
        <f>'WL &amp; Q'!A75</f>
        <v>46234.958333333161</v>
      </c>
      <c r="B75" s="4">
        <f>IF('WL &amp; Q'!C75="","",'WL &amp; Q'!C75)</f>
        <v>0.65</v>
      </c>
      <c r="C75" s="5">
        <f t="shared" si="3"/>
        <v>36.979598853519335</v>
      </c>
      <c r="D75" s="4">
        <f>IF('WL &amp; Q'!E75="","",'WL &amp; Q'!E75)</f>
        <v>0.6</v>
      </c>
      <c r="E75" s="8">
        <v>7</v>
      </c>
      <c r="F75" s="8">
        <v>8</v>
      </c>
      <c r="G75" s="8">
        <v>10</v>
      </c>
    </row>
    <row r="76" spans="1:7" x14ac:dyDescent="0.3">
      <c r="A76" s="1">
        <f>'WL &amp; Q'!A76</f>
        <v>46234.999999999825</v>
      </c>
      <c r="B76" s="4">
        <f>IF('WL &amp; Q'!C76="","",'WL &amp; Q'!C76)</f>
        <v>0.63</v>
      </c>
      <c r="C76" s="5">
        <f t="shared" si="3"/>
        <v>35.977871750149596</v>
      </c>
      <c r="D76" s="4">
        <f>IF('WL &amp; Q'!E76="","",'WL &amp; Q'!E76)</f>
        <v>0.3</v>
      </c>
      <c r="E76" s="8">
        <v>7</v>
      </c>
      <c r="F76" s="8">
        <v>8</v>
      </c>
      <c r="G76" s="8">
        <v>10</v>
      </c>
    </row>
    <row r="77" spans="1:7" x14ac:dyDescent="0.3">
      <c r="A77" s="1">
        <f>'WL &amp; Q'!A77</f>
        <v>46235.04166666649</v>
      </c>
      <c r="B77" s="4">
        <f>IF('WL &amp; Q'!C77="","",'WL &amp; Q'!C77)</f>
        <v>0.63</v>
      </c>
      <c r="C77" s="5">
        <f t="shared" si="3"/>
        <v>35.977871750149596</v>
      </c>
      <c r="D77" s="4">
        <f>IF('WL &amp; Q'!E77="","",'WL &amp; Q'!E77)</f>
        <v>0</v>
      </c>
      <c r="E77" s="8">
        <v>7</v>
      </c>
      <c r="F77" s="8">
        <v>8</v>
      </c>
      <c r="G77" s="8">
        <v>10</v>
      </c>
    </row>
    <row r="78" spans="1:7" x14ac:dyDescent="0.3">
      <c r="A78" s="1">
        <f>'WL &amp; Q'!A78</f>
        <v>46235.083333333154</v>
      </c>
      <c r="B78" s="4">
        <f>IF('WL &amp; Q'!C78="","",'WL &amp; Q'!C78)</f>
        <v>0.64</v>
      </c>
      <c r="C78" s="5">
        <f t="shared" si="3"/>
        <v>36.477383589027653</v>
      </c>
      <c r="D78" s="4">
        <f>IF('WL &amp; Q'!E78="","",'WL &amp; Q'!E78)</f>
        <v>0</v>
      </c>
      <c r="E78" s="8">
        <v>7</v>
      </c>
      <c r="F78" s="8">
        <v>8</v>
      </c>
      <c r="G78" s="8">
        <v>10</v>
      </c>
    </row>
    <row r="79" spans="1:7" x14ac:dyDescent="0.3">
      <c r="A79" s="1">
        <f>'WL &amp; Q'!A79</f>
        <v>46235.124999999818</v>
      </c>
      <c r="B79" s="4">
        <f>IF('WL &amp; Q'!C79="","",'WL &amp; Q'!C79)</f>
        <v>0.68</v>
      </c>
      <c r="C79" s="5">
        <f t="shared" si="3"/>
        <v>38.50238671260351</v>
      </c>
      <c r="D79" s="4">
        <f>IF('WL &amp; Q'!E79="","",'WL &amp; Q'!E79)</f>
        <v>6.9</v>
      </c>
      <c r="E79" s="8">
        <v>7</v>
      </c>
      <c r="F79" s="8">
        <v>8</v>
      </c>
      <c r="G79" s="8">
        <v>10</v>
      </c>
    </row>
    <row r="80" spans="1:7" x14ac:dyDescent="0.3">
      <c r="A80" s="1">
        <f>'WL &amp; Q'!A80</f>
        <v>46235.166666666482</v>
      </c>
      <c r="B80" s="4">
        <f>IF('WL &amp; Q'!C80="","",'WL &amp; Q'!C80)</f>
        <v>0.8</v>
      </c>
      <c r="C80" s="5">
        <f t="shared" si="3"/>
        <v>44.832070894364279</v>
      </c>
      <c r="D80" s="4">
        <f>IF('WL &amp; Q'!E80="","",'WL &amp; Q'!E80)</f>
        <v>0</v>
      </c>
      <c r="E80" s="8">
        <v>7</v>
      </c>
      <c r="F80" s="8">
        <v>8</v>
      </c>
      <c r="G80" s="8">
        <v>10</v>
      </c>
    </row>
    <row r="81" spans="1:7" x14ac:dyDescent="0.3">
      <c r="A81" s="1">
        <f>'WL &amp; Q'!A81</f>
        <v>46235.208333333147</v>
      </c>
      <c r="B81" s="4">
        <f>IF('WL &amp; Q'!C81="","",'WL &amp; Q'!C81)</f>
        <v>0.99</v>
      </c>
      <c r="C81" s="5">
        <f t="shared" si="3"/>
        <v>55.611713938200261</v>
      </c>
      <c r="D81" s="4">
        <f>IF('WL &amp; Q'!E81="","",'WL &amp; Q'!E81)</f>
        <v>0</v>
      </c>
      <c r="E81" s="8">
        <v>7</v>
      </c>
      <c r="F81" s="8">
        <v>8</v>
      </c>
      <c r="G81" s="8">
        <v>10</v>
      </c>
    </row>
    <row r="82" spans="1:7" x14ac:dyDescent="0.3">
      <c r="A82" s="1">
        <f>'WL &amp; Q'!A82</f>
        <v>46235.249999999811</v>
      </c>
      <c r="B82" s="4">
        <f>IF('WL &amp; Q'!C82="","",'WL &amp; Q'!C82)</f>
        <v>1.21</v>
      </c>
      <c r="C82" s="5">
        <f t="shared" si="3"/>
        <v>69.205767921850821</v>
      </c>
      <c r="D82" s="4">
        <f>IF('WL &amp; Q'!E82="","",'WL &amp; Q'!E82)</f>
        <v>0.7</v>
      </c>
      <c r="E82" s="8">
        <v>7</v>
      </c>
      <c r="F82" s="8">
        <v>8</v>
      </c>
      <c r="G82" s="8">
        <v>10</v>
      </c>
    </row>
    <row r="83" spans="1:7" x14ac:dyDescent="0.3">
      <c r="A83" s="1">
        <f>'WL &amp; Q'!A83</f>
        <v>46235.291666666475</v>
      </c>
      <c r="B83" s="4">
        <f>IF('WL &amp; Q'!C83="","",'WL &amp; Q'!C83)</f>
        <v>1.56</v>
      </c>
      <c r="C83" s="5">
        <f t="shared" si="3"/>
        <v>93.166619814097928</v>
      </c>
      <c r="D83" s="4">
        <f>IF('WL &amp; Q'!E83="","",'WL &amp; Q'!E83)</f>
        <v>0</v>
      </c>
      <c r="E83" s="8">
        <v>7</v>
      </c>
      <c r="F83" s="8">
        <v>8</v>
      </c>
      <c r="G83" s="8">
        <v>10</v>
      </c>
    </row>
    <row r="84" spans="1:7" x14ac:dyDescent="0.3">
      <c r="A84" s="1">
        <f>'WL &amp; Q'!A84</f>
        <v>46235.333333333139</v>
      </c>
      <c r="B84" s="4">
        <f>IF('WL &amp; Q'!C84="","",'WL &amp; Q'!C84)</f>
        <v>2.1800000000000002</v>
      </c>
      <c r="C84" s="5">
        <f t="shared" si="3"/>
        <v>142.17994549591933</v>
      </c>
      <c r="D84" s="4">
        <f>IF('WL &amp; Q'!E84="","",'WL &amp; Q'!E84)</f>
        <v>0</v>
      </c>
      <c r="E84" s="8">
        <v>7</v>
      </c>
      <c r="F84" s="8">
        <v>8</v>
      </c>
      <c r="G84" s="8">
        <v>10</v>
      </c>
    </row>
    <row r="85" spans="1:7" x14ac:dyDescent="0.3">
      <c r="A85" s="1">
        <f>'WL &amp; Q'!A85</f>
        <v>46235.374999999804</v>
      </c>
      <c r="B85" s="4">
        <f>IF('WL &amp; Q'!C85="","",'WL &amp; Q'!C85)</f>
        <v>2.98</v>
      </c>
      <c r="C85" s="5">
        <f t="shared" si="3"/>
        <v>216.8450016107131</v>
      </c>
      <c r="D85" s="4">
        <f>IF('WL &amp; Q'!E85="","",'WL &amp; Q'!E85)</f>
        <v>0</v>
      </c>
      <c r="E85" s="8">
        <v>7</v>
      </c>
      <c r="F85" s="8">
        <v>8</v>
      </c>
      <c r="G85" s="8">
        <v>10</v>
      </c>
    </row>
    <row r="86" spans="1:7" x14ac:dyDescent="0.3">
      <c r="A86" s="1">
        <f>'WL &amp; Q'!A86</f>
        <v>46235.416666666468</v>
      </c>
      <c r="B86" s="4">
        <f>IF('WL &amp; Q'!C86="","",'WL &amp; Q'!C86)</f>
        <v>3.8</v>
      </c>
      <c r="C86" s="5">
        <f t="shared" si="3"/>
        <v>308.02592239999996</v>
      </c>
      <c r="D86" s="4">
        <f>IF('WL &amp; Q'!E86="","",'WL &amp; Q'!E86)</f>
        <v>0</v>
      </c>
      <c r="E86" s="8">
        <v>7</v>
      </c>
      <c r="F86" s="8">
        <v>8</v>
      </c>
      <c r="G86" s="8">
        <v>10</v>
      </c>
    </row>
    <row r="87" spans="1:7" x14ac:dyDescent="0.3">
      <c r="A87" s="1">
        <f>'WL &amp; Q'!A87</f>
        <v>46235.458333333132</v>
      </c>
      <c r="B87" s="4">
        <f>IF('WL &amp; Q'!C87="","",'WL &amp; Q'!C87)</f>
        <v>4.34</v>
      </c>
      <c r="C87" s="5">
        <f t="shared" si="3"/>
        <v>381.18914000000012</v>
      </c>
      <c r="D87" s="4">
        <f>IF('WL &amp; Q'!E87="","",'WL &amp; Q'!E87)</f>
        <v>0</v>
      </c>
      <c r="E87" s="8">
        <v>7</v>
      </c>
      <c r="F87" s="8">
        <v>8</v>
      </c>
      <c r="G87" s="8">
        <v>10</v>
      </c>
    </row>
    <row r="88" spans="1:7" x14ac:dyDescent="0.3">
      <c r="A88" s="1">
        <f>'WL &amp; Q'!A88</f>
        <v>46235.499999999796</v>
      </c>
      <c r="B88" s="4">
        <f>IF('WL &amp; Q'!C88="","",'WL &amp; Q'!C88)</f>
        <v>4.8</v>
      </c>
      <c r="C88" s="5">
        <f t="shared" si="3"/>
        <v>449.58260239999998</v>
      </c>
      <c r="D88" s="4">
        <f>IF('WL &amp; Q'!E88="","",'WL &amp; Q'!E88)</f>
        <v>0</v>
      </c>
      <c r="E88" s="8">
        <v>7</v>
      </c>
      <c r="F88" s="8">
        <v>8</v>
      </c>
      <c r="G88" s="8">
        <v>10</v>
      </c>
    </row>
    <row r="89" spans="1:7" x14ac:dyDescent="0.3">
      <c r="A89" s="1">
        <f>'WL &amp; Q'!A89</f>
        <v>46235.541666666461</v>
      </c>
      <c r="B89" s="4">
        <f>IF('WL &amp; Q'!C89="","",'WL &amp; Q'!C89)</f>
        <v>5.12</v>
      </c>
      <c r="C89" s="5">
        <f t="shared" si="3"/>
        <v>500.45388559999998</v>
      </c>
      <c r="D89" s="4">
        <f>IF('WL &amp; Q'!E89="","",'WL &amp; Q'!E89)</f>
        <v>0</v>
      </c>
      <c r="E89" s="8">
        <v>7</v>
      </c>
      <c r="F89" s="8">
        <v>8</v>
      </c>
      <c r="G89" s="8">
        <v>10</v>
      </c>
    </row>
    <row r="90" spans="1:7" x14ac:dyDescent="0.3">
      <c r="A90" s="1">
        <f>'WL &amp; Q'!A90</f>
        <v>46235.583333333125</v>
      </c>
      <c r="B90" s="4">
        <f>IF('WL &amp; Q'!C90="","",'WL &amp; Q'!C90)</f>
        <v>5.35</v>
      </c>
      <c r="C90" s="5">
        <f t="shared" si="3"/>
        <v>538.68666140000005</v>
      </c>
      <c r="D90" s="4">
        <f>IF('WL &amp; Q'!E90="","",'WL &amp; Q'!E90)</f>
        <v>0</v>
      </c>
      <c r="E90" s="8">
        <v>7</v>
      </c>
      <c r="F90" s="8">
        <v>8</v>
      </c>
      <c r="G90" s="8">
        <v>10</v>
      </c>
    </row>
    <row r="91" spans="1:7" x14ac:dyDescent="0.3">
      <c r="A91" s="1">
        <f>'WL &amp; Q'!A91</f>
        <v>46235.624999999789</v>
      </c>
      <c r="B91" s="4">
        <f>IF('WL &amp; Q'!C91="","",'WL &amp; Q'!C91)</f>
        <v>5.51</v>
      </c>
      <c r="C91" s="5">
        <f t="shared" si="3"/>
        <v>566.1066806</v>
      </c>
      <c r="D91" s="4">
        <f>IF('WL &amp; Q'!E91="","",'WL &amp; Q'!E91)</f>
        <v>0</v>
      </c>
      <c r="E91" s="8">
        <v>7</v>
      </c>
      <c r="F91" s="8">
        <v>8</v>
      </c>
      <c r="G91" s="8">
        <v>10</v>
      </c>
    </row>
    <row r="92" spans="1:7" x14ac:dyDescent="0.3">
      <c r="A92" s="1">
        <f>'WL &amp; Q'!A92</f>
        <v>46235.666666666453</v>
      </c>
      <c r="B92" s="4">
        <f>IF('WL &amp; Q'!C92="","",'WL &amp; Q'!C92)</f>
        <v>5.6</v>
      </c>
      <c r="C92" s="5">
        <f t="shared" si="3"/>
        <v>581.8273064</v>
      </c>
      <c r="D92" s="4">
        <f>IF('WL &amp; Q'!E92="","",'WL &amp; Q'!E92)</f>
        <v>0</v>
      </c>
      <c r="E92" s="8">
        <v>7</v>
      </c>
      <c r="F92" s="8">
        <v>8</v>
      </c>
      <c r="G92" s="8">
        <v>10</v>
      </c>
    </row>
    <row r="93" spans="1:7" x14ac:dyDescent="0.3">
      <c r="A93" s="1">
        <f>'WL &amp; Q'!A93</f>
        <v>46235.708333333117</v>
      </c>
      <c r="B93" s="4">
        <f>IF('WL &amp; Q'!C93="","",'WL &amp; Q'!C93)</f>
        <v>5.6</v>
      </c>
      <c r="C93" s="5">
        <f t="shared" si="3"/>
        <v>581.8273064</v>
      </c>
      <c r="D93" s="4">
        <f>IF('WL &amp; Q'!E93="","",'WL &amp; Q'!E93)</f>
        <v>0</v>
      </c>
      <c r="E93" s="8">
        <v>7</v>
      </c>
      <c r="F93" s="8">
        <v>8</v>
      </c>
      <c r="G93" s="8">
        <v>10</v>
      </c>
    </row>
    <row r="94" spans="1:7" x14ac:dyDescent="0.3">
      <c r="A94" s="1">
        <f>'WL &amp; Q'!A94</f>
        <v>46235.749999999782</v>
      </c>
      <c r="B94" s="4">
        <f>IF('WL &amp; Q'!C94="","",'WL &amp; Q'!C94)</f>
        <v>5.53</v>
      </c>
      <c r="C94" s="5">
        <f t="shared" si="3"/>
        <v>569.58168139999998</v>
      </c>
      <c r="D94" s="4">
        <f>IF('WL &amp; Q'!E94="","",'WL &amp; Q'!E94)</f>
        <v>0</v>
      </c>
      <c r="E94" s="8">
        <v>7</v>
      </c>
      <c r="F94" s="8">
        <v>8</v>
      </c>
      <c r="G94" s="8">
        <v>10</v>
      </c>
    </row>
    <row r="95" spans="1:7" x14ac:dyDescent="0.3">
      <c r="A95" s="1">
        <f>'WL &amp; Q'!A95</f>
        <v>46235.791666666446</v>
      </c>
      <c r="B95" s="4">
        <f>IF('WL &amp; Q'!C95="","",'WL &amp; Q'!C95)</f>
        <v>5.44</v>
      </c>
      <c r="C95" s="5">
        <f t="shared" si="3"/>
        <v>554.02729999999997</v>
      </c>
      <c r="D95" s="4">
        <f>IF('WL &amp; Q'!E95="","",'WL &amp; Q'!E95)</f>
        <v>0</v>
      </c>
      <c r="E95" s="8">
        <v>7</v>
      </c>
      <c r="F95" s="8">
        <v>8</v>
      </c>
      <c r="G95" s="8">
        <v>10</v>
      </c>
    </row>
    <row r="96" spans="1:7" x14ac:dyDescent="0.3">
      <c r="A96" s="1">
        <f>'WL &amp; Q'!A96</f>
        <v>46235.83333333311</v>
      </c>
      <c r="B96" s="4">
        <f>IF('WL &amp; Q'!C96="","",'WL &amp; Q'!C96)</f>
        <v>5.3</v>
      </c>
      <c r="C96" s="5">
        <f t="shared" si="3"/>
        <v>530.25644239999986</v>
      </c>
      <c r="D96" s="4">
        <f>IF('WL &amp; Q'!E96="","",'WL &amp; Q'!E96)</f>
        <v>0</v>
      </c>
      <c r="E96" s="8">
        <v>7</v>
      </c>
      <c r="F96" s="8">
        <v>8</v>
      </c>
      <c r="G96" s="8">
        <v>10</v>
      </c>
    </row>
    <row r="97" spans="1:7" x14ac:dyDescent="0.3">
      <c r="A97" s="1">
        <f>'WL &amp; Q'!A97</f>
        <v>46235.874999999774</v>
      </c>
      <c r="B97" s="4">
        <f>IF('WL &amp; Q'!C97="","",'WL &amp; Q'!C97)</f>
        <v>5.12</v>
      </c>
      <c r="C97" s="5">
        <f t="shared" si="3"/>
        <v>500.45388559999998</v>
      </c>
      <c r="D97" s="4">
        <f>IF('WL &amp; Q'!E97="","",'WL &amp; Q'!E97)</f>
        <v>0</v>
      </c>
      <c r="E97" s="8">
        <v>7</v>
      </c>
      <c r="F97" s="8">
        <v>8</v>
      </c>
      <c r="G97" s="8">
        <v>10</v>
      </c>
    </row>
    <row r="98" spans="1:7" x14ac:dyDescent="0.3">
      <c r="A98" s="1">
        <f>'WL &amp; Q'!A98</f>
        <v>46235.916666666439</v>
      </c>
      <c r="B98" s="4">
        <f>IF('WL &amp; Q'!C98="","",'WL &amp; Q'!C98)</f>
        <v>4.91</v>
      </c>
      <c r="C98" s="5">
        <f t="shared" si="3"/>
        <v>466.76482460000011</v>
      </c>
      <c r="D98" s="4">
        <f>IF('WL &amp; Q'!E98="","",'WL &amp; Q'!E98)</f>
        <v>0</v>
      </c>
      <c r="E98" s="8">
        <v>7</v>
      </c>
      <c r="F98" s="8">
        <v>8</v>
      </c>
      <c r="G98" s="8">
        <v>10</v>
      </c>
    </row>
    <row r="99" spans="1:7" x14ac:dyDescent="0.3">
      <c r="A99" s="1">
        <f>'WL &amp; Q'!A99</f>
        <v>46235.958333333103</v>
      </c>
      <c r="B99" s="4">
        <f>IF('WL &amp; Q'!C99="","",'WL &amp; Q'!C99)</f>
        <v>4.7</v>
      </c>
      <c r="C99" s="5">
        <f t="shared" si="3"/>
        <v>434.23947440000001</v>
      </c>
      <c r="D99" s="4">
        <f>IF('WL &amp; Q'!E99="","",'WL &amp; Q'!E99)</f>
        <v>0</v>
      </c>
      <c r="E99" s="8">
        <v>7</v>
      </c>
      <c r="F99" s="8">
        <v>8</v>
      </c>
      <c r="G99" s="8">
        <v>10</v>
      </c>
    </row>
    <row r="100" spans="1:7" x14ac:dyDescent="0.3">
      <c r="A100" s="1">
        <f>'WL &amp; Q'!A100</f>
        <v>46235.999999999767</v>
      </c>
      <c r="B100" s="4">
        <f>IF('WL &amp; Q'!C100="","",'WL &amp; Q'!C100)</f>
        <v>4.5199999999999996</v>
      </c>
      <c r="C100" s="5">
        <f t="shared" si="3"/>
        <v>407.2868216</v>
      </c>
      <c r="D100" s="4">
        <f>IF('WL &amp; Q'!E100="","",'WL &amp; Q'!E100)</f>
        <v>0</v>
      </c>
      <c r="E100" s="8">
        <v>7</v>
      </c>
      <c r="F100" s="8">
        <v>8</v>
      </c>
      <c r="G100" s="8">
        <v>10</v>
      </c>
    </row>
    <row r="101" spans="1:7" x14ac:dyDescent="0.3">
      <c r="A101" s="1">
        <f>'WL &amp; Q'!A101</f>
        <v>46236.041666666431</v>
      </c>
      <c r="B101" s="4">
        <f>IF('WL &amp; Q'!C101="","",'WL &amp; Q'!C101)</f>
        <v>4.28</v>
      </c>
      <c r="C101" s="5">
        <f t="shared" si="3"/>
        <v>372.67990639999999</v>
      </c>
      <c r="D101" s="4">
        <f>IF('WL &amp; Q'!E101="","",'WL &amp; Q'!E101)</f>
        <v>0</v>
      </c>
      <c r="E101" s="8">
        <v>7</v>
      </c>
      <c r="F101" s="8">
        <v>8</v>
      </c>
      <c r="G101" s="8">
        <v>10</v>
      </c>
    </row>
    <row r="102" spans="1:7" x14ac:dyDescent="0.3">
      <c r="A102" s="1">
        <f>'WL &amp; Q'!A102</f>
        <v>46236.083333333096</v>
      </c>
      <c r="B102" s="4">
        <f>IF('WL &amp; Q'!C102="","",'WL &amp; Q'!C102)</f>
        <v>4.13</v>
      </c>
      <c r="C102" s="5">
        <f t="shared" si="3"/>
        <v>351.82243339999997</v>
      </c>
      <c r="D102" s="4">
        <f>IF('WL &amp; Q'!E102="","",'WL &amp; Q'!E102)</f>
        <v>0</v>
      </c>
      <c r="E102" s="8">
        <v>7</v>
      </c>
      <c r="F102" s="8">
        <v>8</v>
      </c>
      <c r="G102" s="8">
        <v>10</v>
      </c>
    </row>
    <row r="103" spans="1:7" x14ac:dyDescent="0.3">
      <c r="A103" s="1">
        <f>'WL &amp; Q'!A103</f>
        <v>46236.12499999976</v>
      </c>
      <c r="B103" s="4">
        <f>IF('WL &amp; Q'!C103="","",'WL &amp; Q'!C103)</f>
        <v>4.05</v>
      </c>
      <c r="C103" s="5">
        <f t="shared" si="3"/>
        <v>340.94121739999991</v>
      </c>
      <c r="D103" s="4">
        <f>IF('WL &amp; Q'!E103="","",'WL &amp; Q'!E103)</f>
        <v>0</v>
      </c>
      <c r="E103" s="8">
        <v>7</v>
      </c>
      <c r="F103" s="8">
        <v>8</v>
      </c>
      <c r="G103" s="8">
        <v>10</v>
      </c>
    </row>
    <row r="104" spans="1:7" x14ac:dyDescent="0.3">
      <c r="A104" s="1">
        <f>'WL &amp; Q'!A104</f>
        <v>46236.166666666424</v>
      </c>
      <c r="B104" s="4">
        <f>IF('WL &amp; Q'!C104="","",'WL &amp; Q'!C104)</f>
        <v>3.81</v>
      </c>
      <c r="C104" s="5">
        <f t="shared" si="3"/>
        <v>309.31086860000005</v>
      </c>
      <c r="D104" s="4">
        <f>IF('WL &amp; Q'!E104="","",'WL &amp; Q'!E104)</f>
        <v>0</v>
      </c>
      <c r="E104" s="8">
        <v>7</v>
      </c>
      <c r="F104" s="8">
        <v>8</v>
      </c>
      <c r="G104" s="8">
        <v>10</v>
      </c>
    </row>
    <row r="105" spans="1:7" x14ac:dyDescent="0.3">
      <c r="A105" s="1">
        <f>'WL &amp; Q'!A105</f>
        <v>46236.208333333088</v>
      </c>
      <c r="B105" s="4">
        <f>IF('WL &amp; Q'!C105="","",'WL &amp; Q'!C105)</f>
        <v>3.54</v>
      </c>
      <c r="C105" s="5">
        <f t="shared" si="3"/>
        <v>275.54353999999995</v>
      </c>
      <c r="D105" s="4">
        <f>IF('WL &amp; Q'!E105="","",'WL &amp; Q'!E105)</f>
        <v>0</v>
      </c>
      <c r="E105" s="8">
        <v>7</v>
      </c>
      <c r="F105" s="8">
        <v>8</v>
      </c>
      <c r="G105" s="8">
        <v>10</v>
      </c>
    </row>
    <row r="106" spans="1:7" x14ac:dyDescent="0.3">
      <c r="A106" s="1">
        <f>'WL &amp; Q'!A106</f>
        <v>46236.249999999753</v>
      </c>
      <c r="B106" s="4">
        <f>IF('WL &amp; Q'!C106="","",'WL &amp; Q'!C106)</f>
        <v>3.14</v>
      </c>
      <c r="C106" s="5">
        <f t="shared" si="3"/>
        <v>233.22909215584443</v>
      </c>
      <c r="D106" s="4">
        <f>IF('WL &amp; Q'!E106="","",'WL &amp; Q'!E106)</f>
        <v>1</v>
      </c>
      <c r="E106" s="8">
        <v>7</v>
      </c>
      <c r="F106" s="8">
        <v>8</v>
      </c>
      <c r="G106" s="8">
        <v>10</v>
      </c>
    </row>
    <row r="107" spans="1:7" x14ac:dyDescent="0.3">
      <c r="A107" s="1">
        <f>'WL &amp; Q'!A107</f>
        <v>46236.291666666417</v>
      </c>
      <c r="B107" s="4">
        <f>IF('WL &amp; Q'!C107="","",'WL &amp; Q'!C107)</f>
        <v>2.74</v>
      </c>
      <c r="C107" s="5">
        <f t="shared" si="3"/>
        <v>193.15775974510467</v>
      </c>
      <c r="D107" s="4">
        <f>IF('WL &amp; Q'!E107="","",'WL &amp; Q'!E107)</f>
        <v>0</v>
      </c>
      <c r="E107" s="8">
        <v>7</v>
      </c>
      <c r="F107" s="8">
        <v>8</v>
      </c>
      <c r="G107" s="8">
        <v>10</v>
      </c>
    </row>
    <row r="108" spans="1:7" x14ac:dyDescent="0.3">
      <c r="A108" s="1">
        <f>'WL &amp; Q'!A108</f>
        <v>46236.333333333081</v>
      </c>
      <c r="B108" s="4">
        <f>IF('WL &amp; Q'!C108="","",'WL &amp; Q'!C108)</f>
        <v>2.59</v>
      </c>
      <c r="C108" s="5">
        <f t="shared" si="3"/>
        <v>178.90523160238175</v>
      </c>
      <c r="D108" s="4">
        <f>IF('WL &amp; Q'!E108="","",'WL &amp; Q'!E108)</f>
        <v>0</v>
      </c>
      <c r="E108" s="8">
        <v>7</v>
      </c>
      <c r="F108" s="8">
        <v>8</v>
      </c>
      <c r="G108" s="8">
        <v>10</v>
      </c>
    </row>
    <row r="109" spans="1:7" x14ac:dyDescent="0.3">
      <c r="A109" s="1">
        <f>'WL &amp; Q'!A109</f>
        <v>46236.374999999745</v>
      </c>
      <c r="B109" s="4">
        <f>IF('WL &amp; Q'!C109="","",'WL &amp; Q'!C109)</f>
        <v>2.44</v>
      </c>
      <c r="C109" s="5">
        <f t="shared" si="3"/>
        <v>165.0856912090893</v>
      </c>
      <c r="D109" s="4">
        <f>IF('WL &amp; Q'!E109="","",'WL &amp; Q'!E109)</f>
        <v>0</v>
      </c>
      <c r="E109" s="8">
        <v>7</v>
      </c>
      <c r="F109" s="8">
        <v>8</v>
      </c>
      <c r="G109" s="8">
        <v>10</v>
      </c>
    </row>
    <row r="110" spans="1:7" x14ac:dyDescent="0.3">
      <c r="A110" s="1">
        <f>'WL &amp; Q'!A110</f>
        <v>46236.41666666641</v>
      </c>
      <c r="B110" s="4">
        <f>IF('WL &amp; Q'!C110="","",'WL &amp; Q'!C110)</f>
        <v>2.2599999999999998</v>
      </c>
      <c r="C110" s="5">
        <f t="shared" si="3"/>
        <v>149.0843982876942</v>
      </c>
      <c r="D110" s="4">
        <f>IF('WL &amp; Q'!E110="","",'WL &amp; Q'!E110)</f>
        <v>0</v>
      </c>
      <c r="E110" s="8">
        <v>7</v>
      </c>
      <c r="F110" s="8">
        <v>8</v>
      </c>
      <c r="G110" s="8">
        <v>10</v>
      </c>
    </row>
    <row r="111" spans="1:7" x14ac:dyDescent="0.3">
      <c r="A111" s="1">
        <f>'WL &amp; Q'!A111</f>
        <v>46236.458333333074</v>
      </c>
      <c r="B111" s="4">
        <f>IF('WL &amp; Q'!C111="","",'WL &amp; Q'!C111)</f>
        <v>2.17</v>
      </c>
      <c r="C111" s="5">
        <f t="shared" si="3"/>
        <v>141.32595686180622</v>
      </c>
      <c r="D111" s="4">
        <f>IF('WL &amp; Q'!E111="","",'WL &amp; Q'!E111)</f>
        <v>0</v>
      </c>
      <c r="E111" s="8">
        <v>7</v>
      </c>
      <c r="F111" s="8">
        <v>8</v>
      </c>
      <c r="G111" s="8">
        <v>10</v>
      </c>
    </row>
    <row r="112" spans="1:7" x14ac:dyDescent="0.3">
      <c r="A112" s="1">
        <f>'WL &amp; Q'!A112</f>
        <v>46236.499999999738</v>
      </c>
      <c r="B112" s="4">
        <f>IF('WL &amp; Q'!C112="","",'WL &amp; Q'!C112)</f>
        <v>2.06</v>
      </c>
      <c r="C112" s="5">
        <f t="shared" si="3"/>
        <v>132.06622946212141</v>
      </c>
      <c r="D112" s="4">
        <f>IF('WL &amp; Q'!E112="","",'WL &amp; Q'!E112)</f>
        <v>0</v>
      </c>
      <c r="E112" s="8">
        <v>7</v>
      </c>
      <c r="F112" s="8">
        <v>8</v>
      </c>
      <c r="G112" s="8">
        <v>10</v>
      </c>
    </row>
    <row r="113" spans="1:7" x14ac:dyDescent="0.3">
      <c r="A113" s="1">
        <f>'WL &amp; Q'!A113</f>
        <v>46236.541666666402</v>
      </c>
      <c r="B113" s="4">
        <f>IF('WL &amp; Q'!C113="","",'WL &amp; Q'!C113)</f>
        <v>1.97</v>
      </c>
      <c r="C113" s="5">
        <f t="shared" si="3"/>
        <v>124.67472638906467</v>
      </c>
      <c r="D113" s="4">
        <f>IF('WL &amp; Q'!E113="","",'WL &amp; Q'!E113)</f>
        <v>0</v>
      </c>
      <c r="E113" s="8">
        <v>7</v>
      </c>
      <c r="F113" s="8">
        <v>8</v>
      </c>
      <c r="G113" s="8">
        <v>10</v>
      </c>
    </row>
    <row r="114" spans="1:7" x14ac:dyDescent="0.3">
      <c r="A114" s="1">
        <f>'WL &amp; Q'!A114</f>
        <v>46236.583333333067</v>
      </c>
      <c r="B114" s="4">
        <f>IF('WL &amp; Q'!C114="","",'WL &amp; Q'!C114)</f>
        <v>1.91</v>
      </c>
      <c r="C114" s="5">
        <f t="shared" si="3"/>
        <v>119.84047202109221</v>
      </c>
      <c r="D114" s="4">
        <f>IF('WL &amp; Q'!E114="","",'WL &amp; Q'!E114)</f>
        <v>0</v>
      </c>
      <c r="E114" s="8">
        <v>7</v>
      </c>
      <c r="F114" s="8">
        <v>8</v>
      </c>
      <c r="G114" s="8">
        <v>10</v>
      </c>
    </row>
    <row r="115" spans="1:7" x14ac:dyDescent="0.3">
      <c r="A115" s="1">
        <f>'WL &amp; Q'!A115</f>
        <v>46236.624999999731</v>
      </c>
      <c r="B115" s="4">
        <f>IF('WL &amp; Q'!C115="","",'WL &amp; Q'!C115)</f>
        <v>1.86</v>
      </c>
      <c r="C115" s="5">
        <f t="shared" si="3"/>
        <v>115.86954980414403</v>
      </c>
      <c r="D115" s="4">
        <f>IF('WL &amp; Q'!E115="","",'WL &amp; Q'!E115)</f>
        <v>0</v>
      </c>
      <c r="E115" s="8">
        <v>7</v>
      </c>
      <c r="F115" s="8">
        <v>8</v>
      </c>
      <c r="G115" s="8">
        <v>10</v>
      </c>
    </row>
    <row r="116" spans="1:7" x14ac:dyDescent="0.3">
      <c r="A116" s="1">
        <f>'WL &amp; Q'!A116</f>
        <v>46236.666666666395</v>
      </c>
      <c r="B116" s="4">
        <f>IF('WL &amp; Q'!C116="","",'WL &amp; Q'!C116)</f>
        <v>1.82</v>
      </c>
      <c r="C116" s="5">
        <f t="shared" si="3"/>
        <v>112.73080108613257</v>
      </c>
      <c r="D116" s="4">
        <f>IF('WL &amp; Q'!E116="","",'WL &amp; Q'!E116)</f>
        <v>0</v>
      </c>
      <c r="E116" s="8">
        <v>7</v>
      </c>
      <c r="F116" s="8">
        <v>8</v>
      </c>
      <c r="G116" s="8">
        <v>10</v>
      </c>
    </row>
    <row r="117" spans="1:7" x14ac:dyDescent="0.3">
      <c r="A117" s="1">
        <f>'WL &amp; Q'!A117</f>
        <v>46236.708333333059</v>
      </c>
      <c r="B117" s="4">
        <f>IF('WL &amp; Q'!C117="","",'WL &amp; Q'!C117)</f>
        <v>1.79</v>
      </c>
      <c r="C117" s="5">
        <f t="shared" si="3"/>
        <v>110.3990300378488</v>
      </c>
      <c r="D117" s="4">
        <f>IF('WL &amp; Q'!E117="","",'WL &amp; Q'!E117)</f>
        <v>0</v>
      </c>
      <c r="E117" s="8">
        <v>7</v>
      </c>
      <c r="F117" s="8">
        <v>8</v>
      </c>
      <c r="G117" s="8">
        <v>10</v>
      </c>
    </row>
    <row r="118" spans="1:7" x14ac:dyDescent="0.3">
      <c r="A118" s="1">
        <f>'WL &amp; Q'!A118</f>
        <v>46236.749999999724</v>
      </c>
      <c r="B118" s="4">
        <f>IF('WL &amp; Q'!C118="","",'WL &amp; Q'!C118)</f>
        <v>1.75</v>
      </c>
      <c r="C118" s="5">
        <f t="shared" si="3"/>
        <v>107.31988541764736</v>
      </c>
      <c r="D118" s="4">
        <f>IF('WL &amp; Q'!E118="","",'WL &amp; Q'!E118)</f>
        <v>0</v>
      </c>
      <c r="E118" s="8">
        <v>7</v>
      </c>
      <c r="F118" s="8">
        <v>8</v>
      </c>
      <c r="G118" s="8">
        <v>10</v>
      </c>
    </row>
    <row r="119" spans="1:7" x14ac:dyDescent="0.3">
      <c r="A119" s="1">
        <f>'WL &amp; Q'!A119</f>
        <v>46236.791666666388</v>
      </c>
      <c r="B119" s="4">
        <f>IF('WL &amp; Q'!C119="","",'WL &amp; Q'!C119)</f>
        <v>1.72</v>
      </c>
      <c r="C119" s="5">
        <f t="shared" si="3"/>
        <v>105.03305278895311</v>
      </c>
      <c r="D119" s="4">
        <f>IF('WL &amp; Q'!E119="","",'WL &amp; Q'!E119)</f>
        <v>0</v>
      </c>
      <c r="E119" s="8">
        <v>7</v>
      </c>
      <c r="F119" s="8">
        <v>8</v>
      </c>
      <c r="G119" s="8">
        <v>10</v>
      </c>
    </row>
    <row r="120" spans="1:7" x14ac:dyDescent="0.3">
      <c r="A120" s="1">
        <f>'WL &amp; Q'!A120</f>
        <v>46236.833333333052</v>
      </c>
      <c r="B120" s="4">
        <f>IF('WL &amp; Q'!C120="","",'WL &amp; Q'!C120)</f>
        <v>1.68</v>
      </c>
      <c r="C120" s="5">
        <f t="shared" si="3"/>
        <v>102.01414660788576</v>
      </c>
      <c r="D120" s="4">
        <f>IF('WL &amp; Q'!E120="","",'WL &amp; Q'!E120)</f>
        <v>0</v>
      </c>
      <c r="E120" s="8">
        <v>7</v>
      </c>
      <c r="F120" s="8">
        <v>8</v>
      </c>
      <c r="G120" s="8">
        <v>10</v>
      </c>
    </row>
    <row r="121" spans="1:7" x14ac:dyDescent="0.3">
      <c r="A121" s="1">
        <f>'WL &amp; Q'!A121</f>
        <v>46236.874999999716</v>
      </c>
      <c r="B121" s="4">
        <f>IF('WL &amp; Q'!C121="","",'WL &amp; Q'!C121)</f>
        <v>1.64</v>
      </c>
      <c r="C121" s="5">
        <f t="shared" si="3"/>
        <v>99.029957402412336</v>
      </c>
      <c r="D121" s="4">
        <f>IF('WL &amp; Q'!E121="","",'WL &amp; Q'!E121)</f>
        <v>0</v>
      </c>
      <c r="E121" s="8">
        <v>7</v>
      </c>
      <c r="F121" s="8">
        <v>8</v>
      </c>
      <c r="G121" s="8">
        <v>10</v>
      </c>
    </row>
    <row r="122" spans="1:7" x14ac:dyDescent="0.3">
      <c r="A122" s="1">
        <f>'WL &amp; Q'!A122</f>
        <v>46236.91666666638</v>
      </c>
      <c r="B122" s="4">
        <f>IF('WL &amp; Q'!C122="","",'WL &amp; Q'!C122)</f>
        <v>1.6</v>
      </c>
      <c r="C122" s="5">
        <f t="shared" si="3"/>
        <v>96.080706270293049</v>
      </c>
      <c r="D122" s="4">
        <f>IF('WL &amp; Q'!E122="","",'WL &amp; Q'!E122)</f>
        <v>0</v>
      </c>
      <c r="E122" s="8">
        <v>7</v>
      </c>
      <c r="F122" s="8">
        <v>8</v>
      </c>
      <c r="G122" s="8">
        <v>10</v>
      </c>
    </row>
    <row r="123" spans="1:7" x14ac:dyDescent="0.3">
      <c r="A123" s="1">
        <f>'WL &amp; Q'!A123</f>
        <v>46236.958333333045</v>
      </c>
      <c r="B123" s="4">
        <f>IF('WL &amp; Q'!C123="","",'WL &amp; Q'!C123)</f>
        <v>1.57</v>
      </c>
      <c r="C123" s="5">
        <f t="shared" si="3"/>
        <v>93.891832133722573</v>
      </c>
      <c r="D123" s="4">
        <f>IF('WL &amp; Q'!E123="","",'WL &amp; Q'!E123)</f>
        <v>0</v>
      </c>
      <c r="E123" s="8">
        <v>7</v>
      </c>
      <c r="F123" s="8">
        <v>8</v>
      </c>
      <c r="G123" s="8">
        <v>10</v>
      </c>
    </row>
    <row r="124" spans="1:7" x14ac:dyDescent="0.3">
      <c r="A124" s="1">
        <f>'WL &amp; Q'!A124</f>
        <v>46236.999999999709</v>
      </c>
      <c r="B124" s="4">
        <f>IF('WL &amp; Q'!C124="","",'WL &amp; Q'!C124)</f>
        <v>1.55</v>
      </c>
      <c r="C124" s="5">
        <f t="shared" si="3"/>
        <v>92.443619779294721</v>
      </c>
      <c r="D124" s="4">
        <f>IF('WL &amp; Q'!E124="","",'WL &amp; Q'!E124)</f>
        <v>0</v>
      </c>
      <c r="E124" s="8">
        <v>7</v>
      </c>
      <c r="F124" s="8">
        <v>8</v>
      </c>
      <c r="G124" s="8">
        <v>10</v>
      </c>
    </row>
    <row r="125" spans="1:7" x14ac:dyDescent="0.3">
      <c r="A125" s="1">
        <f>'WL &amp; Q'!A125</f>
        <v>46237.041666666373</v>
      </c>
      <c r="B125" s="4">
        <f>IF('WL &amp; Q'!C125="","",'WL &amp; Q'!C125)</f>
        <v>1.54</v>
      </c>
      <c r="C125" s="5">
        <f t="shared" si="3"/>
        <v>91.722835717458608</v>
      </c>
      <c r="D125" s="4">
        <f>IF('WL &amp; Q'!E125="","",'WL &amp; Q'!E125)</f>
        <v>0</v>
      </c>
      <c r="E125" s="8">
        <v>7</v>
      </c>
      <c r="F125" s="8">
        <v>8</v>
      </c>
      <c r="G125" s="8">
        <v>10</v>
      </c>
    </row>
    <row r="126" spans="1:7" x14ac:dyDescent="0.3">
      <c r="A126" s="1">
        <f>'WL &amp; Q'!A126</f>
        <v>46237.083333333037</v>
      </c>
      <c r="B126" s="4">
        <f>IF('WL &amp; Q'!C126="","",'WL &amp; Q'!C126)</f>
        <v>1.57</v>
      </c>
      <c r="C126" s="5">
        <f t="shared" si="3"/>
        <v>93.891832133722573</v>
      </c>
      <c r="D126" s="4">
        <f>IF('WL &amp; Q'!E126="","",'WL &amp; Q'!E126)</f>
        <v>0</v>
      </c>
      <c r="E126" s="8">
        <v>7</v>
      </c>
      <c r="F126" s="8">
        <v>8</v>
      </c>
      <c r="G126" s="8">
        <v>10</v>
      </c>
    </row>
    <row r="127" spans="1:7" x14ac:dyDescent="0.3">
      <c r="A127" s="1">
        <f>'WL &amp; Q'!A127</f>
        <v>46237.124999999702</v>
      </c>
      <c r="B127" s="4">
        <f>IF('WL &amp; Q'!C127="","",'WL &amp; Q'!C127)</f>
        <v>1.64</v>
      </c>
      <c r="C127" s="5">
        <f t="shared" si="3"/>
        <v>99.029957402412336</v>
      </c>
      <c r="D127" s="4">
        <f>IF('WL &amp; Q'!E127="","",'WL &amp; Q'!E127)</f>
        <v>0</v>
      </c>
      <c r="E127" s="8">
        <v>7</v>
      </c>
      <c r="F127" s="8">
        <v>8</v>
      </c>
      <c r="G127" s="8">
        <v>10</v>
      </c>
    </row>
    <row r="128" spans="1:7" x14ac:dyDescent="0.3">
      <c r="A128" s="1">
        <f>'WL &amp; Q'!A128</f>
        <v>46237.166666666366</v>
      </c>
      <c r="B128" s="4">
        <f>IF('WL &amp; Q'!C128="","",'WL &amp; Q'!C128)</f>
        <v>1.87</v>
      </c>
      <c r="C128" s="5">
        <f t="shared" si="3"/>
        <v>116.65952345965967</v>
      </c>
      <c r="D128" s="4">
        <f>IF('WL &amp; Q'!E128="","",'WL &amp; Q'!E128)</f>
        <v>1.2</v>
      </c>
      <c r="E128" s="8">
        <v>7</v>
      </c>
      <c r="F128" s="8">
        <v>8</v>
      </c>
      <c r="G128" s="8">
        <v>10</v>
      </c>
    </row>
    <row r="129" spans="1:7" x14ac:dyDescent="0.3">
      <c r="A129" s="1">
        <f>'WL &amp; Q'!A129</f>
        <v>46237.20833333303</v>
      </c>
      <c r="B129" s="4">
        <f>IF('WL &amp; Q'!C129="","",'WL &amp; Q'!C129)</f>
        <v>2.21</v>
      </c>
      <c r="C129" s="5">
        <f t="shared" si="3"/>
        <v>144.75402768885613</v>
      </c>
      <c r="D129" s="4">
        <f>IF('WL &amp; Q'!E129="","",'WL &amp; Q'!E129)</f>
        <v>0</v>
      </c>
      <c r="E129" s="8">
        <v>7</v>
      </c>
      <c r="F129" s="8">
        <v>8</v>
      </c>
      <c r="G129" s="8">
        <v>10</v>
      </c>
    </row>
    <row r="130" spans="1:7" x14ac:dyDescent="0.3">
      <c r="A130" s="1">
        <f>'WL &amp; Q'!A130</f>
        <v>46237.249999999694</v>
      </c>
      <c r="B130" s="4">
        <f>IF('WL &amp; Q'!C130="","",'WL &amp; Q'!C130)</f>
        <v>3.4</v>
      </c>
      <c r="C130" s="5">
        <f t="shared" si="3"/>
        <v>260.84294740927834</v>
      </c>
      <c r="D130" s="4">
        <f>IF('WL &amp; Q'!E130="","",'WL &amp; Q'!E130)</f>
        <v>1</v>
      </c>
      <c r="E130" s="8">
        <v>7</v>
      </c>
      <c r="F130" s="8">
        <v>8</v>
      </c>
      <c r="G130" s="8">
        <v>10</v>
      </c>
    </row>
    <row r="131" spans="1:7" x14ac:dyDescent="0.3">
      <c r="A131" s="1">
        <f>'WL &amp; Q'!A131</f>
        <v>46237.291666666359</v>
      </c>
      <c r="B131" s="4">
        <f>IF('WL &amp; Q'!C131="","",'WL &amp; Q'!C131)</f>
        <v>4.0199999999999996</v>
      </c>
      <c r="C131" s="5">
        <f t="shared" si="3"/>
        <v>336.90430160000005</v>
      </c>
      <c r="D131" s="4">
        <f>IF('WL &amp; Q'!E131="","",'WL &amp; Q'!E131)</f>
        <v>0.5</v>
      </c>
      <c r="E131" s="8">
        <v>7</v>
      </c>
      <c r="F131" s="8">
        <v>8</v>
      </c>
      <c r="G131" s="8">
        <v>10</v>
      </c>
    </row>
    <row r="132" spans="1:7" x14ac:dyDescent="0.3">
      <c r="A132" s="1">
        <f>'WL &amp; Q'!A132</f>
        <v>46237.333333333023</v>
      </c>
      <c r="B132" s="4">
        <f>IF('WL &amp; Q'!C132="","",'WL &amp; Q'!C132)</f>
        <v>4.45</v>
      </c>
      <c r="C132" s="5">
        <f t="shared" si="3"/>
        <v>397.03612939999999</v>
      </c>
      <c r="D132" s="4">
        <f>IF('WL &amp; Q'!E132="","",'WL &amp; Q'!E132)</f>
        <v>0</v>
      </c>
      <c r="E132" s="8">
        <v>7</v>
      </c>
      <c r="F132" s="8">
        <v>8</v>
      </c>
      <c r="G132" s="8">
        <v>10</v>
      </c>
    </row>
    <row r="133" spans="1:7" x14ac:dyDescent="0.3">
      <c r="A133" s="1">
        <f>'WL &amp; Q'!A133</f>
        <v>46237.374999999687</v>
      </c>
      <c r="B133" s="4">
        <f>IF('WL &amp; Q'!C133="","",'WL &amp; Q'!C133)</f>
        <v>4.7699999999999996</v>
      </c>
      <c r="C133" s="5">
        <f t="shared" si="3"/>
        <v>444.95195660000002</v>
      </c>
      <c r="D133" s="4">
        <f>IF('WL &amp; Q'!E133="","",'WL &amp; Q'!E133)</f>
        <v>0</v>
      </c>
      <c r="E133" s="8">
        <v>7</v>
      </c>
      <c r="F133" s="8">
        <v>8</v>
      </c>
      <c r="G133" s="8">
        <v>10</v>
      </c>
    </row>
    <row r="134" spans="1:7" x14ac:dyDescent="0.3">
      <c r="A134" s="1">
        <f>'WL &amp; Q'!A134</f>
        <v>46237.416666666351</v>
      </c>
      <c r="B134" s="4">
        <f>IF('WL &amp; Q'!C134="","",'WL &amp; Q'!C134)</f>
        <v>4.97</v>
      </c>
      <c r="C134" s="5">
        <f t="shared" ref="C134:C197" si="4">IF(B134="","",IF((B134+0.56)&gt;4,13.194*(B134+0.56)^2+13.311*(B134+0.56)-0.8227,27.012*(B134+0.56)^1.6477))</f>
        <v>476.27152459999991</v>
      </c>
      <c r="D134" s="4">
        <f>IF('WL &amp; Q'!E134="","",'WL &amp; Q'!E134)</f>
        <v>0</v>
      </c>
      <c r="E134" s="8">
        <v>7</v>
      </c>
      <c r="F134" s="8">
        <v>8</v>
      </c>
      <c r="G134" s="8">
        <v>10</v>
      </c>
    </row>
    <row r="135" spans="1:7" x14ac:dyDescent="0.3">
      <c r="A135" s="1">
        <f>'WL &amp; Q'!A135</f>
        <v>46237.458333333016</v>
      </c>
      <c r="B135" s="4">
        <f>IF('WL &amp; Q'!C135="","",'WL &amp; Q'!C135)</f>
        <v>5.1100000000000003</v>
      </c>
      <c r="C135" s="5">
        <f t="shared" si="4"/>
        <v>498.82325659999998</v>
      </c>
      <c r="D135" s="4">
        <f>IF('WL &amp; Q'!E135="","",'WL &amp; Q'!E135)</f>
        <v>0</v>
      </c>
      <c r="E135" s="8">
        <v>7</v>
      </c>
      <c r="F135" s="8">
        <v>8</v>
      </c>
      <c r="G135" s="8">
        <v>10</v>
      </c>
    </row>
    <row r="136" spans="1:7" x14ac:dyDescent="0.3">
      <c r="A136" s="1">
        <f>'WL &amp; Q'!A136</f>
        <v>46237.49999999968</v>
      </c>
      <c r="B136" s="4">
        <f>IF('WL &amp; Q'!C136="","",'WL &amp; Q'!C136)</f>
        <v>5.18</v>
      </c>
      <c r="C136" s="5">
        <f t="shared" si="4"/>
        <v>510.29307440000008</v>
      </c>
      <c r="D136" s="4">
        <f>IF('WL &amp; Q'!E136="","",'WL &amp; Q'!E136)</f>
        <v>0</v>
      </c>
      <c r="E136" s="8">
        <v>7</v>
      </c>
      <c r="F136" s="8">
        <v>8</v>
      </c>
      <c r="G136" s="8">
        <v>10</v>
      </c>
    </row>
    <row r="137" spans="1:7" x14ac:dyDescent="0.3">
      <c r="A137" s="1">
        <f>'WL &amp; Q'!A137</f>
        <v>46237.541666666344</v>
      </c>
      <c r="B137" s="4">
        <f>IF('WL &amp; Q'!C137="","",'WL &amp; Q'!C137)</f>
        <v>5.2</v>
      </c>
      <c r="C137" s="5">
        <f t="shared" si="4"/>
        <v>513.59391440000002</v>
      </c>
      <c r="D137" s="4">
        <f>IF('WL &amp; Q'!E137="","",'WL &amp; Q'!E137)</f>
        <v>2</v>
      </c>
      <c r="E137" s="8">
        <v>7</v>
      </c>
      <c r="F137" s="8">
        <v>8</v>
      </c>
      <c r="G137" s="8">
        <v>10</v>
      </c>
    </row>
    <row r="138" spans="1:7" x14ac:dyDescent="0.3">
      <c r="A138" s="1">
        <f>'WL &amp; Q'!A138</f>
        <v>46237.583333333008</v>
      </c>
      <c r="B138" s="4">
        <f>IF('WL &amp; Q'!C138="","",'WL &amp; Q'!C138)</f>
        <v>5.18</v>
      </c>
      <c r="C138" s="5">
        <f t="shared" si="4"/>
        <v>510.29307440000008</v>
      </c>
      <c r="D138" s="4">
        <f>IF('WL &amp; Q'!E138="","",'WL &amp; Q'!E138)</f>
        <v>0.8</v>
      </c>
      <c r="E138" s="8">
        <v>7</v>
      </c>
      <c r="F138" s="8">
        <v>8</v>
      </c>
      <c r="G138" s="8">
        <v>10</v>
      </c>
    </row>
    <row r="139" spans="1:7" x14ac:dyDescent="0.3">
      <c r="A139" s="1">
        <f>'WL &amp; Q'!A139</f>
        <v>46237.624999999673</v>
      </c>
      <c r="B139" s="4">
        <f>IF('WL &amp; Q'!C139="","",'WL &amp; Q'!C139)</f>
        <v>5.18</v>
      </c>
      <c r="C139" s="5">
        <f t="shared" si="4"/>
        <v>510.29307440000008</v>
      </c>
      <c r="D139" s="4">
        <f>IF('WL &amp; Q'!E139="","",'WL &amp; Q'!E139)</f>
        <v>0.5</v>
      </c>
      <c r="E139" s="8">
        <v>7</v>
      </c>
      <c r="F139" s="8">
        <v>8</v>
      </c>
      <c r="G139" s="8">
        <v>10</v>
      </c>
    </row>
    <row r="140" spans="1:7" x14ac:dyDescent="0.3">
      <c r="A140" s="1">
        <f>'WL &amp; Q'!A140</f>
        <v>46237.666666666337</v>
      </c>
      <c r="B140" s="4">
        <f>IF('WL &amp; Q'!C140="","",'WL &amp; Q'!C140)</f>
        <v>5.32</v>
      </c>
      <c r="C140" s="5">
        <f t="shared" si="4"/>
        <v>533.62061360000007</v>
      </c>
      <c r="D140" s="4">
        <f>IF('WL &amp; Q'!E140="","",'WL &amp; Q'!E140)</f>
        <v>0.3</v>
      </c>
      <c r="E140" s="8">
        <v>7</v>
      </c>
      <c r="F140" s="8">
        <v>8</v>
      </c>
      <c r="G140" s="8">
        <v>10</v>
      </c>
    </row>
    <row r="141" spans="1:7" x14ac:dyDescent="0.3">
      <c r="A141" s="1">
        <f>'WL &amp; Q'!A141</f>
        <v>46237.708333333001</v>
      </c>
      <c r="B141" s="4">
        <f>IF('WL &amp; Q'!C141="","",'WL &amp; Q'!C141)</f>
        <v>5.55</v>
      </c>
      <c r="C141" s="5">
        <f t="shared" si="4"/>
        <v>573.06723739999984</v>
      </c>
      <c r="D141" s="4">
        <f>IF('WL &amp; Q'!E141="","",'WL &amp; Q'!E141)</f>
        <v>0.2</v>
      </c>
      <c r="E141" s="8">
        <v>7</v>
      </c>
      <c r="F141" s="8">
        <v>8</v>
      </c>
      <c r="G141" s="8">
        <v>10</v>
      </c>
    </row>
    <row r="142" spans="1:7" x14ac:dyDescent="0.3">
      <c r="A142" s="1">
        <f>'WL &amp; Q'!A142</f>
        <v>46237.749999999665</v>
      </c>
      <c r="B142" s="4">
        <f>IF('WL &amp; Q'!C142="","",'WL &amp; Q'!C142)</f>
        <v>5.8</v>
      </c>
      <c r="C142" s="5">
        <f t="shared" si="4"/>
        <v>617.52728239999988</v>
      </c>
      <c r="D142" s="4">
        <f>IF('WL &amp; Q'!E142="","",'WL &amp; Q'!E142)</f>
        <v>0.3</v>
      </c>
      <c r="E142" s="8">
        <v>7</v>
      </c>
      <c r="F142" s="8">
        <v>8</v>
      </c>
      <c r="G142" s="8">
        <v>10</v>
      </c>
    </row>
    <row r="143" spans="1:7" x14ac:dyDescent="0.3">
      <c r="A143" s="1">
        <f>'WL &amp; Q'!A143</f>
        <v>46237.79166666633</v>
      </c>
      <c r="B143" s="4">
        <f>IF('WL &amp; Q'!C143="","",'WL &amp; Q'!C143)</f>
        <v>6.09</v>
      </c>
      <c r="C143" s="5">
        <f t="shared" si="4"/>
        <v>671.16711499999997</v>
      </c>
      <c r="D143" s="4">
        <f>IF('WL &amp; Q'!E143="","",'WL &amp; Q'!E143)</f>
        <v>0</v>
      </c>
      <c r="E143" s="8">
        <v>7</v>
      </c>
      <c r="F143" s="8">
        <v>8</v>
      </c>
      <c r="G143" s="8">
        <v>10</v>
      </c>
    </row>
    <row r="144" spans="1:7" x14ac:dyDescent="0.3">
      <c r="A144" s="1">
        <f>'WL &amp; Q'!A144</f>
        <v>46237.833333332994</v>
      </c>
      <c r="B144" s="4">
        <f>IF('WL &amp; Q'!C144="","",'WL &amp; Q'!C144)</f>
        <v>6.35</v>
      </c>
      <c r="C144" s="5">
        <f t="shared" si="4"/>
        <v>721.14474140000004</v>
      </c>
      <c r="D144" s="4">
        <f>IF('WL &amp; Q'!E144="","",'WL &amp; Q'!E144)</f>
        <v>0</v>
      </c>
      <c r="E144" s="8">
        <v>7</v>
      </c>
      <c r="F144" s="8">
        <v>8</v>
      </c>
      <c r="G144" s="8">
        <v>10</v>
      </c>
    </row>
    <row r="145" spans="1:7" x14ac:dyDescent="0.3">
      <c r="A145" s="1">
        <f>'WL &amp; Q'!A145</f>
        <v>46237.874999999658</v>
      </c>
      <c r="B145" s="4">
        <f>IF('WL &amp; Q'!C145="","",'WL &amp; Q'!C145)</f>
        <v>6.57</v>
      </c>
      <c r="C145" s="5">
        <f t="shared" si="4"/>
        <v>764.8267886000001</v>
      </c>
      <c r="D145" s="4">
        <f>IF('WL &amp; Q'!E145="","",'WL &amp; Q'!E145)</f>
        <v>0</v>
      </c>
      <c r="E145" s="8">
        <v>7</v>
      </c>
      <c r="F145" s="8">
        <v>8</v>
      </c>
      <c r="G145" s="8">
        <v>10</v>
      </c>
    </row>
    <row r="146" spans="1:7" x14ac:dyDescent="0.3">
      <c r="A146" s="1">
        <f>'WL &amp; Q'!A146</f>
        <v>46237.916666666322</v>
      </c>
      <c r="B146" s="4">
        <f>IF('WL &amp; Q'!C146="","",'WL &amp; Q'!C146)</f>
        <v>6.77</v>
      </c>
      <c r="C146" s="5">
        <f t="shared" si="4"/>
        <v>805.6460366</v>
      </c>
      <c r="D146" s="4">
        <f>IF('WL &amp; Q'!E146="","",'WL &amp; Q'!E146)</f>
        <v>0</v>
      </c>
      <c r="E146" s="8">
        <v>7</v>
      </c>
      <c r="F146" s="8">
        <v>8</v>
      </c>
      <c r="G146" s="8">
        <v>10</v>
      </c>
    </row>
    <row r="147" spans="1:7" x14ac:dyDescent="0.3">
      <c r="A147" s="1">
        <f>'WL &amp; Q'!A147</f>
        <v>46237.958333332987</v>
      </c>
      <c r="B147" s="4">
        <f>IF('WL &amp; Q'!C147="","",'WL &amp; Q'!C147)</f>
        <v>6.91</v>
      </c>
      <c r="C147" s="5">
        <f t="shared" si="4"/>
        <v>834.84754460000022</v>
      </c>
      <c r="D147" s="4">
        <f>IF('WL &amp; Q'!E147="","",'WL &amp; Q'!E147)</f>
        <v>0</v>
      </c>
      <c r="E147" s="8">
        <v>7</v>
      </c>
      <c r="F147" s="8">
        <v>8</v>
      </c>
      <c r="G147" s="8">
        <v>10</v>
      </c>
    </row>
    <row r="148" spans="1:7" x14ac:dyDescent="0.3">
      <c r="A148" s="1">
        <f>'WL &amp; Q'!A148</f>
        <v>46237.999999999651</v>
      </c>
      <c r="B148" s="4">
        <f>IF('WL &amp; Q'!C148="","",'WL &amp; Q'!C148)</f>
        <v>7.01</v>
      </c>
      <c r="C148" s="5">
        <f t="shared" si="4"/>
        <v>856.02242060000003</v>
      </c>
      <c r="D148" s="4">
        <f>IF('WL &amp; Q'!E148="","",'WL &amp; Q'!E148)</f>
        <v>0</v>
      </c>
      <c r="E148" s="8">
        <v>7</v>
      </c>
      <c r="F148" s="8">
        <v>8</v>
      </c>
      <c r="G148" s="8">
        <v>10</v>
      </c>
    </row>
    <row r="149" spans="1:7" x14ac:dyDescent="0.3">
      <c r="A149" s="1">
        <f>'WL &amp; Q'!A149</f>
        <v>46238.041666666315</v>
      </c>
      <c r="B149" s="4">
        <f>IF('WL &amp; Q'!C149="","",'WL &amp; Q'!C149)</f>
        <v>7.1</v>
      </c>
      <c r="C149" s="5">
        <f t="shared" si="4"/>
        <v>875.3054264000001</v>
      </c>
      <c r="D149" s="4">
        <f>IF('WL &amp; Q'!E149="","",'WL &amp; Q'!E149)</f>
        <v>0</v>
      </c>
      <c r="E149" s="8">
        <v>7</v>
      </c>
      <c r="F149" s="8">
        <v>8</v>
      </c>
      <c r="G149" s="8">
        <v>10</v>
      </c>
    </row>
    <row r="150" spans="1:7" x14ac:dyDescent="0.3">
      <c r="A150" s="1">
        <f>'WL &amp; Q'!A150</f>
        <v>46238.083333332979</v>
      </c>
      <c r="B150" s="4">
        <f>IF('WL &amp; Q'!C150="","",'WL &amp; Q'!C150)</f>
        <v>7.15</v>
      </c>
      <c r="C150" s="5">
        <f t="shared" si="4"/>
        <v>886.11056540000016</v>
      </c>
      <c r="D150" s="4">
        <f>IF('WL &amp; Q'!E150="","",'WL &amp; Q'!E150)</f>
        <v>0</v>
      </c>
      <c r="E150" s="8">
        <v>7</v>
      </c>
      <c r="F150" s="8">
        <v>8</v>
      </c>
      <c r="G150" s="8">
        <v>10</v>
      </c>
    </row>
    <row r="151" spans="1:7" x14ac:dyDescent="0.3">
      <c r="A151" s="1">
        <f>'WL &amp; Q'!A151</f>
        <v>46238.124999999643</v>
      </c>
      <c r="B151" s="4">
        <f>IF('WL &amp; Q'!C151="","",'WL &amp; Q'!C151)</f>
        <v>7.17</v>
      </c>
      <c r="C151" s="5">
        <f t="shared" si="4"/>
        <v>890.45109260000004</v>
      </c>
      <c r="D151" s="4">
        <f>IF('WL &amp; Q'!E151="","",'WL &amp; Q'!E151)</f>
        <v>0</v>
      </c>
      <c r="E151" s="8">
        <v>7</v>
      </c>
      <c r="F151" s="8">
        <v>8</v>
      </c>
      <c r="G151" s="8">
        <v>10</v>
      </c>
    </row>
    <row r="152" spans="1:7" x14ac:dyDescent="0.3">
      <c r="A152" s="1">
        <f>'WL &amp; Q'!A152</f>
        <v>46238.166666666308</v>
      </c>
      <c r="B152" s="4">
        <f>IF('WL &amp; Q'!C152="","",'WL &amp; Q'!C152)</f>
        <v>7.15</v>
      </c>
      <c r="C152" s="5">
        <f t="shared" si="4"/>
        <v>886.11056540000016</v>
      </c>
      <c r="D152" s="4">
        <f>IF('WL &amp; Q'!E152="","",'WL &amp; Q'!E152)</f>
        <v>0.3</v>
      </c>
      <c r="E152" s="8">
        <v>7</v>
      </c>
      <c r="F152" s="8">
        <v>8</v>
      </c>
      <c r="G152" s="8">
        <v>10</v>
      </c>
    </row>
    <row r="153" spans="1:7" x14ac:dyDescent="0.3">
      <c r="A153" s="1">
        <f>'WL &amp; Q'!A153</f>
        <v>46238.208333332972</v>
      </c>
      <c r="B153" s="4">
        <f>IF('WL &amp; Q'!C153="","",'WL &amp; Q'!C153)</f>
        <v>7.11</v>
      </c>
      <c r="C153" s="5">
        <f t="shared" si="4"/>
        <v>877.46117659999993</v>
      </c>
      <c r="D153" s="4">
        <f>IF('WL &amp; Q'!E153="","",'WL &amp; Q'!E153)</f>
        <v>0</v>
      </c>
      <c r="E153" s="8">
        <v>7</v>
      </c>
      <c r="F153" s="8">
        <v>8</v>
      </c>
      <c r="G153" s="8">
        <v>10</v>
      </c>
    </row>
    <row r="154" spans="1:7" x14ac:dyDescent="0.3">
      <c r="A154" s="1">
        <f>'WL &amp; Q'!A154</f>
        <v>46238.249999999636</v>
      </c>
      <c r="B154" s="4">
        <f>IF('WL &amp; Q'!C154="","",'WL &amp; Q'!C154)</f>
        <v>7.04</v>
      </c>
      <c r="C154" s="5">
        <f t="shared" si="4"/>
        <v>862.42633999999998</v>
      </c>
      <c r="D154" s="4">
        <f>IF('WL &amp; Q'!E154="","",'WL &amp; Q'!E154)</f>
        <v>0</v>
      </c>
      <c r="E154" s="8">
        <v>7</v>
      </c>
      <c r="F154" s="8">
        <v>8</v>
      </c>
      <c r="G154" s="8">
        <v>10</v>
      </c>
    </row>
    <row r="155" spans="1:7" x14ac:dyDescent="0.3">
      <c r="A155" s="1">
        <f>'WL &amp; Q'!A155</f>
        <v>46238.2916666663</v>
      </c>
      <c r="B155" s="4">
        <f>IF('WL &amp; Q'!C155="","",'WL &amp; Q'!C155)</f>
        <v>6.94</v>
      </c>
      <c r="C155" s="5">
        <f t="shared" si="4"/>
        <v>841.17229999999995</v>
      </c>
      <c r="D155" s="4">
        <f>IF('WL &amp; Q'!E155="","",'WL &amp; Q'!E155)</f>
        <v>0</v>
      </c>
      <c r="E155" s="8">
        <v>7</v>
      </c>
      <c r="F155" s="8">
        <v>8</v>
      </c>
      <c r="G155" s="8">
        <v>10</v>
      </c>
    </row>
    <row r="156" spans="1:7" x14ac:dyDescent="0.3">
      <c r="A156" s="1">
        <f>'WL &amp; Q'!A156</f>
        <v>46238.333333332965</v>
      </c>
      <c r="B156" s="4">
        <f>IF('WL &amp; Q'!C156="","",'WL &amp; Q'!C156)</f>
        <v>6.85</v>
      </c>
      <c r="C156" s="5">
        <f t="shared" si="4"/>
        <v>822.26928140000007</v>
      </c>
      <c r="D156" s="4">
        <f>IF('WL &amp; Q'!E156="","",'WL &amp; Q'!E156)</f>
        <v>0</v>
      </c>
      <c r="E156" s="8">
        <v>7</v>
      </c>
      <c r="F156" s="8">
        <v>8</v>
      </c>
      <c r="G156" s="8">
        <v>10</v>
      </c>
    </row>
    <row r="157" spans="1:7" x14ac:dyDescent="0.3">
      <c r="A157" s="1">
        <f>'WL &amp; Q'!A157</f>
        <v>46238.374999999629</v>
      </c>
      <c r="B157" s="4">
        <f>IF('WL &amp; Q'!C157="","",'WL &amp; Q'!C157)</f>
        <v>6.73</v>
      </c>
      <c r="C157" s="5">
        <f t="shared" si="4"/>
        <v>797.39774540000019</v>
      </c>
      <c r="D157" s="4">
        <f>IF('WL &amp; Q'!E157="","",'WL &amp; Q'!E157)</f>
        <v>0</v>
      </c>
      <c r="E157" s="8">
        <v>7</v>
      </c>
      <c r="F157" s="8">
        <v>8</v>
      </c>
      <c r="G157" s="8">
        <v>10</v>
      </c>
    </row>
    <row r="158" spans="1:7" x14ac:dyDescent="0.3">
      <c r="A158" s="1">
        <f>'WL &amp; Q'!A158</f>
        <v>46238.416666666293</v>
      </c>
      <c r="B158" s="4">
        <f>IF('WL &amp; Q'!C158="","",'WL &amp; Q'!C158)</f>
        <v>6.61</v>
      </c>
      <c r="C158" s="5">
        <f t="shared" si="4"/>
        <v>772.90619659999993</v>
      </c>
      <c r="D158" s="4">
        <f>IF('WL &amp; Q'!E158="","",'WL &amp; Q'!E158)</f>
        <v>0</v>
      </c>
      <c r="E158" s="8">
        <v>7</v>
      </c>
      <c r="F158" s="8">
        <v>8</v>
      </c>
      <c r="G158" s="8">
        <v>10</v>
      </c>
    </row>
    <row r="159" spans="1:7" x14ac:dyDescent="0.3">
      <c r="A159" s="1">
        <f>'WL &amp; Q'!A159</f>
        <v>46238.458333332957</v>
      </c>
      <c r="B159" s="4">
        <f>IF('WL &amp; Q'!C159="","",'WL &amp; Q'!C159)</f>
        <v>6.45</v>
      </c>
      <c r="C159" s="5">
        <f t="shared" si="4"/>
        <v>740.8418893999999</v>
      </c>
      <c r="D159" s="4">
        <f>IF('WL &amp; Q'!E159="","",'WL &amp; Q'!E159)</f>
        <v>0</v>
      </c>
      <c r="E159" s="8">
        <v>7</v>
      </c>
      <c r="F159" s="8">
        <v>8</v>
      </c>
      <c r="G159" s="8">
        <v>10</v>
      </c>
    </row>
    <row r="160" spans="1:7" x14ac:dyDescent="0.3">
      <c r="A160" s="1">
        <f>'WL &amp; Q'!A160</f>
        <v>46238.499999999622</v>
      </c>
      <c r="B160" s="4">
        <f>IF('WL &amp; Q'!C160="","",'WL &amp; Q'!C160)</f>
        <v>6.28</v>
      </c>
      <c r="C160" s="5">
        <f t="shared" si="4"/>
        <v>707.51374639999995</v>
      </c>
      <c r="D160" s="4">
        <f>IF('WL &amp; Q'!E160="","",'WL &amp; Q'!E160)</f>
        <v>0</v>
      </c>
      <c r="E160" s="8">
        <v>7</v>
      </c>
      <c r="F160" s="8">
        <v>8</v>
      </c>
      <c r="G160" s="8">
        <v>10</v>
      </c>
    </row>
    <row r="161" spans="1:7" x14ac:dyDescent="0.3">
      <c r="A161" s="1">
        <f>'WL &amp; Q'!A161</f>
        <v>46238.541666666286</v>
      </c>
      <c r="B161" s="4" t="str">
        <f>IF('WL &amp; Q'!C161="","",'WL &amp; Q'!C161)</f>
        <v/>
      </c>
      <c r="C161" s="5" t="str">
        <f t="shared" si="4"/>
        <v/>
      </c>
      <c r="D161" s="4" t="str">
        <f>IF('WL &amp; Q'!E161="","",'WL &amp; Q'!E161)</f>
        <v/>
      </c>
      <c r="E161" s="8">
        <v>7</v>
      </c>
      <c r="F161" s="8">
        <v>8</v>
      </c>
      <c r="G161" s="8">
        <v>10</v>
      </c>
    </row>
    <row r="162" spans="1:7" x14ac:dyDescent="0.3">
      <c r="A162" s="1">
        <f>'WL &amp; Q'!A162</f>
        <v>46238.58333333295</v>
      </c>
      <c r="B162" s="4" t="str">
        <f>IF('WL &amp; Q'!C162="","",'WL &amp; Q'!C162)</f>
        <v/>
      </c>
      <c r="C162" s="5" t="str">
        <f t="shared" si="4"/>
        <v/>
      </c>
      <c r="D162" s="4" t="str">
        <f>IF('WL &amp; Q'!E162="","",'WL &amp; Q'!E162)</f>
        <v/>
      </c>
      <c r="E162" s="8">
        <v>7</v>
      </c>
      <c r="F162" s="8">
        <v>8</v>
      </c>
      <c r="G162" s="8">
        <v>10</v>
      </c>
    </row>
    <row r="163" spans="1:7" x14ac:dyDescent="0.3">
      <c r="A163" s="1">
        <f>'WL &amp; Q'!A163</f>
        <v>46238.624999999614</v>
      </c>
      <c r="B163" s="4" t="str">
        <f>IF('WL &amp; Q'!C163="","",'WL &amp; Q'!C163)</f>
        <v/>
      </c>
      <c r="C163" s="5" t="str">
        <f t="shared" si="4"/>
        <v/>
      </c>
      <c r="D163" s="4" t="str">
        <f>IF('WL &amp; Q'!E163="","",'WL &amp; Q'!E163)</f>
        <v/>
      </c>
      <c r="E163" s="8">
        <v>7</v>
      </c>
      <c r="F163" s="8">
        <v>8</v>
      </c>
      <c r="G163" s="8">
        <v>10</v>
      </c>
    </row>
    <row r="164" spans="1:7" x14ac:dyDescent="0.3">
      <c r="A164" s="1">
        <f>'WL &amp; Q'!A164</f>
        <v>46238.666666666279</v>
      </c>
      <c r="B164" s="4" t="str">
        <f>IF('WL &amp; Q'!C164="","",'WL &amp; Q'!C164)</f>
        <v/>
      </c>
      <c r="C164" s="5" t="str">
        <f t="shared" si="4"/>
        <v/>
      </c>
      <c r="D164" s="4" t="str">
        <f>IF('WL &amp; Q'!E164="","",'WL &amp; Q'!E164)</f>
        <v/>
      </c>
      <c r="E164" s="8">
        <v>7</v>
      </c>
      <c r="F164" s="8">
        <v>8</v>
      </c>
      <c r="G164" s="8">
        <v>10</v>
      </c>
    </row>
    <row r="165" spans="1:7" x14ac:dyDescent="0.3">
      <c r="A165" s="1">
        <f>'WL &amp; Q'!A165</f>
        <v>46238.708333332943</v>
      </c>
      <c r="B165" s="4" t="str">
        <f>IF('WL &amp; Q'!C165="","",'WL &amp; Q'!C165)</f>
        <v/>
      </c>
      <c r="C165" s="5" t="str">
        <f t="shared" si="4"/>
        <v/>
      </c>
      <c r="D165" s="4" t="str">
        <f>IF('WL &amp; Q'!E165="","",'WL &amp; Q'!E165)</f>
        <v/>
      </c>
      <c r="E165" s="8">
        <v>7</v>
      </c>
      <c r="F165" s="8">
        <v>8</v>
      </c>
      <c r="G165" s="8">
        <v>10</v>
      </c>
    </row>
    <row r="166" spans="1:7" x14ac:dyDescent="0.3">
      <c r="A166" s="1">
        <f>'WL &amp; Q'!A166</f>
        <v>46238.749999999607</v>
      </c>
      <c r="B166" s="4" t="str">
        <f>IF('WL &amp; Q'!C166="","",'WL &amp; Q'!C166)</f>
        <v/>
      </c>
      <c r="C166" s="5" t="str">
        <f t="shared" si="4"/>
        <v/>
      </c>
      <c r="D166" s="4" t="str">
        <f>IF('WL &amp; Q'!E166="","",'WL &amp; Q'!E166)</f>
        <v/>
      </c>
      <c r="E166" s="8">
        <v>7</v>
      </c>
      <c r="F166" s="8">
        <v>8</v>
      </c>
      <c r="G166" s="8">
        <v>10</v>
      </c>
    </row>
    <row r="167" spans="1:7" x14ac:dyDescent="0.3">
      <c r="A167" s="1">
        <f>'WL &amp; Q'!A167</f>
        <v>46238.791666666271</v>
      </c>
      <c r="B167" s="4" t="str">
        <f>IF('WL &amp; Q'!C167="","",'WL &amp; Q'!C167)</f>
        <v/>
      </c>
      <c r="C167" s="5" t="str">
        <f t="shared" si="4"/>
        <v/>
      </c>
      <c r="D167" s="4" t="str">
        <f>IF('WL &amp; Q'!E167="","",'WL &amp; Q'!E167)</f>
        <v/>
      </c>
      <c r="E167" s="8">
        <v>7</v>
      </c>
      <c r="F167" s="8">
        <v>8</v>
      </c>
      <c r="G167" s="8">
        <v>10</v>
      </c>
    </row>
    <row r="168" spans="1:7" x14ac:dyDescent="0.3">
      <c r="A168" s="1">
        <f>'WL &amp; Q'!A168</f>
        <v>46238.833333332936</v>
      </c>
      <c r="B168" s="4" t="str">
        <f>IF('WL &amp; Q'!C168="","",'WL &amp; Q'!C168)</f>
        <v/>
      </c>
      <c r="C168" s="5" t="str">
        <f t="shared" si="4"/>
        <v/>
      </c>
      <c r="D168" s="4" t="str">
        <f>IF('WL &amp; Q'!E168="","",'WL &amp; Q'!E168)</f>
        <v/>
      </c>
      <c r="E168" s="8">
        <v>7</v>
      </c>
      <c r="F168" s="8">
        <v>8</v>
      </c>
      <c r="G168" s="8">
        <v>10</v>
      </c>
    </row>
    <row r="169" spans="1:7" x14ac:dyDescent="0.3">
      <c r="A169" s="1">
        <f>'WL &amp; Q'!A169</f>
        <v>46238.8749999996</v>
      </c>
      <c r="B169" s="4" t="str">
        <f>IF('WL &amp; Q'!C169="","",'WL &amp; Q'!C169)</f>
        <v/>
      </c>
      <c r="C169" s="5" t="str">
        <f t="shared" si="4"/>
        <v/>
      </c>
      <c r="D169" s="4" t="str">
        <f>IF('WL &amp; Q'!E169="","",'WL &amp; Q'!E169)</f>
        <v/>
      </c>
      <c r="E169" s="8">
        <v>7</v>
      </c>
      <c r="F169" s="8">
        <v>8</v>
      </c>
      <c r="G169" s="8">
        <v>10</v>
      </c>
    </row>
    <row r="170" spans="1:7" x14ac:dyDescent="0.3">
      <c r="A170" s="1">
        <f>'WL &amp; Q'!A170</f>
        <v>46238.916666666264</v>
      </c>
      <c r="B170" s="4" t="str">
        <f>IF('WL &amp; Q'!C170="","",'WL &amp; Q'!C170)</f>
        <v/>
      </c>
      <c r="C170" s="5" t="str">
        <f t="shared" si="4"/>
        <v/>
      </c>
      <c r="D170" s="4" t="str">
        <f>IF('WL &amp; Q'!E170="","",'WL &amp; Q'!E170)</f>
        <v/>
      </c>
      <c r="E170" s="8">
        <v>7</v>
      </c>
      <c r="F170" s="8">
        <v>8</v>
      </c>
      <c r="G170" s="8">
        <v>10</v>
      </c>
    </row>
    <row r="171" spans="1:7" x14ac:dyDescent="0.3">
      <c r="A171" s="1">
        <f>'WL &amp; Q'!A171</f>
        <v>46238.958333332928</v>
      </c>
      <c r="B171" s="4" t="str">
        <f>IF('WL &amp; Q'!C171="","",'WL &amp; Q'!C171)</f>
        <v/>
      </c>
      <c r="C171" s="5" t="str">
        <f t="shared" si="4"/>
        <v/>
      </c>
      <c r="D171" s="4" t="str">
        <f>IF('WL &amp; Q'!E171="","",'WL &amp; Q'!E171)</f>
        <v/>
      </c>
      <c r="E171" s="8">
        <v>7</v>
      </c>
      <c r="F171" s="8">
        <v>8</v>
      </c>
      <c r="G171" s="8">
        <v>10</v>
      </c>
    </row>
    <row r="172" spans="1:7" x14ac:dyDescent="0.3">
      <c r="A172" s="1">
        <f>'WL &amp; Q'!A172</f>
        <v>46238.999999999593</v>
      </c>
      <c r="B172" s="4" t="str">
        <f>IF('WL &amp; Q'!C172="","",'WL &amp; Q'!C172)</f>
        <v/>
      </c>
      <c r="C172" s="5" t="str">
        <f t="shared" si="4"/>
        <v/>
      </c>
      <c r="D172" s="4" t="str">
        <f>IF('WL &amp; Q'!E172="","",'WL &amp; Q'!E172)</f>
        <v/>
      </c>
      <c r="E172" s="8">
        <v>7</v>
      </c>
      <c r="F172" s="8">
        <v>8</v>
      </c>
      <c r="G172" s="8">
        <v>10</v>
      </c>
    </row>
    <row r="173" spans="1:7" x14ac:dyDescent="0.3">
      <c r="A173" s="1">
        <f>'WL &amp; Q'!A173</f>
        <v>46239.041666666257</v>
      </c>
      <c r="B173" s="4" t="str">
        <f>IF('WL &amp; Q'!C173="","",'WL &amp; Q'!C173)</f>
        <v/>
      </c>
      <c r="C173" s="5" t="str">
        <f t="shared" si="4"/>
        <v/>
      </c>
      <c r="D173" s="4" t="str">
        <f>IF('WL &amp; Q'!E173="","",'WL &amp; Q'!E173)</f>
        <v/>
      </c>
      <c r="E173" s="8">
        <v>7</v>
      </c>
      <c r="F173" s="8">
        <v>8</v>
      </c>
      <c r="G173" s="8">
        <v>10</v>
      </c>
    </row>
    <row r="174" spans="1:7" x14ac:dyDescent="0.3">
      <c r="A174" s="1">
        <f>'WL &amp; Q'!A174</f>
        <v>46239.083333332921</v>
      </c>
      <c r="B174" s="4" t="str">
        <f>IF('WL &amp; Q'!C174="","",'WL &amp; Q'!C174)</f>
        <v/>
      </c>
      <c r="C174" s="5" t="str">
        <f t="shared" si="4"/>
        <v/>
      </c>
      <c r="D174" s="4" t="str">
        <f>IF('WL &amp; Q'!E174="","",'WL &amp; Q'!E174)</f>
        <v/>
      </c>
      <c r="E174" s="8">
        <v>7</v>
      </c>
      <c r="F174" s="8">
        <v>8</v>
      </c>
      <c r="G174" s="8">
        <v>10</v>
      </c>
    </row>
    <row r="175" spans="1:7" x14ac:dyDescent="0.3">
      <c r="A175" s="1">
        <f>'WL &amp; Q'!A175</f>
        <v>46239.124999999585</v>
      </c>
      <c r="B175" s="4" t="str">
        <f>IF('WL &amp; Q'!C175="","",'WL &amp; Q'!C175)</f>
        <v/>
      </c>
      <c r="C175" s="5" t="str">
        <f t="shared" si="4"/>
        <v/>
      </c>
      <c r="D175" s="4" t="str">
        <f>IF('WL &amp; Q'!E175="","",'WL &amp; Q'!E175)</f>
        <v/>
      </c>
      <c r="E175" s="8">
        <v>7</v>
      </c>
      <c r="F175" s="8">
        <v>8</v>
      </c>
      <c r="G175" s="8">
        <v>10</v>
      </c>
    </row>
    <row r="176" spans="1:7" x14ac:dyDescent="0.3">
      <c r="A176" s="1">
        <f>'WL &amp; Q'!A176</f>
        <v>46239.16666666625</v>
      </c>
      <c r="B176" s="4" t="str">
        <f>IF('WL &amp; Q'!C176="","",'WL &amp; Q'!C176)</f>
        <v/>
      </c>
      <c r="C176" s="5" t="str">
        <f t="shared" si="4"/>
        <v/>
      </c>
      <c r="D176" s="4" t="str">
        <f>IF('WL &amp; Q'!E176="","",'WL &amp; Q'!E176)</f>
        <v/>
      </c>
      <c r="E176" s="8">
        <v>7</v>
      </c>
      <c r="F176" s="8">
        <v>8</v>
      </c>
      <c r="G176" s="8">
        <v>10</v>
      </c>
    </row>
    <row r="177" spans="1:7" x14ac:dyDescent="0.3">
      <c r="A177" s="1">
        <f>'WL &amp; Q'!A177</f>
        <v>46239.208333332914</v>
      </c>
      <c r="B177" s="4" t="str">
        <f>IF('WL &amp; Q'!C177="","",'WL &amp; Q'!C177)</f>
        <v/>
      </c>
      <c r="C177" s="5" t="str">
        <f t="shared" si="4"/>
        <v/>
      </c>
      <c r="D177" s="4" t="str">
        <f>IF('WL &amp; Q'!E177="","",'WL &amp; Q'!E177)</f>
        <v/>
      </c>
      <c r="E177" s="8">
        <v>7</v>
      </c>
      <c r="F177" s="8">
        <v>8</v>
      </c>
      <c r="G177" s="8">
        <v>10</v>
      </c>
    </row>
    <row r="178" spans="1:7" x14ac:dyDescent="0.3">
      <c r="A178" s="1">
        <f>'WL &amp; Q'!A178</f>
        <v>46239.249999999578</v>
      </c>
      <c r="B178" s="4" t="str">
        <f>IF('WL &amp; Q'!C178="","",'WL &amp; Q'!C178)</f>
        <v/>
      </c>
      <c r="C178" s="5" t="str">
        <f t="shared" si="4"/>
        <v/>
      </c>
      <c r="D178" s="4" t="str">
        <f>IF('WL &amp; Q'!E178="","",'WL &amp; Q'!E178)</f>
        <v/>
      </c>
      <c r="E178" s="8">
        <v>7</v>
      </c>
      <c r="F178" s="8">
        <v>8</v>
      </c>
      <c r="G178" s="8">
        <v>10</v>
      </c>
    </row>
    <row r="179" spans="1:7" x14ac:dyDescent="0.3">
      <c r="A179" s="1">
        <f>'WL &amp; Q'!A179</f>
        <v>46239.291666666242</v>
      </c>
      <c r="B179" s="4" t="str">
        <f>IF('WL &amp; Q'!C179="","",'WL &amp; Q'!C179)</f>
        <v/>
      </c>
      <c r="C179" s="5" t="str">
        <f t="shared" si="4"/>
        <v/>
      </c>
      <c r="D179" s="4" t="str">
        <f>IF('WL &amp; Q'!E179="","",'WL &amp; Q'!E179)</f>
        <v/>
      </c>
      <c r="E179" s="8">
        <v>7</v>
      </c>
      <c r="F179" s="8">
        <v>8</v>
      </c>
      <c r="G179" s="8">
        <v>10</v>
      </c>
    </row>
    <row r="180" spans="1:7" x14ac:dyDescent="0.3">
      <c r="A180" s="1">
        <f>'WL &amp; Q'!A180</f>
        <v>46239.333333332906</v>
      </c>
      <c r="B180" s="4" t="str">
        <f>IF('WL &amp; Q'!C180="","",'WL &amp; Q'!C180)</f>
        <v/>
      </c>
      <c r="C180" s="5" t="str">
        <f t="shared" si="4"/>
        <v/>
      </c>
      <c r="D180" s="4" t="str">
        <f>IF('WL &amp; Q'!E180="","",'WL &amp; Q'!E180)</f>
        <v/>
      </c>
      <c r="E180" s="8">
        <v>7</v>
      </c>
      <c r="F180" s="8">
        <v>8</v>
      </c>
      <c r="G180" s="8">
        <v>10</v>
      </c>
    </row>
    <row r="181" spans="1:7" x14ac:dyDescent="0.3">
      <c r="A181" s="1">
        <f>'WL &amp; Q'!A181</f>
        <v>46239.374999999571</v>
      </c>
      <c r="B181" s="4" t="str">
        <f>IF('WL &amp; Q'!C181="","",'WL &amp; Q'!C181)</f>
        <v/>
      </c>
      <c r="C181" s="5" t="str">
        <f t="shared" si="4"/>
        <v/>
      </c>
      <c r="D181" s="4" t="str">
        <f>IF('WL &amp; Q'!E181="","",'WL &amp; Q'!E181)</f>
        <v/>
      </c>
      <c r="E181" s="8">
        <v>7</v>
      </c>
      <c r="F181" s="8">
        <v>8</v>
      </c>
      <c r="G181" s="8">
        <v>10</v>
      </c>
    </row>
    <row r="182" spans="1:7" x14ac:dyDescent="0.3">
      <c r="A182" s="1">
        <f>'WL &amp; Q'!A182</f>
        <v>46239.416666666235</v>
      </c>
      <c r="B182" s="4" t="str">
        <f>IF('WL &amp; Q'!C182="","",'WL &amp; Q'!C182)</f>
        <v/>
      </c>
      <c r="C182" s="5" t="str">
        <f t="shared" si="4"/>
        <v/>
      </c>
      <c r="D182" s="4" t="str">
        <f>IF('WL &amp; Q'!E182="","",'WL &amp; Q'!E182)</f>
        <v/>
      </c>
      <c r="E182" s="8">
        <v>7</v>
      </c>
      <c r="F182" s="8">
        <v>8</v>
      </c>
      <c r="G182" s="8">
        <v>10</v>
      </c>
    </row>
    <row r="183" spans="1:7" x14ac:dyDescent="0.3">
      <c r="A183" s="1">
        <f>'WL &amp; Q'!A183</f>
        <v>46239.458333332899</v>
      </c>
      <c r="B183" s="4" t="str">
        <f>IF('WL &amp; Q'!C183="","",'WL &amp; Q'!C183)</f>
        <v/>
      </c>
      <c r="C183" s="5" t="str">
        <f t="shared" si="4"/>
        <v/>
      </c>
      <c r="D183" s="4" t="str">
        <f>IF('WL &amp; Q'!E183="","",'WL &amp; Q'!E183)</f>
        <v/>
      </c>
      <c r="E183" s="8">
        <v>7</v>
      </c>
      <c r="F183" s="8">
        <v>8</v>
      </c>
      <c r="G183" s="8">
        <v>10</v>
      </c>
    </row>
    <row r="184" spans="1:7" x14ac:dyDescent="0.3">
      <c r="A184" s="1">
        <f>'WL &amp; Q'!A184</f>
        <v>46239.499999999563</v>
      </c>
      <c r="B184" s="4" t="str">
        <f>IF('WL &amp; Q'!C184="","",'WL &amp; Q'!C184)</f>
        <v/>
      </c>
      <c r="C184" s="5" t="str">
        <f t="shared" si="4"/>
        <v/>
      </c>
      <c r="D184" s="4" t="str">
        <f>IF('WL &amp; Q'!E184="","",'WL &amp; Q'!E184)</f>
        <v/>
      </c>
      <c r="E184" s="8">
        <v>7</v>
      </c>
      <c r="F184" s="8">
        <v>8</v>
      </c>
      <c r="G184" s="8">
        <v>10</v>
      </c>
    </row>
    <row r="185" spans="1:7" x14ac:dyDescent="0.3">
      <c r="A185" s="1">
        <f>'WL &amp; Q'!A185</f>
        <v>46239.541666666228</v>
      </c>
      <c r="B185" s="4" t="str">
        <f>IF('WL &amp; Q'!C185="","",'WL &amp; Q'!C185)</f>
        <v/>
      </c>
      <c r="C185" s="5" t="str">
        <f t="shared" si="4"/>
        <v/>
      </c>
      <c r="D185" s="4" t="str">
        <f>IF('WL &amp; Q'!E185="","",'WL &amp; Q'!E185)</f>
        <v/>
      </c>
      <c r="E185" s="8">
        <v>7</v>
      </c>
      <c r="F185" s="8">
        <v>8</v>
      </c>
      <c r="G185" s="8">
        <v>10</v>
      </c>
    </row>
    <row r="186" spans="1:7" x14ac:dyDescent="0.3">
      <c r="A186" s="1">
        <f>'WL &amp; Q'!A186</f>
        <v>46239.583333332892</v>
      </c>
      <c r="B186" s="4" t="str">
        <f>IF('WL &amp; Q'!C186="","",'WL &amp; Q'!C186)</f>
        <v/>
      </c>
      <c r="C186" s="5" t="str">
        <f t="shared" si="4"/>
        <v/>
      </c>
      <c r="D186" s="4" t="str">
        <f>IF('WL &amp; Q'!E186="","",'WL &amp; Q'!E186)</f>
        <v/>
      </c>
      <c r="E186" s="8">
        <v>7</v>
      </c>
      <c r="F186" s="8">
        <v>8</v>
      </c>
      <c r="G186" s="8">
        <v>10</v>
      </c>
    </row>
    <row r="187" spans="1:7" x14ac:dyDescent="0.3">
      <c r="A187" s="1">
        <f>'WL &amp; Q'!A187</f>
        <v>46239.624999999556</v>
      </c>
      <c r="B187" s="4" t="str">
        <f>IF('WL &amp; Q'!C187="","",'WL &amp; Q'!C187)</f>
        <v/>
      </c>
      <c r="C187" s="5" t="str">
        <f t="shared" si="4"/>
        <v/>
      </c>
      <c r="D187" s="4" t="str">
        <f>IF('WL &amp; Q'!E187="","",'WL &amp; Q'!E187)</f>
        <v/>
      </c>
      <c r="E187" s="8">
        <v>7</v>
      </c>
      <c r="F187" s="8">
        <v>8</v>
      </c>
      <c r="G187" s="8">
        <v>10</v>
      </c>
    </row>
    <row r="188" spans="1:7" x14ac:dyDescent="0.3">
      <c r="A188" s="1">
        <f>'WL &amp; Q'!A188</f>
        <v>46239.66666666622</v>
      </c>
      <c r="B188" s="4" t="str">
        <f>IF('WL &amp; Q'!C188="","",'WL &amp; Q'!C188)</f>
        <v/>
      </c>
      <c r="C188" s="5" t="str">
        <f t="shared" si="4"/>
        <v/>
      </c>
      <c r="D188" s="4" t="str">
        <f>IF('WL &amp; Q'!E188="","",'WL &amp; Q'!E188)</f>
        <v/>
      </c>
      <c r="E188" s="8">
        <v>7</v>
      </c>
      <c r="F188" s="8">
        <v>8</v>
      </c>
      <c r="G188" s="8">
        <v>10</v>
      </c>
    </row>
    <row r="189" spans="1:7" x14ac:dyDescent="0.3">
      <c r="A189" s="1">
        <f>'WL &amp; Q'!A189</f>
        <v>46239.708333332885</v>
      </c>
      <c r="B189" s="4" t="str">
        <f>IF('WL &amp; Q'!C189="","",'WL &amp; Q'!C189)</f>
        <v/>
      </c>
      <c r="C189" s="5" t="str">
        <f t="shared" si="4"/>
        <v/>
      </c>
      <c r="D189" s="4" t="str">
        <f>IF('WL &amp; Q'!E189="","",'WL &amp; Q'!E189)</f>
        <v/>
      </c>
      <c r="E189" s="8">
        <v>7</v>
      </c>
      <c r="F189" s="8">
        <v>8</v>
      </c>
      <c r="G189" s="8">
        <v>10</v>
      </c>
    </row>
    <row r="190" spans="1:7" x14ac:dyDescent="0.3">
      <c r="A190" s="1">
        <f>'WL &amp; Q'!A190</f>
        <v>46239.749999999549</v>
      </c>
      <c r="B190" s="4" t="str">
        <f>IF('WL &amp; Q'!C190="","",'WL &amp; Q'!C190)</f>
        <v/>
      </c>
      <c r="C190" s="5" t="str">
        <f t="shared" si="4"/>
        <v/>
      </c>
      <c r="D190" s="4" t="str">
        <f>IF('WL &amp; Q'!E190="","",'WL &amp; Q'!E190)</f>
        <v/>
      </c>
      <c r="E190" s="8">
        <v>7</v>
      </c>
      <c r="F190" s="8">
        <v>8</v>
      </c>
      <c r="G190" s="8">
        <v>10</v>
      </c>
    </row>
    <row r="191" spans="1:7" x14ac:dyDescent="0.3">
      <c r="A191" s="1">
        <f>'WL &amp; Q'!A191</f>
        <v>46239.791666666213</v>
      </c>
      <c r="B191" s="4" t="str">
        <f>IF('WL &amp; Q'!C191="","",'WL &amp; Q'!C191)</f>
        <v/>
      </c>
      <c r="C191" s="5" t="str">
        <f t="shared" si="4"/>
        <v/>
      </c>
      <c r="D191" s="4" t="str">
        <f>IF('WL &amp; Q'!E191="","",'WL &amp; Q'!E191)</f>
        <v/>
      </c>
      <c r="E191" s="8">
        <v>7</v>
      </c>
      <c r="F191" s="8">
        <v>8</v>
      </c>
      <c r="G191" s="8">
        <v>10</v>
      </c>
    </row>
    <row r="192" spans="1:7" x14ac:dyDescent="0.3">
      <c r="A192" s="1">
        <f>'WL &amp; Q'!A192</f>
        <v>46239.833333332877</v>
      </c>
      <c r="B192" s="4" t="str">
        <f>IF('WL &amp; Q'!C192="","",'WL &amp; Q'!C192)</f>
        <v/>
      </c>
      <c r="C192" s="5" t="str">
        <f t="shared" si="4"/>
        <v/>
      </c>
      <c r="D192" s="4" t="str">
        <f>IF('WL &amp; Q'!E192="","",'WL &amp; Q'!E192)</f>
        <v/>
      </c>
      <c r="E192" s="8">
        <v>7</v>
      </c>
      <c r="F192" s="8">
        <v>8</v>
      </c>
      <c r="G192" s="8">
        <v>10</v>
      </c>
    </row>
    <row r="193" spans="1:7" x14ac:dyDescent="0.3">
      <c r="A193" s="1">
        <f>'WL &amp; Q'!A193</f>
        <v>46239.874999999542</v>
      </c>
      <c r="B193" s="4" t="str">
        <f>IF('WL &amp; Q'!C193="","",'WL &amp; Q'!C193)</f>
        <v/>
      </c>
      <c r="C193" s="5" t="str">
        <f t="shared" si="4"/>
        <v/>
      </c>
      <c r="D193" s="4" t="str">
        <f>IF('WL &amp; Q'!E193="","",'WL &amp; Q'!E193)</f>
        <v/>
      </c>
      <c r="E193" s="8">
        <v>7</v>
      </c>
      <c r="F193" s="8">
        <v>8</v>
      </c>
      <c r="G193" s="8">
        <v>10</v>
      </c>
    </row>
    <row r="194" spans="1:7" x14ac:dyDescent="0.3">
      <c r="A194" s="1">
        <f>'WL &amp; Q'!A194</f>
        <v>46239.916666666206</v>
      </c>
      <c r="B194" s="4" t="str">
        <f>IF('WL &amp; Q'!C194="","",'WL &amp; Q'!C194)</f>
        <v/>
      </c>
      <c r="C194" s="5" t="str">
        <f t="shared" si="4"/>
        <v/>
      </c>
      <c r="D194" s="4" t="str">
        <f>IF('WL &amp; Q'!E194="","",'WL &amp; Q'!E194)</f>
        <v/>
      </c>
      <c r="E194" s="8">
        <v>7</v>
      </c>
      <c r="F194" s="8">
        <v>8</v>
      </c>
      <c r="G194" s="8">
        <v>10</v>
      </c>
    </row>
    <row r="195" spans="1:7" x14ac:dyDescent="0.3">
      <c r="A195" s="1">
        <f>'WL &amp; Q'!A195</f>
        <v>46239.95833333287</v>
      </c>
      <c r="B195" s="4" t="str">
        <f>IF('WL &amp; Q'!C195="","",'WL &amp; Q'!C195)</f>
        <v/>
      </c>
      <c r="C195" s="5" t="str">
        <f t="shared" si="4"/>
        <v/>
      </c>
      <c r="D195" s="4" t="str">
        <f>IF('WL &amp; Q'!E195="","",'WL &amp; Q'!E195)</f>
        <v/>
      </c>
      <c r="E195" s="8">
        <v>7</v>
      </c>
      <c r="F195" s="8">
        <v>8</v>
      </c>
      <c r="G195" s="8">
        <v>10</v>
      </c>
    </row>
    <row r="196" spans="1:7" x14ac:dyDescent="0.3">
      <c r="A196" s="1">
        <f>'WL &amp; Q'!A196</f>
        <v>46239.999999999534</v>
      </c>
      <c r="B196" s="4" t="str">
        <f>IF('WL &amp; Q'!C196="","",'WL &amp; Q'!C196)</f>
        <v/>
      </c>
      <c r="C196" s="5" t="str">
        <f t="shared" si="4"/>
        <v/>
      </c>
      <c r="D196" s="4" t="str">
        <f>IF('WL &amp; Q'!E196="","",'WL &amp; Q'!E196)</f>
        <v/>
      </c>
      <c r="E196" s="8">
        <v>7</v>
      </c>
      <c r="F196" s="8">
        <v>8</v>
      </c>
      <c r="G196" s="8">
        <v>10</v>
      </c>
    </row>
    <row r="197" spans="1:7" x14ac:dyDescent="0.3">
      <c r="A197" s="1">
        <f>'WL &amp; Q'!A197</f>
        <v>46240.041666666199</v>
      </c>
      <c r="B197" s="4" t="str">
        <f>IF('WL &amp; Q'!C197="","",'WL &amp; Q'!C197)</f>
        <v/>
      </c>
      <c r="C197" s="5" t="str">
        <f t="shared" si="4"/>
        <v/>
      </c>
      <c r="D197" s="4" t="str">
        <f>IF('WL &amp; Q'!E197="","",'WL &amp; Q'!E197)</f>
        <v/>
      </c>
      <c r="E197" s="8">
        <v>7</v>
      </c>
      <c r="F197" s="8">
        <v>8</v>
      </c>
      <c r="G197" s="8">
        <v>10</v>
      </c>
    </row>
    <row r="198" spans="1:7" x14ac:dyDescent="0.3">
      <c r="A198" s="1">
        <f>'WL &amp; Q'!A198</f>
        <v>46240.083333332863</v>
      </c>
      <c r="B198" s="4" t="str">
        <f>IF('WL &amp; Q'!C198="","",'WL &amp; Q'!C198)</f>
        <v/>
      </c>
      <c r="C198" s="5" t="str">
        <f t="shared" ref="C198:C261" si="5">IF(B198="","",IF((B198+0.56)&gt;4,13.194*(B198+0.56)^2+13.311*(B198+0.56)-0.8227,27.012*(B198+0.56)^1.6477))</f>
        <v/>
      </c>
      <c r="D198" s="4" t="str">
        <f>IF('WL &amp; Q'!E198="","",'WL &amp; Q'!E198)</f>
        <v/>
      </c>
      <c r="E198" s="8">
        <v>7</v>
      </c>
      <c r="F198" s="8">
        <v>8</v>
      </c>
      <c r="G198" s="8">
        <v>10</v>
      </c>
    </row>
    <row r="199" spans="1:7" x14ac:dyDescent="0.3">
      <c r="A199" s="1">
        <f>'WL &amp; Q'!A199</f>
        <v>46240.124999999527</v>
      </c>
      <c r="B199" s="4" t="str">
        <f>IF('WL &amp; Q'!C199="","",'WL &amp; Q'!C199)</f>
        <v/>
      </c>
      <c r="C199" s="5" t="str">
        <f t="shared" si="5"/>
        <v/>
      </c>
      <c r="D199" s="4" t="str">
        <f>IF('WL &amp; Q'!E199="","",'WL &amp; Q'!E199)</f>
        <v/>
      </c>
      <c r="E199" s="8">
        <v>7</v>
      </c>
      <c r="F199" s="8">
        <v>8</v>
      </c>
      <c r="G199" s="8">
        <v>10</v>
      </c>
    </row>
    <row r="200" spans="1:7" x14ac:dyDescent="0.3">
      <c r="A200" s="1">
        <f>'WL &amp; Q'!A200</f>
        <v>46240.166666666191</v>
      </c>
      <c r="B200" s="4" t="str">
        <f>IF('WL &amp; Q'!C200="","",'WL &amp; Q'!C200)</f>
        <v/>
      </c>
      <c r="C200" s="5" t="str">
        <f t="shared" si="5"/>
        <v/>
      </c>
      <c r="D200" s="4" t="str">
        <f>IF('WL &amp; Q'!E200="","",'WL &amp; Q'!E200)</f>
        <v/>
      </c>
      <c r="E200" s="8">
        <v>7</v>
      </c>
      <c r="F200" s="8">
        <v>8</v>
      </c>
      <c r="G200" s="8">
        <v>10</v>
      </c>
    </row>
    <row r="201" spans="1:7" x14ac:dyDescent="0.3">
      <c r="A201" s="1">
        <f>'WL &amp; Q'!A201</f>
        <v>46240.208333332856</v>
      </c>
      <c r="B201" s="4" t="str">
        <f>IF('WL &amp; Q'!C201="","",'WL &amp; Q'!C201)</f>
        <v/>
      </c>
      <c r="C201" s="5" t="str">
        <f t="shared" si="5"/>
        <v/>
      </c>
      <c r="D201" s="4" t="str">
        <f>IF('WL &amp; Q'!E201="","",'WL &amp; Q'!E201)</f>
        <v/>
      </c>
      <c r="E201" s="8">
        <v>7</v>
      </c>
      <c r="F201" s="8">
        <v>8</v>
      </c>
      <c r="G201" s="8">
        <v>10</v>
      </c>
    </row>
    <row r="202" spans="1:7" x14ac:dyDescent="0.3">
      <c r="A202" s="1">
        <f>'WL &amp; Q'!A202</f>
        <v>46240.24999999952</v>
      </c>
      <c r="B202" s="4" t="str">
        <f>IF('WL &amp; Q'!C202="","",'WL &amp; Q'!C202)</f>
        <v/>
      </c>
      <c r="C202" s="5" t="str">
        <f t="shared" si="5"/>
        <v/>
      </c>
      <c r="D202" s="4" t="str">
        <f>IF('WL &amp; Q'!E202="","",'WL &amp; Q'!E202)</f>
        <v/>
      </c>
      <c r="E202" s="8">
        <v>7</v>
      </c>
      <c r="F202" s="8">
        <v>8</v>
      </c>
      <c r="G202" s="8">
        <v>10</v>
      </c>
    </row>
    <row r="203" spans="1:7" x14ac:dyDescent="0.3">
      <c r="A203" s="1">
        <f>'WL &amp; Q'!A203</f>
        <v>46240.291666666184</v>
      </c>
      <c r="B203" s="4" t="str">
        <f>IF('WL &amp; Q'!C203="","",'WL &amp; Q'!C203)</f>
        <v/>
      </c>
      <c r="C203" s="5" t="str">
        <f t="shared" si="5"/>
        <v/>
      </c>
      <c r="D203" s="4" t="str">
        <f>IF('WL &amp; Q'!E203="","",'WL &amp; Q'!E203)</f>
        <v/>
      </c>
      <c r="E203" s="8">
        <v>7</v>
      </c>
      <c r="F203" s="8">
        <v>8</v>
      </c>
      <c r="G203" s="8">
        <v>10</v>
      </c>
    </row>
    <row r="204" spans="1:7" x14ac:dyDescent="0.3">
      <c r="A204" s="1">
        <f>'WL &amp; Q'!A204</f>
        <v>46240.333333332848</v>
      </c>
      <c r="B204" s="4" t="str">
        <f>IF('WL &amp; Q'!C204="","",'WL &amp; Q'!C204)</f>
        <v/>
      </c>
      <c r="C204" s="5" t="str">
        <f t="shared" si="5"/>
        <v/>
      </c>
      <c r="D204" s="4" t="str">
        <f>IF('WL &amp; Q'!E204="","",'WL &amp; Q'!E204)</f>
        <v/>
      </c>
      <c r="E204" s="8">
        <v>7</v>
      </c>
      <c r="F204" s="8">
        <v>8</v>
      </c>
      <c r="G204" s="8">
        <v>10</v>
      </c>
    </row>
    <row r="205" spans="1:7" x14ac:dyDescent="0.3">
      <c r="A205" s="1">
        <f>'WL &amp; Q'!A205</f>
        <v>46240.374999999513</v>
      </c>
      <c r="B205" s="4" t="str">
        <f>IF('WL &amp; Q'!C205="","",'WL &amp; Q'!C205)</f>
        <v/>
      </c>
      <c r="C205" s="5" t="str">
        <f t="shared" si="5"/>
        <v/>
      </c>
      <c r="D205" s="4" t="str">
        <f>IF('WL &amp; Q'!E205="","",'WL &amp; Q'!E205)</f>
        <v/>
      </c>
      <c r="E205" s="8">
        <v>7</v>
      </c>
      <c r="F205" s="8">
        <v>8</v>
      </c>
      <c r="G205" s="8">
        <v>10</v>
      </c>
    </row>
    <row r="206" spans="1:7" x14ac:dyDescent="0.3">
      <c r="A206" s="1">
        <f>'WL &amp; Q'!A206</f>
        <v>46240.416666666177</v>
      </c>
      <c r="B206" s="4" t="str">
        <f>IF('WL &amp; Q'!C206="","",'WL &amp; Q'!C206)</f>
        <v/>
      </c>
      <c r="C206" s="5" t="str">
        <f t="shared" si="5"/>
        <v/>
      </c>
      <c r="D206" s="4" t="str">
        <f>IF('WL &amp; Q'!E206="","",'WL &amp; Q'!E206)</f>
        <v/>
      </c>
      <c r="E206" s="8">
        <v>7</v>
      </c>
      <c r="F206" s="8">
        <v>8</v>
      </c>
      <c r="G206" s="8">
        <v>10</v>
      </c>
    </row>
    <row r="207" spans="1:7" x14ac:dyDescent="0.3">
      <c r="A207" s="1">
        <f>'WL &amp; Q'!A207</f>
        <v>46240.458333332841</v>
      </c>
      <c r="B207" s="4" t="str">
        <f>IF('WL &amp; Q'!C207="","",'WL &amp; Q'!C207)</f>
        <v/>
      </c>
      <c r="C207" s="5" t="str">
        <f t="shared" si="5"/>
        <v/>
      </c>
      <c r="D207" s="4" t="str">
        <f>IF('WL &amp; Q'!E207="","",'WL &amp; Q'!E207)</f>
        <v/>
      </c>
      <c r="E207" s="8">
        <v>7</v>
      </c>
      <c r="F207" s="8">
        <v>8</v>
      </c>
      <c r="G207" s="8">
        <v>10</v>
      </c>
    </row>
    <row r="208" spans="1:7" x14ac:dyDescent="0.3">
      <c r="A208" s="1">
        <f>'WL &amp; Q'!A208</f>
        <v>46240.499999999505</v>
      </c>
      <c r="B208" s="4" t="str">
        <f>IF('WL &amp; Q'!C208="","",'WL &amp; Q'!C208)</f>
        <v/>
      </c>
      <c r="C208" s="5" t="str">
        <f t="shared" si="5"/>
        <v/>
      </c>
      <c r="D208" s="4" t="str">
        <f>IF('WL &amp; Q'!E208="","",'WL &amp; Q'!E208)</f>
        <v/>
      </c>
      <c r="E208" s="8">
        <v>7</v>
      </c>
      <c r="F208" s="8">
        <v>8</v>
      </c>
      <c r="G208" s="8">
        <v>10</v>
      </c>
    </row>
    <row r="209" spans="1:7" x14ac:dyDescent="0.3">
      <c r="A209" s="1">
        <f>'WL &amp; Q'!A209</f>
        <v>46240.541666666169</v>
      </c>
      <c r="B209" s="4" t="str">
        <f>IF('WL &amp; Q'!C209="","",'WL &amp; Q'!C209)</f>
        <v/>
      </c>
      <c r="C209" s="5" t="str">
        <f t="shared" si="5"/>
        <v/>
      </c>
      <c r="D209" s="4" t="str">
        <f>IF('WL &amp; Q'!E209="","",'WL &amp; Q'!E209)</f>
        <v/>
      </c>
      <c r="E209" s="8">
        <v>7</v>
      </c>
      <c r="F209" s="8">
        <v>8</v>
      </c>
      <c r="G209" s="8">
        <v>10</v>
      </c>
    </row>
    <row r="210" spans="1:7" x14ac:dyDescent="0.3">
      <c r="A210" s="1">
        <f>'WL &amp; Q'!A210</f>
        <v>46240.583333332834</v>
      </c>
      <c r="B210" s="4" t="str">
        <f>IF('WL &amp; Q'!C210="","",'WL &amp; Q'!C210)</f>
        <v/>
      </c>
      <c r="C210" s="5" t="str">
        <f t="shared" si="5"/>
        <v/>
      </c>
      <c r="D210" s="4" t="str">
        <f>IF('WL &amp; Q'!E210="","",'WL &amp; Q'!E210)</f>
        <v/>
      </c>
      <c r="E210" s="8">
        <v>7</v>
      </c>
      <c r="F210" s="8">
        <v>8</v>
      </c>
      <c r="G210" s="8">
        <v>10</v>
      </c>
    </row>
    <row r="211" spans="1:7" x14ac:dyDescent="0.3">
      <c r="A211" s="1">
        <f>'WL &amp; Q'!A211</f>
        <v>46240.624999999498</v>
      </c>
      <c r="B211" s="4" t="str">
        <f>IF('WL &amp; Q'!C211="","",'WL &amp; Q'!C211)</f>
        <v/>
      </c>
      <c r="C211" s="5" t="str">
        <f t="shared" si="5"/>
        <v/>
      </c>
      <c r="D211" s="4" t="str">
        <f>IF('WL &amp; Q'!E211="","",'WL &amp; Q'!E211)</f>
        <v/>
      </c>
      <c r="E211" s="8">
        <v>7</v>
      </c>
      <c r="F211" s="8">
        <v>8</v>
      </c>
      <c r="G211" s="8">
        <v>10</v>
      </c>
    </row>
    <row r="212" spans="1:7" x14ac:dyDescent="0.3">
      <c r="A212" s="1">
        <f>'WL &amp; Q'!A212</f>
        <v>46240.666666666162</v>
      </c>
      <c r="B212" s="4" t="str">
        <f>IF('WL &amp; Q'!C212="","",'WL &amp; Q'!C212)</f>
        <v/>
      </c>
      <c r="C212" s="5" t="str">
        <f t="shared" si="5"/>
        <v/>
      </c>
      <c r="D212" s="4" t="str">
        <f>IF('WL &amp; Q'!E212="","",'WL &amp; Q'!E212)</f>
        <v/>
      </c>
      <c r="E212" s="8">
        <v>7</v>
      </c>
      <c r="F212" s="8">
        <v>8</v>
      </c>
      <c r="G212" s="8">
        <v>10</v>
      </c>
    </row>
    <row r="213" spans="1:7" x14ac:dyDescent="0.3">
      <c r="A213" s="1">
        <f>'WL &amp; Q'!A213</f>
        <v>46240.708333332826</v>
      </c>
      <c r="B213" s="4" t="str">
        <f>IF('WL &amp; Q'!C213="","",'WL &amp; Q'!C213)</f>
        <v/>
      </c>
      <c r="C213" s="5" t="str">
        <f t="shared" si="5"/>
        <v/>
      </c>
      <c r="D213" s="4" t="str">
        <f>IF('WL &amp; Q'!E213="","",'WL &amp; Q'!E213)</f>
        <v/>
      </c>
      <c r="E213" s="8">
        <v>7</v>
      </c>
      <c r="F213" s="8">
        <v>8</v>
      </c>
      <c r="G213" s="8">
        <v>10</v>
      </c>
    </row>
    <row r="214" spans="1:7" x14ac:dyDescent="0.3">
      <c r="A214" s="1">
        <f>'WL &amp; Q'!A214</f>
        <v>46240.749999999491</v>
      </c>
      <c r="B214" s="4" t="str">
        <f>IF('WL &amp; Q'!C214="","",'WL &amp; Q'!C214)</f>
        <v/>
      </c>
      <c r="C214" s="5" t="str">
        <f t="shared" si="5"/>
        <v/>
      </c>
      <c r="D214" s="4" t="str">
        <f>IF('WL &amp; Q'!E214="","",'WL &amp; Q'!E214)</f>
        <v/>
      </c>
      <c r="E214" s="8">
        <v>7</v>
      </c>
      <c r="F214" s="8">
        <v>8</v>
      </c>
      <c r="G214" s="8">
        <v>10</v>
      </c>
    </row>
    <row r="215" spans="1:7" x14ac:dyDescent="0.3">
      <c r="A215" s="1">
        <f>'WL &amp; Q'!A215</f>
        <v>46240.791666666155</v>
      </c>
      <c r="B215" s="4" t="str">
        <f>IF('WL &amp; Q'!C215="","",'WL &amp; Q'!C215)</f>
        <v/>
      </c>
      <c r="C215" s="5" t="str">
        <f t="shared" si="5"/>
        <v/>
      </c>
      <c r="D215" s="4" t="str">
        <f>IF('WL &amp; Q'!E215="","",'WL &amp; Q'!E215)</f>
        <v/>
      </c>
      <c r="E215" s="8">
        <v>7</v>
      </c>
      <c r="F215" s="8">
        <v>8</v>
      </c>
      <c r="G215" s="8">
        <v>10</v>
      </c>
    </row>
    <row r="216" spans="1:7" x14ac:dyDescent="0.3">
      <c r="A216" s="1">
        <f>'WL &amp; Q'!A216</f>
        <v>46240.833333332819</v>
      </c>
      <c r="B216" s="4" t="str">
        <f>IF('WL &amp; Q'!C216="","",'WL &amp; Q'!C216)</f>
        <v/>
      </c>
      <c r="C216" s="5" t="str">
        <f t="shared" si="5"/>
        <v/>
      </c>
      <c r="D216" s="4" t="str">
        <f>IF('WL &amp; Q'!E216="","",'WL &amp; Q'!E216)</f>
        <v/>
      </c>
      <c r="E216" s="8">
        <v>7</v>
      </c>
      <c r="F216" s="8">
        <v>8</v>
      </c>
      <c r="G216" s="8">
        <v>10</v>
      </c>
    </row>
    <row r="217" spans="1:7" x14ac:dyDescent="0.3">
      <c r="A217" s="1">
        <f>'WL &amp; Q'!A217</f>
        <v>46240.874999999483</v>
      </c>
      <c r="B217" s="4" t="str">
        <f>IF('WL &amp; Q'!C217="","",'WL &amp; Q'!C217)</f>
        <v/>
      </c>
      <c r="C217" s="5" t="str">
        <f t="shared" si="5"/>
        <v/>
      </c>
      <c r="D217" s="4" t="str">
        <f>IF('WL &amp; Q'!E217="","",'WL &amp; Q'!E217)</f>
        <v/>
      </c>
      <c r="E217" s="8">
        <v>7</v>
      </c>
      <c r="F217" s="8">
        <v>8</v>
      </c>
      <c r="G217" s="8">
        <v>10</v>
      </c>
    </row>
    <row r="218" spans="1:7" x14ac:dyDescent="0.3">
      <c r="A218" s="1">
        <f>'WL &amp; Q'!A218</f>
        <v>46240.916666666148</v>
      </c>
      <c r="B218" s="4" t="str">
        <f>IF('WL &amp; Q'!C218="","",'WL &amp; Q'!C218)</f>
        <v/>
      </c>
      <c r="C218" s="5" t="str">
        <f t="shared" si="5"/>
        <v/>
      </c>
      <c r="D218" s="4" t="str">
        <f>IF('WL &amp; Q'!E218="","",'WL &amp; Q'!E218)</f>
        <v/>
      </c>
      <c r="E218" s="8">
        <v>7</v>
      </c>
      <c r="F218" s="8">
        <v>8</v>
      </c>
      <c r="G218" s="8">
        <v>10</v>
      </c>
    </row>
    <row r="219" spans="1:7" x14ac:dyDescent="0.3">
      <c r="A219" s="1">
        <f>'WL &amp; Q'!A219</f>
        <v>46240.958333332812</v>
      </c>
      <c r="B219" s="4" t="str">
        <f>IF('WL &amp; Q'!C219="","",'WL &amp; Q'!C219)</f>
        <v/>
      </c>
      <c r="C219" s="5" t="str">
        <f t="shared" si="5"/>
        <v/>
      </c>
      <c r="D219" s="4" t="str">
        <f>IF('WL &amp; Q'!E219="","",'WL &amp; Q'!E219)</f>
        <v/>
      </c>
      <c r="E219" s="8">
        <v>7</v>
      </c>
      <c r="F219" s="8">
        <v>8</v>
      </c>
      <c r="G219" s="8">
        <v>10</v>
      </c>
    </row>
    <row r="220" spans="1:7" x14ac:dyDescent="0.3">
      <c r="A220" s="1">
        <f>'WL &amp; Q'!A220</f>
        <v>46240.999999999476</v>
      </c>
      <c r="B220" s="4" t="str">
        <f>IF('WL &amp; Q'!C220="","",'WL &amp; Q'!C220)</f>
        <v/>
      </c>
      <c r="C220" s="5" t="str">
        <f t="shared" si="5"/>
        <v/>
      </c>
      <c r="D220" s="4" t="str">
        <f>IF('WL &amp; Q'!E220="","",'WL &amp; Q'!E220)</f>
        <v/>
      </c>
      <c r="E220" s="8">
        <v>7</v>
      </c>
      <c r="F220" s="8">
        <v>8</v>
      </c>
      <c r="G220" s="8">
        <v>10</v>
      </c>
    </row>
    <row r="221" spans="1:7" x14ac:dyDescent="0.3">
      <c r="A221" s="1">
        <f>'WL &amp; Q'!A221</f>
        <v>46241.04166666614</v>
      </c>
      <c r="B221" s="4" t="str">
        <f>IF('WL &amp; Q'!C221="","",'WL &amp; Q'!C221)</f>
        <v/>
      </c>
      <c r="C221" s="5" t="str">
        <f t="shared" si="5"/>
        <v/>
      </c>
      <c r="D221" s="4" t="str">
        <f>IF('WL &amp; Q'!E221="","",'WL &amp; Q'!E221)</f>
        <v/>
      </c>
      <c r="E221" s="8">
        <v>7</v>
      </c>
      <c r="F221" s="8">
        <v>8</v>
      </c>
      <c r="G221" s="8">
        <v>10</v>
      </c>
    </row>
    <row r="222" spans="1:7" x14ac:dyDescent="0.3">
      <c r="A222" s="1">
        <f>'WL &amp; Q'!A222</f>
        <v>46241.083333332805</v>
      </c>
      <c r="B222" s="4" t="str">
        <f>IF('WL &amp; Q'!C222="","",'WL &amp; Q'!C222)</f>
        <v/>
      </c>
      <c r="C222" s="5" t="str">
        <f t="shared" si="5"/>
        <v/>
      </c>
      <c r="D222" s="4" t="str">
        <f>IF('WL &amp; Q'!E222="","",'WL &amp; Q'!E222)</f>
        <v/>
      </c>
      <c r="E222" s="8">
        <v>7</v>
      </c>
      <c r="F222" s="8">
        <v>8</v>
      </c>
      <c r="G222" s="8">
        <v>10</v>
      </c>
    </row>
    <row r="223" spans="1:7" x14ac:dyDescent="0.3">
      <c r="A223" s="1">
        <f>'WL &amp; Q'!A223</f>
        <v>46241.124999999469</v>
      </c>
      <c r="B223" s="4" t="str">
        <f>IF('WL &amp; Q'!C223="","",'WL &amp; Q'!C223)</f>
        <v/>
      </c>
      <c r="C223" s="5" t="str">
        <f t="shared" si="5"/>
        <v/>
      </c>
      <c r="D223" s="4" t="str">
        <f>IF('WL &amp; Q'!E223="","",'WL &amp; Q'!E223)</f>
        <v/>
      </c>
      <c r="E223" s="8">
        <v>7</v>
      </c>
      <c r="F223" s="8">
        <v>8</v>
      </c>
      <c r="G223" s="8">
        <v>10</v>
      </c>
    </row>
    <row r="224" spans="1:7" x14ac:dyDescent="0.3">
      <c r="A224" s="1">
        <f>'WL &amp; Q'!A224</f>
        <v>46241.166666666133</v>
      </c>
      <c r="B224" s="4" t="str">
        <f>IF('WL &amp; Q'!C224="","",'WL &amp; Q'!C224)</f>
        <v/>
      </c>
      <c r="C224" s="5" t="str">
        <f t="shared" si="5"/>
        <v/>
      </c>
      <c r="D224" s="4" t="str">
        <f>IF('WL &amp; Q'!E224="","",'WL &amp; Q'!E224)</f>
        <v/>
      </c>
      <c r="E224" s="8">
        <v>7</v>
      </c>
      <c r="F224" s="8">
        <v>8</v>
      </c>
      <c r="G224" s="8">
        <v>10</v>
      </c>
    </row>
    <row r="225" spans="1:7" x14ac:dyDescent="0.3">
      <c r="A225" s="1">
        <f>'WL &amp; Q'!A225</f>
        <v>46241.208333332797</v>
      </c>
      <c r="B225" s="4" t="str">
        <f>IF('WL &amp; Q'!C225="","",'WL &amp; Q'!C225)</f>
        <v/>
      </c>
      <c r="C225" s="5" t="str">
        <f t="shared" si="5"/>
        <v/>
      </c>
      <c r="D225" s="4" t="str">
        <f>IF('WL &amp; Q'!E225="","",'WL &amp; Q'!E225)</f>
        <v/>
      </c>
      <c r="E225" s="8">
        <v>7</v>
      </c>
      <c r="F225" s="8">
        <v>8</v>
      </c>
      <c r="G225" s="8">
        <v>10</v>
      </c>
    </row>
    <row r="226" spans="1:7" x14ac:dyDescent="0.3">
      <c r="A226" s="1">
        <f>'WL &amp; Q'!A226</f>
        <v>46241.249999999462</v>
      </c>
      <c r="B226" s="4" t="str">
        <f>IF('WL &amp; Q'!C226="","",'WL &amp; Q'!C226)</f>
        <v/>
      </c>
      <c r="C226" s="5" t="str">
        <f t="shared" si="5"/>
        <v/>
      </c>
      <c r="D226" s="4" t="str">
        <f>IF('WL &amp; Q'!E226="","",'WL &amp; Q'!E226)</f>
        <v/>
      </c>
      <c r="E226" s="8">
        <v>7</v>
      </c>
      <c r="F226" s="8">
        <v>8</v>
      </c>
      <c r="G226" s="8">
        <v>10</v>
      </c>
    </row>
    <row r="227" spans="1:7" x14ac:dyDescent="0.3">
      <c r="A227" s="1">
        <f>'WL &amp; Q'!A227</f>
        <v>46241.291666666126</v>
      </c>
      <c r="B227" s="4" t="str">
        <f>IF('WL &amp; Q'!C227="","",'WL &amp; Q'!C227)</f>
        <v/>
      </c>
      <c r="C227" s="5" t="str">
        <f t="shared" si="5"/>
        <v/>
      </c>
      <c r="D227" s="4" t="str">
        <f>IF('WL &amp; Q'!E227="","",'WL &amp; Q'!E227)</f>
        <v/>
      </c>
      <c r="E227" s="8">
        <v>7</v>
      </c>
      <c r="F227" s="8">
        <v>8</v>
      </c>
      <c r="G227" s="8">
        <v>10</v>
      </c>
    </row>
    <row r="228" spans="1:7" x14ac:dyDescent="0.3">
      <c r="A228" s="1">
        <f>'WL &amp; Q'!A228</f>
        <v>46241.33333333279</v>
      </c>
      <c r="B228" s="4" t="str">
        <f>IF('WL &amp; Q'!C228="","",'WL &amp; Q'!C228)</f>
        <v/>
      </c>
      <c r="C228" s="5" t="str">
        <f t="shared" si="5"/>
        <v/>
      </c>
      <c r="D228" s="4" t="str">
        <f>IF('WL &amp; Q'!E228="","",'WL &amp; Q'!E228)</f>
        <v/>
      </c>
      <c r="E228" s="8">
        <v>7</v>
      </c>
      <c r="F228" s="8">
        <v>8</v>
      </c>
      <c r="G228" s="8">
        <v>10</v>
      </c>
    </row>
    <row r="229" spans="1:7" x14ac:dyDescent="0.3">
      <c r="A229" s="1">
        <f>'WL &amp; Q'!A229</f>
        <v>46241.374999999454</v>
      </c>
      <c r="B229" s="4" t="str">
        <f>IF('WL &amp; Q'!C229="","",'WL &amp; Q'!C229)</f>
        <v/>
      </c>
      <c r="C229" s="5" t="str">
        <f t="shared" si="5"/>
        <v/>
      </c>
      <c r="D229" s="4" t="str">
        <f>IF('WL &amp; Q'!E229="","",'WL &amp; Q'!E229)</f>
        <v/>
      </c>
      <c r="E229" s="8">
        <v>7</v>
      </c>
      <c r="F229" s="8">
        <v>8</v>
      </c>
      <c r="G229" s="8">
        <v>10</v>
      </c>
    </row>
    <row r="230" spans="1:7" x14ac:dyDescent="0.3">
      <c r="A230" s="1">
        <f>'WL &amp; Q'!A230</f>
        <v>46241.416666666119</v>
      </c>
      <c r="B230" s="4" t="str">
        <f>IF('WL &amp; Q'!C230="","",'WL &amp; Q'!C230)</f>
        <v/>
      </c>
      <c r="C230" s="5" t="str">
        <f t="shared" si="5"/>
        <v/>
      </c>
      <c r="D230" s="4" t="str">
        <f>IF('WL &amp; Q'!E230="","",'WL &amp; Q'!E230)</f>
        <v/>
      </c>
      <c r="E230" s="8">
        <v>7</v>
      </c>
      <c r="F230" s="8">
        <v>8</v>
      </c>
      <c r="G230" s="8">
        <v>10</v>
      </c>
    </row>
    <row r="231" spans="1:7" x14ac:dyDescent="0.3">
      <c r="A231" s="1">
        <f>'WL &amp; Q'!A231</f>
        <v>46241.458333332783</v>
      </c>
      <c r="B231" s="4" t="str">
        <f>IF('WL &amp; Q'!C231="","",'WL &amp; Q'!C231)</f>
        <v/>
      </c>
      <c r="C231" s="5" t="str">
        <f t="shared" si="5"/>
        <v/>
      </c>
      <c r="D231" s="4" t="str">
        <f>IF('WL &amp; Q'!E231="","",'WL &amp; Q'!E231)</f>
        <v/>
      </c>
      <c r="E231" s="8">
        <v>7</v>
      </c>
      <c r="F231" s="8">
        <v>8</v>
      </c>
      <c r="G231" s="8">
        <v>10</v>
      </c>
    </row>
    <row r="232" spans="1:7" x14ac:dyDescent="0.3">
      <c r="A232" s="1">
        <f>'WL &amp; Q'!A232</f>
        <v>46241.499999999447</v>
      </c>
      <c r="B232" s="4" t="str">
        <f>IF('WL &amp; Q'!C232="","",'WL &amp; Q'!C232)</f>
        <v/>
      </c>
      <c r="C232" s="5" t="str">
        <f t="shared" si="5"/>
        <v/>
      </c>
      <c r="D232" s="4" t="str">
        <f>IF('WL &amp; Q'!E232="","",'WL &amp; Q'!E232)</f>
        <v/>
      </c>
      <c r="E232" s="8">
        <v>7</v>
      </c>
      <c r="F232" s="8">
        <v>8</v>
      </c>
      <c r="G232" s="8">
        <v>10</v>
      </c>
    </row>
    <row r="233" spans="1:7" x14ac:dyDescent="0.3">
      <c r="A233" s="1">
        <f>'WL &amp; Q'!A233</f>
        <v>46241.541666666111</v>
      </c>
      <c r="B233" s="4" t="str">
        <f>IF('WL &amp; Q'!C233="","",'WL &amp; Q'!C233)</f>
        <v/>
      </c>
      <c r="C233" s="5" t="str">
        <f t="shared" si="5"/>
        <v/>
      </c>
      <c r="D233" s="4" t="str">
        <f>IF('WL &amp; Q'!E233="","",'WL &amp; Q'!E233)</f>
        <v/>
      </c>
      <c r="E233" s="8">
        <v>7</v>
      </c>
      <c r="F233" s="8">
        <v>8</v>
      </c>
      <c r="G233" s="8">
        <v>10</v>
      </c>
    </row>
    <row r="234" spans="1:7" x14ac:dyDescent="0.3">
      <c r="A234" s="1">
        <f>'WL &amp; Q'!A234</f>
        <v>46241.583333332776</v>
      </c>
      <c r="B234" s="4" t="str">
        <f>IF('WL &amp; Q'!C234="","",'WL &amp; Q'!C234)</f>
        <v/>
      </c>
      <c r="C234" s="5" t="str">
        <f t="shared" si="5"/>
        <v/>
      </c>
      <c r="D234" s="4" t="str">
        <f>IF('WL &amp; Q'!E234="","",'WL &amp; Q'!E234)</f>
        <v/>
      </c>
      <c r="E234" s="8">
        <v>7</v>
      </c>
      <c r="F234" s="8">
        <v>8</v>
      </c>
      <c r="G234" s="8">
        <v>10</v>
      </c>
    </row>
    <row r="235" spans="1:7" x14ac:dyDescent="0.3">
      <c r="A235" s="1">
        <f>'WL &amp; Q'!A235</f>
        <v>46241.62499999944</v>
      </c>
      <c r="B235" s="4" t="str">
        <f>IF('WL &amp; Q'!C235="","",'WL &amp; Q'!C235)</f>
        <v/>
      </c>
      <c r="C235" s="5" t="str">
        <f t="shared" si="5"/>
        <v/>
      </c>
      <c r="D235" s="4" t="str">
        <f>IF('WL &amp; Q'!E235="","",'WL &amp; Q'!E235)</f>
        <v/>
      </c>
      <c r="E235" s="8">
        <v>7</v>
      </c>
      <c r="F235" s="8">
        <v>8</v>
      </c>
      <c r="G235" s="8">
        <v>10</v>
      </c>
    </row>
    <row r="236" spans="1:7" x14ac:dyDescent="0.3">
      <c r="A236" s="1">
        <f>'WL &amp; Q'!A236</f>
        <v>46241.666666666104</v>
      </c>
      <c r="B236" s="4" t="str">
        <f>IF('WL &amp; Q'!C236="","",'WL &amp; Q'!C236)</f>
        <v/>
      </c>
      <c r="C236" s="5" t="str">
        <f t="shared" si="5"/>
        <v/>
      </c>
      <c r="D236" s="4" t="str">
        <f>IF('WL &amp; Q'!E236="","",'WL &amp; Q'!E236)</f>
        <v/>
      </c>
      <c r="E236" s="8">
        <v>7</v>
      </c>
      <c r="F236" s="8">
        <v>8</v>
      </c>
      <c r="G236" s="8">
        <v>10</v>
      </c>
    </row>
    <row r="237" spans="1:7" x14ac:dyDescent="0.3">
      <c r="A237" s="1">
        <f>'WL &amp; Q'!A237</f>
        <v>46241.708333332768</v>
      </c>
      <c r="B237" s="4" t="str">
        <f>IF('WL &amp; Q'!C237="","",'WL &amp; Q'!C237)</f>
        <v/>
      </c>
      <c r="C237" s="5" t="str">
        <f t="shared" si="5"/>
        <v/>
      </c>
      <c r="D237" s="4" t="str">
        <f>IF('WL &amp; Q'!E237="","",'WL &amp; Q'!E237)</f>
        <v/>
      </c>
      <c r="E237" s="8">
        <v>7</v>
      </c>
      <c r="F237" s="8">
        <v>8</v>
      </c>
      <c r="G237" s="8">
        <v>10</v>
      </c>
    </row>
    <row r="238" spans="1:7" x14ac:dyDescent="0.3">
      <c r="A238" s="1">
        <f>'WL &amp; Q'!A238</f>
        <v>46241.749999999432</v>
      </c>
      <c r="B238" s="4" t="str">
        <f>IF('WL &amp; Q'!C238="","",'WL &amp; Q'!C238)</f>
        <v/>
      </c>
      <c r="C238" s="5" t="str">
        <f t="shared" si="5"/>
        <v/>
      </c>
      <c r="D238" s="4" t="str">
        <f>IF('WL &amp; Q'!E238="","",'WL &amp; Q'!E238)</f>
        <v/>
      </c>
      <c r="E238" s="8">
        <v>7</v>
      </c>
      <c r="F238" s="8">
        <v>8</v>
      </c>
      <c r="G238" s="8">
        <v>10</v>
      </c>
    </row>
    <row r="239" spans="1:7" x14ac:dyDescent="0.3">
      <c r="A239" s="1">
        <f>'WL &amp; Q'!A239</f>
        <v>46241.791666666097</v>
      </c>
      <c r="B239" s="4" t="str">
        <f>IF('WL &amp; Q'!C239="","",'WL &amp; Q'!C239)</f>
        <v/>
      </c>
      <c r="C239" s="5" t="str">
        <f t="shared" si="5"/>
        <v/>
      </c>
      <c r="D239" s="4" t="str">
        <f>IF('WL &amp; Q'!E239="","",'WL &amp; Q'!E239)</f>
        <v/>
      </c>
      <c r="E239" s="8">
        <v>7</v>
      </c>
      <c r="F239" s="8">
        <v>8</v>
      </c>
      <c r="G239" s="8">
        <v>10</v>
      </c>
    </row>
    <row r="240" spans="1:7" x14ac:dyDescent="0.3">
      <c r="A240" s="1">
        <f>'WL &amp; Q'!A240</f>
        <v>46241.833333332761</v>
      </c>
      <c r="B240" s="4" t="str">
        <f>IF('WL &amp; Q'!C240="","",'WL &amp; Q'!C240)</f>
        <v/>
      </c>
      <c r="C240" s="5" t="str">
        <f t="shared" si="5"/>
        <v/>
      </c>
      <c r="D240" s="4" t="str">
        <f>IF('WL &amp; Q'!E240="","",'WL &amp; Q'!E240)</f>
        <v/>
      </c>
      <c r="E240" s="8">
        <v>7</v>
      </c>
      <c r="F240" s="8">
        <v>8</v>
      </c>
      <c r="G240" s="8">
        <v>10</v>
      </c>
    </row>
    <row r="241" spans="1:7" x14ac:dyDescent="0.3">
      <c r="A241" s="1">
        <f>'WL &amp; Q'!A241</f>
        <v>46241.874999999425</v>
      </c>
      <c r="B241" s="4" t="str">
        <f>IF('WL &amp; Q'!C241="","",'WL &amp; Q'!C241)</f>
        <v/>
      </c>
      <c r="C241" s="5" t="str">
        <f t="shared" si="5"/>
        <v/>
      </c>
      <c r="D241" s="4" t="str">
        <f>IF('WL &amp; Q'!E241="","",'WL &amp; Q'!E241)</f>
        <v/>
      </c>
      <c r="E241" s="8">
        <v>7</v>
      </c>
      <c r="F241" s="8">
        <v>8</v>
      </c>
      <c r="G241" s="8">
        <v>10</v>
      </c>
    </row>
    <row r="242" spans="1:7" x14ac:dyDescent="0.3">
      <c r="A242" s="1">
        <f>'WL &amp; Q'!A242</f>
        <v>46241.916666666089</v>
      </c>
      <c r="B242" s="4" t="str">
        <f>IF('WL &amp; Q'!C242="","",'WL &amp; Q'!C242)</f>
        <v/>
      </c>
      <c r="C242" s="5" t="str">
        <f t="shared" si="5"/>
        <v/>
      </c>
      <c r="D242" s="4" t="str">
        <f>IF('WL &amp; Q'!E242="","",'WL &amp; Q'!E242)</f>
        <v/>
      </c>
      <c r="E242" s="8">
        <v>7</v>
      </c>
      <c r="F242" s="8">
        <v>8</v>
      </c>
      <c r="G242" s="8">
        <v>10</v>
      </c>
    </row>
    <row r="243" spans="1:7" x14ac:dyDescent="0.3">
      <c r="A243" s="1">
        <f>'WL &amp; Q'!A243</f>
        <v>46241.958333332754</v>
      </c>
      <c r="B243" s="4" t="str">
        <f>IF('WL &amp; Q'!C243="","",'WL &amp; Q'!C243)</f>
        <v/>
      </c>
      <c r="C243" s="5" t="str">
        <f t="shared" si="5"/>
        <v/>
      </c>
      <c r="D243" s="4" t="str">
        <f>IF('WL &amp; Q'!E243="","",'WL &amp; Q'!E243)</f>
        <v/>
      </c>
      <c r="E243" s="8">
        <v>7</v>
      </c>
      <c r="F243" s="8">
        <v>8</v>
      </c>
      <c r="G243" s="8">
        <v>10</v>
      </c>
    </row>
    <row r="244" spans="1:7" x14ac:dyDescent="0.3">
      <c r="A244" s="1">
        <f>'WL &amp; Q'!A244</f>
        <v>46241.999999999418</v>
      </c>
      <c r="B244" s="4" t="str">
        <f>IF('WL &amp; Q'!C244="","",'WL &amp; Q'!C244)</f>
        <v/>
      </c>
      <c r="C244" s="5" t="str">
        <f t="shared" si="5"/>
        <v/>
      </c>
      <c r="D244" s="4" t="str">
        <f>IF('WL &amp; Q'!E244="","",'WL &amp; Q'!E244)</f>
        <v/>
      </c>
      <c r="E244" s="8">
        <v>7</v>
      </c>
      <c r="F244" s="8">
        <v>8</v>
      </c>
      <c r="G244" s="8">
        <v>10</v>
      </c>
    </row>
    <row r="245" spans="1:7" x14ac:dyDescent="0.3">
      <c r="A245" s="1">
        <f>'WL &amp; Q'!A245</f>
        <v>46242.041666666082</v>
      </c>
      <c r="B245" s="4" t="str">
        <f>IF('WL &amp; Q'!C245="","",'WL &amp; Q'!C245)</f>
        <v/>
      </c>
      <c r="C245" s="5" t="str">
        <f t="shared" si="5"/>
        <v/>
      </c>
      <c r="D245" s="4" t="str">
        <f>IF('WL &amp; Q'!E245="","",'WL &amp; Q'!E245)</f>
        <v/>
      </c>
      <c r="E245" s="8">
        <v>7</v>
      </c>
      <c r="F245" s="8">
        <v>8</v>
      </c>
      <c r="G245" s="8">
        <v>10</v>
      </c>
    </row>
    <row r="246" spans="1:7" x14ac:dyDescent="0.3">
      <c r="A246" s="1">
        <f>'WL &amp; Q'!A246</f>
        <v>46242.083333332746</v>
      </c>
      <c r="B246" s="4" t="str">
        <f>IF('WL &amp; Q'!C246="","",'WL &amp; Q'!C246)</f>
        <v/>
      </c>
      <c r="C246" s="5" t="str">
        <f t="shared" si="5"/>
        <v/>
      </c>
      <c r="D246" s="4" t="str">
        <f>IF('WL &amp; Q'!E246="","",'WL &amp; Q'!E246)</f>
        <v/>
      </c>
      <c r="E246" s="8">
        <v>7</v>
      </c>
      <c r="F246" s="8">
        <v>8</v>
      </c>
      <c r="G246" s="8">
        <v>10</v>
      </c>
    </row>
    <row r="247" spans="1:7" x14ac:dyDescent="0.3">
      <c r="A247" s="1">
        <f>'WL &amp; Q'!A247</f>
        <v>46242.124999999411</v>
      </c>
      <c r="B247" s="4" t="str">
        <f>IF('WL &amp; Q'!C247="","",'WL &amp; Q'!C247)</f>
        <v/>
      </c>
      <c r="C247" s="5" t="str">
        <f t="shared" si="5"/>
        <v/>
      </c>
      <c r="D247" s="4" t="str">
        <f>IF('WL &amp; Q'!E247="","",'WL &amp; Q'!E247)</f>
        <v/>
      </c>
      <c r="E247" s="8">
        <v>7</v>
      </c>
      <c r="F247" s="8">
        <v>8</v>
      </c>
      <c r="G247" s="8">
        <v>10</v>
      </c>
    </row>
    <row r="248" spans="1:7" x14ac:dyDescent="0.3">
      <c r="A248" s="1">
        <f>'WL &amp; Q'!A248</f>
        <v>46242.166666666075</v>
      </c>
      <c r="B248" s="4" t="str">
        <f>IF('WL &amp; Q'!C248="","",'WL &amp; Q'!C248)</f>
        <v/>
      </c>
      <c r="C248" s="5" t="str">
        <f t="shared" si="5"/>
        <v/>
      </c>
      <c r="D248" s="4" t="str">
        <f>IF('WL &amp; Q'!E248="","",'WL &amp; Q'!E248)</f>
        <v/>
      </c>
      <c r="E248" s="8">
        <v>7</v>
      </c>
      <c r="F248" s="8">
        <v>8</v>
      </c>
      <c r="G248" s="8">
        <v>10</v>
      </c>
    </row>
    <row r="249" spans="1:7" x14ac:dyDescent="0.3">
      <c r="A249" s="1">
        <f>'WL &amp; Q'!A249</f>
        <v>46242.208333332739</v>
      </c>
      <c r="B249" s="4" t="str">
        <f>IF('WL &amp; Q'!C249="","",'WL &amp; Q'!C249)</f>
        <v/>
      </c>
      <c r="C249" s="5" t="str">
        <f t="shared" si="5"/>
        <v/>
      </c>
      <c r="D249" s="4" t="str">
        <f>IF('WL &amp; Q'!E249="","",'WL &amp; Q'!E249)</f>
        <v/>
      </c>
      <c r="E249" s="8">
        <v>7</v>
      </c>
      <c r="F249" s="8">
        <v>8</v>
      </c>
      <c r="G249" s="8">
        <v>10</v>
      </c>
    </row>
    <row r="250" spans="1:7" x14ac:dyDescent="0.3">
      <c r="A250" s="1">
        <f>'WL &amp; Q'!A250</f>
        <v>46242.249999999403</v>
      </c>
      <c r="B250" s="4" t="str">
        <f>IF('WL &amp; Q'!C250="","",'WL &amp; Q'!C250)</f>
        <v/>
      </c>
      <c r="C250" s="5" t="str">
        <f t="shared" si="5"/>
        <v/>
      </c>
      <c r="D250" s="4" t="str">
        <f>IF('WL &amp; Q'!E250="","",'WL &amp; Q'!E250)</f>
        <v/>
      </c>
      <c r="E250" s="8">
        <v>7</v>
      </c>
      <c r="F250" s="8">
        <v>8</v>
      </c>
      <c r="G250" s="8">
        <v>10</v>
      </c>
    </row>
    <row r="251" spans="1:7" x14ac:dyDescent="0.3">
      <c r="A251" s="1">
        <f>'WL &amp; Q'!A251</f>
        <v>46242.291666666068</v>
      </c>
      <c r="B251" s="4" t="str">
        <f>IF('WL &amp; Q'!C251="","",'WL &amp; Q'!C251)</f>
        <v/>
      </c>
      <c r="C251" s="5" t="str">
        <f t="shared" si="5"/>
        <v/>
      </c>
      <c r="D251" s="4" t="str">
        <f>IF('WL &amp; Q'!E251="","",'WL &amp; Q'!E251)</f>
        <v/>
      </c>
      <c r="E251" s="8">
        <v>7</v>
      </c>
      <c r="F251" s="8">
        <v>8</v>
      </c>
      <c r="G251" s="8">
        <v>10</v>
      </c>
    </row>
    <row r="252" spans="1:7" x14ac:dyDescent="0.3">
      <c r="A252" s="1">
        <f>'WL &amp; Q'!A252</f>
        <v>46242.333333332732</v>
      </c>
      <c r="B252" s="4" t="str">
        <f>IF('WL &amp; Q'!C252="","",'WL &amp; Q'!C252)</f>
        <v/>
      </c>
      <c r="C252" s="5" t="str">
        <f t="shared" si="5"/>
        <v/>
      </c>
      <c r="D252" s="4" t="str">
        <f>IF('WL &amp; Q'!E252="","",'WL &amp; Q'!E252)</f>
        <v/>
      </c>
      <c r="E252" s="8">
        <v>7</v>
      </c>
      <c r="F252" s="8">
        <v>8</v>
      </c>
      <c r="G252" s="8">
        <v>10</v>
      </c>
    </row>
    <row r="253" spans="1:7" x14ac:dyDescent="0.3">
      <c r="A253" s="1">
        <f>'WL &amp; Q'!A253</f>
        <v>46242.374999999396</v>
      </c>
      <c r="B253" s="4" t="str">
        <f>IF('WL &amp; Q'!C253="","",'WL &amp; Q'!C253)</f>
        <v/>
      </c>
      <c r="C253" s="5" t="str">
        <f t="shared" si="5"/>
        <v/>
      </c>
      <c r="D253" s="4" t="str">
        <f>IF('WL &amp; Q'!E253="","",'WL &amp; Q'!E253)</f>
        <v/>
      </c>
      <c r="E253" s="8">
        <v>7</v>
      </c>
      <c r="F253" s="8">
        <v>8</v>
      </c>
      <c r="G253" s="8">
        <v>10</v>
      </c>
    </row>
    <row r="254" spans="1:7" x14ac:dyDescent="0.3">
      <c r="A254" s="1">
        <f>'WL &amp; Q'!A254</f>
        <v>46242.41666666606</v>
      </c>
      <c r="B254" s="4" t="str">
        <f>IF('WL &amp; Q'!C254="","",'WL &amp; Q'!C254)</f>
        <v/>
      </c>
      <c r="C254" s="5" t="str">
        <f t="shared" si="5"/>
        <v/>
      </c>
      <c r="D254" s="4" t="str">
        <f>IF('WL &amp; Q'!E254="","",'WL &amp; Q'!E254)</f>
        <v/>
      </c>
      <c r="E254" s="8">
        <v>7</v>
      </c>
      <c r="F254" s="8">
        <v>8</v>
      </c>
      <c r="G254" s="8">
        <v>10</v>
      </c>
    </row>
    <row r="255" spans="1:7" x14ac:dyDescent="0.3">
      <c r="A255" s="1">
        <f>'WL &amp; Q'!A255</f>
        <v>46242.458333332725</v>
      </c>
      <c r="B255" s="4" t="str">
        <f>IF('WL &amp; Q'!C255="","",'WL &amp; Q'!C255)</f>
        <v/>
      </c>
      <c r="C255" s="5" t="str">
        <f t="shared" si="5"/>
        <v/>
      </c>
      <c r="D255" s="4" t="str">
        <f>IF('WL &amp; Q'!E255="","",'WL &amp; Q'!E255)</f>
        <v/>
      </c>
      <c r="E255" s="8">
        <v>7</v>
      </c>
      <c r="F255" s="8">
        <v>8</v>
      </c>
      <c r="G255" s="8">
        <v>10</v>
      </c>
    </row>
    <row r="256" spans="1:7" x14ac:dyDescent="0.3">
      <c r="A256" s="1">
        <f>'WL &amp; Q'!A256</f>
        <v>46242.499999999389</v>
      </c>
      <c r="B256" s="4" t="str">
        <f>IF('WL &amp; Q'!C256="","",'WL &amp; Q'!C256)</f>
        <v/>
      </c>
      <c r="C256" s="5" t="str">
        <f t="shared" si="5"/>
        <v/>
      </c>
      <c r="D256" s="4" t="str">
        <f>IF('WL &amp; Q'!E256="","",'WL &amp; Q'!E256)</f>
        <v/>
      </c>
      <c r="E256" s="8">
        <v>7</v>
      </c>
      <c r="F256" s="8">
        <v>8</v>
      </c>
      <c r="G256" s="8">
        <v>10</v>
      </c>
    </row>
    <row r="257" spans="1:7" x14ac:dyDescent="0.3">
      <c r="A257" s="1">
        <f>'WL &amp; Q'!A257</f>
        <v>46242.541666666053</v>
      </c>
      <c r="B257" s="4" t="str">
        <f>IF('WL &amp; Q'!C257="","",'WL &amp; Q'!C257)</f>
        <v/>
      </c>
      <c r="C257" s="5" t="str">
        <f t="shared" si="5"/>
        <v/>
      </c>
      <c r="D257" s="4" t="str">
        <f>IF('WL &amp; Q'!E257="","",'WL &amp; Q'!E257)</f>
        <v/>
      </c>
      <c r="E257" s="8">
        <v>7</v>
      </c>
      <c r="F257" s="8">
        <v>8</v>
      </c>
      <c r="G257" s="8">
        <v>10</v>
      </c>
    </row>
    <row r="258" spans="1:7" x14ac:dyDescent="0.3">
      <c r="A258" s="1">
        <f>'WL &amp; Q'!A258</f>
        <v>46242.583333332717</v>
      </c>
      <c r="B258" s="4" t="str">
        <f>IF('WL &amp; Q'!C258="","",'WL &amp; Q'!C258)</f>
        <v/>
      </c>
      <c r="C258" s="5" t="str">
        <f t="shared" si="5"/>
        <v/>
      </c>
      <c r="D258" s="4" t="str">
        <f>IF('WL &amp; Q'!E258="","",'WL &amp; Q'!E258)</f>
        <v/>
      </c>
      <c r="E258" s="8">
        <v>7</v>
      </c>
      <c r="F258" s="8">
        <v>8</v>
      </c>
      <c r="G258" s="8">
        <v>10</v>
      </c>
    </row>
    <row r="259" spans="1:7" x14ac:dyDescent="0.3">
      <c r="A259" s="1">
        <f>'WL &amp; Q'!A259</f>
        <v>46242.624999999382</v>
      </c>
      <c r="B259" s="4" t="str">
        <f>IF('WL &amp; Q'!C259="","",'WL &amp; Q'!C259)</f>
        <v/>
      </c>
      <c r="C259" s="5" t="str">
        <f t="shared" si="5"/>
        <v/>
      </c>
      <c r="D259" s="4" t="str">
        <f>IF('WL &amp; Q'!E259="","",'WL &amp; Q'!E259)</f>
        <v/>
      </c>
      <c r="E259" s="8">
        <v>7</v>
      </c>
      <c r="F259" s="8">
        <v>8</v>
      </c>
      <c r="G259" s="8">
        <v>10</v>
      </c>
    </row>
    <row r="260" spans="1:7" x14ac:dyDescent="0.3">
      <c r="A260" s="1">
        <f>'WL &amp; Q'!A260</f>
        <v>46242.666666666046</v>
      </c>
      <c r="B260" s="4" t="str">
        <f>IF('WL &amp; Q'!C260="","",'WL &amp; Q'!C260)</f>
        <v/>
      </c>
      <c r="C260" s="5" t="str">
        <f t="shared" si="5"/>
        <v/>
      </c>
      <c r="D260" s="4" t="str">
        <f>IF('WL &amp; Q'!E260="","",'WL &amp; Q'!E260)</f>
        <v/>
      </c>
      <c r="E260" s="8">
        <v>7</v>
      </c>
      <c r="F260" s="8">
        <v>8</v>
      </c>
      <c r="G260" s="8">
        <v>10</v>
      </c>
    </row>
    <row r="261" spans="1:7" x14ac:dyDescent="0.3">
      <c r="A261" s="1">
        <f>'WL &amp; Q'!A261</f>
        <v>46242.70833333271</v>
      </c>
      <c r="B261" s="4" t="str">
        <f>IF('WL &amp; Q'!C261="","",'WL &amp; Q'!C261)</f>
        <v/>
      </c>
      <c r="C261" s="5" t="str">
        <f t="shared" si="5"/>
        <v/>
      </c>
      <c r="D261" s="4" t="str">
        <f>IF('WL &amp; Q'!E261="","",'WL &amp; Q'!E261)</f>
        <v/>
      </c>
      <c r="E261" s="8">
        <v>7</v>
      </c>
      <c r="F261" s="8">
        <v>8</v>
      </c>
      <c r="G261" s="8">
        <v>10</v>
      </c>
    </row>
    <row r="262" spans="1:7" x14ac:dyDescent="0.3">
      <c r="A262" s="1">
        <f>'WL &amp; Q'!A262</f>
        <v>46242.749999999374</v>
      </c>
      <c r="B262" s="4" t="str">
        <f>IF('WL &amp; Q'!C262="","",'WL &amp; Q'!C262)</f>
        <v/>
      </c>
      <c r="C262" s="5" t="str">
        <f t="shared" ref="C262:C268" si="6">IF(B262="","",IF((B262+0.56)&gt;4,13.194*(B262+0.56)^2+13.311*(B262+0.56)-0.8227,27.012*(B262+0.56)^1.6477))</f>
        <v/>
      </c>
      <c r="D262" s="4" t="str">
        <f>IF('WL &amp; Q'!E262="","",'WL &amp; Q'!E262)</f>
        <v/>
      </c>
      <c r="E262" s="8">
        <v>7</v>
      </c>
      <c r="F262" s="8">
        <v>8</v>
      </c>
      <c r="G262" s="8">
        <v>10</v>
      </c>
    </row>
    <row r="263" spans="1:7" x14ac:dyDescent="0.3">
      <c r="A263" s="1">
        <f>'WL &amp; Q'!A263</f>
        <v>46242.791666666039</v>
      </c>
      <c r="B263" s="4" t="str">
        <f>IF('WL &amp; Q'!C263="","",'WL &amp; Q'!C263)</f>
        <v/>
      </c>
      <c r="C263" s="5" t="str">
        <f t="shared" si="6"/>
        <v/>
      </c>
      <c r="D263" s="4" t="str">
        <f>IF('WL &amp; Q'!E263="","",'WL &amp; Q'!E263)</f>
        <v/>
      </c>
      <c r="E263" s="8">
        <v>7</v>
      </c>
      <c r="F263" s="8">
        <v>8</v>
      </c>
      <c r="G263" s="8">
        <v>10</v>
      </c>
    </row>
    <row r="264" spans="1:7" x14ac:dyDescent="0.3">
      <c r="A264" s="1">
        <f>'WL &amp; Q'!A264</f>
        <v>46242.833333332703</v>
      </c>
      <c r="B264" s="4" t="str">
        <f>IF('WL &amp; Q'!C264="","",'WL &amp; Q'!C264)</f>
        <v/>
      </c>
      <c r="C264" s="5" t="str">
        <f t="shared" si="6"/>
        <v/>
      </c>
      <c r="D264" s="4" t="str">
        <f>IF('WL &amp; Q'!E264="","",'WL &amp; Q'!E264)</f>
        <v/>
      </c>
      <c r="E264" s="8">
        <v>7</v>
      </c>
      <c r="F264" s="8">
        <v>8</v>
      </c>
      <c r="G264" s="8">
        <v>10</v>
      </c>
    </row>
    <row r="265" spans="1:7" x14ac:dyDescent="0.3">
      <c r="A265" s="1">
        <f>'WL &amp; Q'!A265</f>
        <v>46242.874999999367</v>
      </c>
      <c r="B265" s="4" t="str">
        <f>IF('WL &amp; Q'!C265="","",'WL &amp; Q'!C265)</f>
        <v/>
      </c>
      <c r="C265" s="5" t="str">
        <f t="shared" si="6"/>
        <v/>
      </c>
      <c r="D265" s="4" t="str">
        <f>IF('WL &amp; Q'!E265="","",'WL &amp; Q'!E265)</f>
        <v/>
      </c>
      <c r="E265" s="8">
        <v>7</v>
      </c>
      <c r="F265" s="8">
        <v>8</v>
      </c>
      <c r="G265" s="8">
        <v>10</v>
      </c>
    </row>
    <row r="266" spans="1:7" x14ac:dyDescent="0.3">
      <c r="A266" s="1">
        <f>'WL &amp; Q'!A266</f>
        <v>46242.916666666031</v>
      </c>
      <c r="B266" s="4" t="str">
        <f>IF('WL &amp; Q'!C266="","",'WL &amp; Q'!C266)</f>
        <v/>
      </c>
      <c r="C266" s="5" t="str">
        <f t="shared" si="6"/>
        <v/>
      </c>
      <c r="D266" s="4" t="str">
        <f>IF('WL &amp; Q'!E266="","",'WL &amp; Q'!E266)</f>
        <v/>
      </c>
      <c r="E266" s="8">
        <v>7</v>
      </c>
      <c r="F266" s="8">
        <v>8</v>
      </c>
      <c r="G266" s="8">
        <v>10</v>
      </c>
    </row>
    <row r="267" spans="1:7" x14ac:dyDescent="0.3">
      <c r="A267" s="1">
        <f>'WL &amp; Q'!A267</f>
        <v>46242.958333332695</v>
      </c>
      <c r="B267" s="4" t="str">
        <f>IF('WL &amp; Q'!C267="","",'WL &amp; Q'!C267)</f>
        <v/>
      </c>
      <c r="C267" s="5" t="str">
        <f t="shared" si="6"/>
        <v/>
      </c>
      <c r="D267" s="4" t="str">
        <f>IF('WL &amp; Q'!E267="","",'WL &amp; Q'!E267)</f>
        <v/>
      </c>
      <c r="E267" s="8">
        <v>7</v>
      </c>
      <c r="F267" s="8">
        <v>8</v>
      </c>
      <c r="G267" s="8">
        <v>10</v>
      </c>
    </row>
    <row r="268" spans="1:7" x14ac:dyDescent="0.3">
      <c r="A268" s="1">
        <f>'WL &amp; Q'!A268</f>
        <v>46242.99999999936</v>
      </c>
      <c r="B268" s="4" t="str">
        <f>IF('WL &amp; Q'!C268="","",'WL &amp; Q'!C268)</f>
        <v/>
      </c>
      <c r="C268" s="5" t="str">
        <f t="shared" si="6"/>
        <v/>
      </c>
      <c r="D268" s="4" t="str">
        <f>IF('WL &amp; Q'!E268="","",'WL &amp; Q'!E268)</f>
        <v/>
      </c>
      <c r="E268" s="8">
        <v>7</v>
      </c>
      <c r="F268" s="8">
        <v>8</v>
      </c>
      <c r="G268" s="8">
        <v>10</v>
      </c>
    </row>
  </sheetData>
  <phoneticPr fontId="6" type="noConversion"/>
  <conditionalFormatting sqref="D5:D26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{981302F7-E107-48C3-9C6F-59720D635948}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1302F7-E107-48C3-9C6F-59720D63594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D5:D268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D381-D5DC-494E-AAE0-5C5E032A7116}">
  <dimension ref="A1:Q268"/>
  <sheetViews>
    <sheetView workbookViewId="0">
      <selection activeCell="I5" sqref="I5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2</v>
      </c>
      <c r="C2" s="11"/>
      <c r="I2" s="18" t="s">
        <v>24</v>
      </c>
      <c r="J2" s="17" t="s">
        <v>20</v>
      </c>
      <c r="K2" s="17" t="s">
        <v>21</v>
      </c>
      <c r="L2" s="17" t="s">
        <v>22</v>
      </c>
      <c r="M2" s="17" t="s">
        <v>23</v>
      </c>
    </row>
    <row r="3" spans="1:17" x14ac:dyDescent="0.3">
      <c r="A3" s="11"/>
      <c r="C3" s="11"/>
      <c r="I3" s="18">
        <v>0</v>
      </c>
      <c r="J3" s="19">
        <f>Hanwella!J3</f>
        <v>46235.3125</v>
      </c>
      <c r="K3" s="19">
        <f>Hanwella!K3</f>
        <v>46237.479166666664</v>
      </c>
      <c r="L3" s="19">
        <f>Hanwella!L3</f>
        <v>46237.5625</v>
      </c>
      <c r="M3" s="19">
        <f>Hanwella!M3</f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26</v>
      </c>
      <c r="J4" s="19">
        <f>Hanwella!J4</f>
        <v>46235.3125</v>
      </c>
      <c r="K4" s="19">
        <f>Hanwella!K4</f>
        <v>46237.479166666664</v>
      </c>
      <c r="L4" s="19">
        <f>Hanwella!L4</f>
        <v>46237.5625</v>
      </c>
      <c r="M4" s="19">
        <f>Hanwella!M4</f>
        <v>46237.645833333336</v>
      </c>
      <c r="Q4" s="20"/>
    </row>
    <row r="5" spans="1:17" x14ac:dyDescent="0.3">
      <c r="A5" s="1">
        <f>'WL &amp; Q'!A5</f>
        <v>46232.041666666664</v>
      </c>
      <c r="B5" s="4">
        <f>IF('WL &amp; Q'!F5="","",'WL &amp; Q'!F5)</f>
        <v>8.85</v>
      </c>
      <c r="C5" s="6">
        <f t="shared" ref="C5:C69" si="0">IF(B5="","",IF((B5-0.118)&gt;14,9.8381*((B5-0.118)-7.5)^2+42.44*((B5-0.118)-7.5)-16.777,35.535*((B5-0.118)-7.5)^1.5414))</f>
        <v>49.014397082337581</v>
      </c>
      <c r="D5" s="4">
        <f>IF('WL &amp; Q'!H5="","",'WL &amp; Q'!H5)</f>
        <v>0</v>
      </c>
      <c r="E5" s="8">
        <v>15</v>
      </c>
      <c r="F5" s="8">
        <v>16.5</v>
      </c>
      <c r="G5" s="8">
        <v>19</v>
      </c>
      <c r="K5" s="1"/>
      <c r="Q5" s="20"/>
    </row>
    <row r="6" spans="1:17" x14ac:dyDescent="0.3">
      <c r="A6" s="1">
        <f>'WL &amp; Q'!A6</f>
        <v>46232.083333333328</v>
      </c>
      <c r="B6" s="4">
        <f>IF('WL &amp; Q'!F6="","",'WL &amp; Q'!F6)</f>
        <v>8.91</v>
      </c>
      <c r="C6" s="6">
        <f t="shared" si="0"/>
        <v>52.741971330213161</v>
      </c>
      <c r="D6" s="4">
        <f>IF('WL &amp; Q'!H6="","",'WL &amp; Q'!H6)</f>
        <v>1</v>
      </c>
      <c r="E6" s="8">
        <v>15</v>
      </c>
      <c r="F6" s="8">
        <v>16.5</v>
      </c>
      <c r="G6" s="8">
        <v>19</v>
      </c>
      <c r="K6" s="1"/>
      <c r="M6" s="1"/>
    </row>
    <row r="7" spans="1:17" x14ac:dyDescent="0.3">
      <c r="A7" s="1">
        <f>'WL &amp; Q'!A7</f>
        <v>46232.124999999993</v>
      </c>
      <c r="B7" s="4">
        <f>IF('WL &amp; Q'!F7="","",'WL &amp; Q'!F7)</f>
        <v>9.0500000000000007</v>
      </c>
      <c r="C7" s="6">
        <f t="shared" si="0"/>
        <v>61.805466344232642</v>
      </c>
      <c r="D7" s="4">
        <f>IF('WL &amp; Q'!H7="","",'WL &amp; Q'!H7)</f>
        <v>0</v>
      </c>
      <c r="E7" s="8">
        <v>15</v>
      </c>
      <c r="F7" s="8">
        <v>16.5</v>
      </c>
      <c r="G7" s="8">
        <v>19</v>
      </c>
    </row>
    <row r="8" spans="1:17" x14ac:dyDescent="0.3">
      <c r="A8" s="1">
        <f>'WL &amp; Q'!A8</f>
        <v>46232.166666666657</v>
      </c>
      <c r="B8" s="4">
        <f>IF('WL &amp; Q'!F8="","",'WL &amp; Q'!F8)</f>
        <v>9.1300000000000008</v>
      </c>
      <c r="C8" s="6">
        <f t="shared" si="0"/>
        <v>67.207455116808589</v>
      </c>
      <c r="D8" s="4">
        <f>IF('WL &amp; Q'!H8="","",'WL &amp; Q'!H8)</f>
        <v>0</v>
      </c>
      <c r="E8" s="8">
        <v>15</v>
      </c>
      <c r="F8" s="8">
        <v>16.5</v>
      </c>
      <c r="G8" s="8">
        <v>19</v>
      </c>
    </row>
    <row r="9" spans="1:17" x14ac:dyDescent="0.3">
      <c r="A9" s="1">
        <f>'WL &amp; Q'!A9</f>
        <v>46232.208333333321</v>
      </c>
      <c r="B9" s="4">
        <f>IF('WL &amp; Q'!F9="","",'WL &amp; Q'!F9)</f>
        <v>9.1</v>
      </c>
      <c r="C9" s="6">
        <f t="shared" si="0"/>
        <v>65.163100612571611</v>
      </c>
      <c r="D9" s="4">
        <f>IF('WL &amp; Q'!H9="","",'WL &amp; Q'!H9)</f>
        <v>3.3</v>
      </c>
      <c r="E9" s="8">
        <v>15</v>
      </c>
      <c r="F9" s="8">
        <v>16.5</v>
      </c>
      <c r="G9" s="8">
        <v>19</v>
      </c>
    </row>
    <row r="10" spans="1:17" x14ac:dyDescent="0.3">
      <c r="A10" s="1">
        <f>'WL &amp; Q'!A10</f>
        <v>46232.249999999985</v>
      </c>
      <c r="B10" s="4">
        <f>IF('WL &amp; Q'!F10="","",'WL &amp; Q'!F10)</f>
        <v>9.08</v>
      </c>
      <c r="C10" s="6">
        <f t="shared" si="0"/>
        <v>63.812564725327</v>
      </c>
      <c r="D10" s="4">
        <f>IF('WL &amp; Q'!H10="","",'WL &amp; Q'!H10)</f>
        <v>0</v>
      </c>
      <c r="E10" s="8">
        <v>15</v>
      </c>
      <c r="F10" s="8">
        <v>16.5</v>
      </c>
      <c r="G10" s="8">
        <v>19</v>
      </c>
    </row>
    <row r="11" spans="1:17" x14ac:dyDescent="0.3">
      <c r="A11" s="1">
        <f>'WL &amp; Q'!A11</f>
        <v>46232.29166666665</v>
      </c>
      <c r="B11" s="4">
        <f>IF('WL &amp; Q'!F11="","",'WL &amp; Q'!F11)</f>
        <v>9.06</v>
      </c>
      <c r="C11" s="6">
        <f t="shared" si="0"/>
        <v>62.471994578776211</v>
      </c>
      <c r="D11" s="4">
        <f>IF('WL &amp; Q'!H11="","",'WL &amp; Q'!H11)</f>
        <v>0.4</v>
      </c>
      <c r="E11" s="8">
        <v>15</v>
      </c>
      <c r="F11" s="8">
        <v>16.5</v>
      </c>
      <c r="G11" s="8">
        <v>19</v>
      </c>
    </row>
    <row r="12" spans="1:17" x14ac:dyDescent="0.3">
      <c r="A12" s="1">
        <f>'WL &amp; Q'!A12</f>
        <v>46232.333333333314</v>
      </c>
      <c r="B12" s="4">
        <f>IF('WL &amp; Q'!F12="","",'WL &amp; Q'!F12)</f>
        <v>9.0399999999999991</v>
      </c>
      <c r="C12" s="6">
        <f t="shared" si="0"/>
        <v>61.141453327723845</v>
      </c>
      <c r="D12" s="4">
        <f>IF('WL &amp; Q'!H12="","",'WL &amp; Q'!H12)</f>
        <v>0</v>
      </c>
      <c r="E12" s="8">
        <v>15</v>
      </c>
      <c r="F12" s="8">
        <v>16.5</v>
      </c>
      <c r="G12" s="8">
        <v>19</v>
      </c>
    </row>
    <row r="13" spans="1:17" x14ac:dyDescent="0.3">
      <c r="A13" s="1">
        <f>'WL &amp; Q'!A13</f>
        <v>46232.374999999978</v>
      </c>
      <c r="B13" s="4">
        <f>IF('WL &amp; Q'!F13="","",'WL &amp; Q'!F13)</f>
        <v>9.0299999999999994</v>
      </c>
      <c r="C13" s="6">
        <f t="shared" si="0"/>
        <v>60.479963625627157</v>
      </c>
      <c r="D13" s="4">
        <f>IF('WL &amp; Q'!H13="","",'WL &amp; Q'!H13)</f>
        <v>0</v>
      </c>
      <c r="E13" s="8">
        <v>15</v>
      </c>
      <c r="F13" s="8">
        <v>16.5</v>
      </c>
      <c r="G13" s="8">
        <v>19</v>
      </c>
    </row>
    <row r="14" spans="1:17" x14ac:dyDescent="0.3">
      <c r="A14" s="1">
        <f>'WL &amp; Q'!A14</f>
        <v>46232.416666666642</v>
      </c>
      <c r="B14" s="4">
        <f>IF('WL &amp; Q'!F14="","",'WL &amp; Q'!F14)</f>
        <v>9.01</v>
      </c>
      <c r="C14" s="6">
        <f t="shared" si="0"/>
        <v>59.164586969029159</v>
      </c>
      <c r="D14" s="4">
        <f>IF('WL &amp; Q'!H14="","",'WL &amp; Q'!H14)</f>
        <v>1.2</v>
      </c>
      <c r="E14" s="8">
        <v>15</v>
      </c>
      <c r="F14" s="8">
        <v>16.5</v>
      </c>
      <c r="G14" s="8">
        <v>19</v>
      </c>
    </row>
    <row r="15" spans="1:17" x14ac:dyDescent="0.3">
      <c r="A15" s="1">
        <f>'WL &amp; Q'!A15</f>
        <v>46232.458333333307</v>
      </c>
      <c r="B15" s="4">
        <f>IF('WL &amp; Q'!F15="","",'WL &amp; Q'!F15)</f>
        <v>9</v>
      </c>
      <c r="C15" s="6">
        <f t="shared" si="0"/>
        <v>58.510716630552523</v>
      </c>
      <c r="D15" s="4">
        <f>IF('WL &amp; Q'!H15="","",'WL &amp; Q'!H15)</f>
        <v>0</v>
      </c>
      <c r="E15" s="8">
        <v>15</v>
      </c>
      <c r="F15" s="8">
        <v>16.5</v>
      </c>
      <c r="G15" s="8">
        <v>19</v>
      </c>
    </row>
    <row r="16" spans="1:17" x14ac:dyDescent="0.3">
      <c r="A16" s="1">
        <f>'WL &amp; Q'!A16</f>
        <v>46232.499999999971</v>
      </c>
      <c r="B16" s="4">
        <f>IF('WL &amp; Q'!F16="","",'WL &amp; Q'!F16)</f>
        <v>8.98</v>
      </c>
      <c r="C16" s="6">
        <f t="shared" si="0"/>
        <v>57.210654130826192</v>
      </c>
      <c r="D16" s="4">
        <f>IF('WL &amp; Q'!H16="","",'WL &amp; Q'!H16)</f>
        <v>0</v>
      </c>
      <c r="E16" s="8">
        <v>15</v>
      </c>
      <c r="F16" s="8">
        <v>16.5</v>
      </c>
      <c r="G16" s="8">
        <v>19</v>
      </c>
    </row>
    <row r="17" spans="1:7" x14ac:dyDescent="0.3">
      <c r="A17" s="1">
        <f>'WL &amp; Q'!A17</f>
        <v>46232.541666666635</v>
      </c>
      <c r="B17" s="4">
        <f>IF('WL &amp; Q'!F17="","",'WL &amp; Q'!F17)</f>
        <v>9.02</v>
      </c>
      <c r="C17" s="6">
        <f t="shared" si="0"/>
        <v>59.821005417797565</v>
      </c>
      <c r="D17" s="4">
        <f>IF('WL &amp; Q'!H17="","",'WL &amp; Q'!H17)</f>
        <v>0</v>
      </c>
      <c r="E17" s="8">
        <v>15</v>
      </c>
      <c r="F17" s="8">
        <v>16.5</v>
      </c>
      <c r="G17" s="8">
        <v>19</v>
      </c>
    </row>
    <row r="18" spans="1:7" x14ac:dyDescent="0.3">
      <c r="A18" s="1">
        <f>'WL &amp; Q'!A18</f>
        <v>46232.583333333299</v>
      </c>
      <c r="B18" s="4">
        <f>IF('WL &amp; Q'!F18="","",'WL &amp; Q'!F18)</f>
        <v>9.0500000000000007</v>
      </c>
      <c r="C18" s="6">
        <f t="shared" si="0"/>
        <v>61.805466344232642</v>
      </c>
      <c r="D18" s="4">
        <f>IF('WL &amp; Q'!H18="","",'WL &amp; Q'!H18)</f>
        <v>0</v>
      </c>
      <c r="E18" s="8">
        <v>15</v>
      </c>
      <c r="F18" s="8">
        <v>16.5</v>
      </c>
      <c r="G18" s="8">
        <v>19</v>
      </c>
    </row>
    <row r="19" spans="1:7" x14ac:dyDescent="0.3">
      <c r="A19" s="1">
        <f>'WL &amp; Q'!A19</f>
        <v>46232.624999999964</v>
      </c>
      <c r="B19" s="4">
        <f>IF('WL &amp; Q'!F19="","",'WL &amp; Q'!F19)</f>
        <v>9.06</v>
      </c>
      <c r="C19" s="6">
        <f t="shared" si="0"/>
        <v>62.471994578776211</v>
      </c>
      <c r="D19" s="4">
        <f>IF('WL &amp; Q'!H19="","",'WL &amp; Q'!H19)</f>
        <v>0</v>
      </c>
      <c r="E19" s="8">
        <v>15</v>
      </c>
      <c r="F19" s="8">
        <v>16.5</v>
      </c>
      <c r="G19" s="8">
        <v>19</v>
      </c>
    </row>
    <row r="20" spans="1:7" x14ac:dyDescent="0.3">
      <c r="A20" s="1">
        <f>'WL &amp; Q'!A20</f>
        <v>46232.666666666628</v>
      </c>
      <c r="B20" s="4">
        <f>IF('WL &amp; Q'!F20="","",'WL &amp; Q'!F20)</f>
        <v>9.0500000000000007</v>
      </c>
      <c r="C20" s="6">
        <f t="shared" si="0"/>
        <v>61.805466344232642</v>
      </c>
      <c r="D20" s="4">
        <f>IF('WL &amp; Q'!H20="","",'WL &amp; Q'!H20)</f>
        <v>0</v>
      </c>
      <c r="E20" s="8">
        <v>15</v>
      </c>
      <c r="F20" s="8">
        <v>16.5</v>
      </c>
      <c r="G20" s="8">
        <v>19</v>
      </c>
    </row>
    <row r="21" spans="1:7" x14ac:dyDescent="0.3">
      <c r="A21" s="1">
        <f>'WL &amp; Q'!A21</f>
        <v>46232.708333333292</v>
      </c>
      <c r="B21" s="4">
        <f>IF('WL &amp; Q'!F21="","",'WL &amp; Q'!F21)</f>
        <v>8.98</v>
      </c>
      <c r="C21" s="6">
        <f t="shared" si="0"/>
        <v>57.210654130826192</v>
      </c>
      <c r="D21" s="4">
        <f>IF('WL &amp; Q'!H21="","",'WL &amp; Q'!H21)</f>
        <v>0</v>
      </c>
      <c r="E21" s="8">
        <v>15</v>
      </c>
      <c r="F21" s="8">
        <v>16.5</v>
      </c>
      <c r="G21" s="8">
        <v>19</v>
      </c>
    </row>
    <row r="22" spans="1:7" x14ac:dyDescent="0.3">
      <c r="A22" s="1">
        <f>'WL &amp; Q'!A22</f>
        <v>46232.749999999956</v>
      </c>
      <c r="B22" s="4">
        <f>IF('WL &amp; Q'!F22="","",'WL &amp; Q'!F22)</f>
        <v>8.9</v>
      </c>
      <c r="C22" s="6">
        <f t="shared" si="0"/>
        <v>52.114061577663563</v>
      </c>
      <c r="D22" s="4">
        <f>IF('WL &amp; Q'!H22="","",'WL &amp; Q'!H22)</f>
        <v>0</v>
      </c>
      <c r="E22" s="8">
        <v>15</v>
      </c>
      <c r="F22" s="8">
        <v>16.5</v>
      </c>
      <c r="G22" s="8">
        <v>19</v>
      </c>
    </row>
    <row r="23" spans="1:7" x14ac:dyDescent="0.3">
      <c r="A23" s="1">
        <f>'WL &amp; Q'!A23</f>
        <v>46232.791666666621</v>
      </c>
      <c r="B23" s="4">
        <f>IF('WL &amp; Q'!F23="","",'WL &amp; Q'!F23)</f>
        <v>8.86</v>
      </c>
      <c r="C23" s="6">
        <f t="shared" si="0"/>
        <v>49.628979789594709</v>
      </c>
      <c r="D23" s="4">
        <f>IF('WL &amp; Q'!H23="","",'WL &amp; Q'!H23)</f>
        <v>0</v>
      </c>
      <c r="E23" s="8">
        <v>15</v>
      </c>
      <c r="F23" s="8">
        <v>16.5</v>
      </c>
      <c r="G23" s="8">
        <v>19</v>
      </c>
    </row>
    <row r="24" spans="1:7" x14ac:dyDescent="0.3">
      <c r="A24" s="1">
        <f>'WL &amp; Q'!A24</f>
        <v>46232.833333333285</v>
      </c>
      <c r="B24" s="4">
        <f>IF('WL &amp; Q'!F24="","",'WL &amp; Q'!F24)</f>
        <v>8.85</v>
      </c>
      <c r="C24" s="6">
        <f t="shared" si="0"/>
        <v>49.014397082337581</v>
      </c>
      <c r="D24" s="4">
        <f>IF('WL &amp; Q'!H24="","",'WL &amp; Q'!H24)</f>
        <v>0</v>
      </c>
      <c r="E24" s="8">
        <v>15</v>
      </c>
      <c r="F24" s="8">
        <v>16.5</v>
      </c>
      <c r="G24" s="8">
        <v>19</v>
      </c>
    </row>
    <row r="25" spans="1:7" x14ac:dyDescent="0.3">
      <c r="A25" s="1">
        <f>'WL &amp; Q'!A25</f>
        <v>46232.874999999949</v>
      </c>
      <c r="B25" s="4">
        <f>IF('WL &amp; Q'!F25="","",'WL &amp; Q'!F25)</f>
        <v>8.9</v>
      </c>
      <c r="C25" s="6">
        <f t="shared" si="0"/>
        <v>52.114061577663563</v>
      </c>
      <c r="D25" s="4">
        <f>IF('WL &amp; Q'!H25="","",'WL &amp; Q'!H25)</f>
        <v>0</v>
      </c>
      <c r="E25" s="8">
        <v>15</v>
      </c>
      <c r="F25" s="8">
        <v>16.5</v>
      </c>
      <c r="G25" s="8">
        <v>19</v>
      </c>
    </row>
    <row r="26" spans="1:7" x14ac:dyDescent="0.3">
      <c r="A26" s="1">
        <f>'WL &amp; Q'!A26</f>
        <v>46232.916666666613</v>
      </c>
      <c r="B26" s="4">
        <f>IF('WL &amp; Q'!F26="","",'WL &amp; Q'!F26)</f>
        <v>8.98</v>
      </c>
      <c r="C26" s="6">
        <f t="shared" si="0"/>
        <v>57.210654130826192</v>
      </c>
      <c r="D26" s="4">
        <f>IF('WL &amp; Q'!H26="","",'WL &amp; Q'!H26)</f>
        <v>0</v>
      </c>
      <c r="E26" s="8">
        <v>15</v>
      </c>
      <c r="F26" s="8">
        <v>16.5</v>
      </c>
      <c r="G26" s="8">
        <v>19</v>
      </c>
    </row>
    <row r="27" spans="1:7" x14ac:dyDescent="0.3">
      <c r="A27" s="1">
        <f>'WL &amp; Q'!A27</f>
        <v>46232.958333333278</v>
      </c>
      <c r="B27" s="4">
        <f>IF('WL &amp; Q'!F27="","",'WL &amp; Q'!F27)</f>
        <v>9.0299999999999994</v>
      </c>
      <c r="C27" s="6">
        <f t="shared" si="0"/>
        <v>60.479963625627157</v>
      </c>
      <c r="D27" s="4">
        <f>IF('WL &amp; Q'!H27="","",'WL &amp; Q'!H27)</f>
        <v>0</v>
      </c>
      <c r="E27" s="8">
        <v>15</v>
      </c>
      <c r="F27" s="8">
        <v>16.5</v>
      </c>
      <c r="G27" s="8">
        <v>19</v>
      </c>
    </row>
    <row r="28" spans="1:7" x14ac:dyDescent="0.3">
      <c r="A28" s="1">
        <f>'WL &amp; Q'!A28</f>
        <v>46232.999999999942</v>
      </c>
      <c r="B28" s="4">
        <f>IF('WL &amp; Q'!F28="","",'WL &amp; Q'!F28)</f>
        <v>8.9700000000000006</v>
      </c>
      <c r="C28" s="6">
        <f t="shared" si="0"/>
        <v>56.564479118227055</v>
      </c>
      <c r="D28" s="4">
        <f>IF('WL &amp; Q'!H28="","",'WL &amp; Q'!H28)</f>
        <v>0</v>
      </c>
      <c r="E28" s="8">
        <v>15</v>
      </c>
      <c r="F28" s="8">
        <v>16.5</v>
      </c>
      <c r="G28" s="8">
        <v>19</v>
      </c>
    </row>
    <row r="29" spans="1:7" x14ac:dyDescent="0.3">
      <c r="A29" s="1">
        <f>'WL &amp; Q'!A29</f>
        <v>46233.041666666606</v>
      </c>
      <c r="B29" s="4">
        <f>IF('WL &amp; Q'!F29="","",'WL &amp; Q'!F29)</f>
        <v>8.9700000000000006</v>
      </c>
      <c r="C29" s="6">
        <f t="shared" si="0"/>
        <v>56.564479118227055</v>
      </c>
      <c r="D29" s="4">
        <f>IF('WL &amp; Q'!H29="","",'WL &amp; Q'!H29)</f>
        <v>0</v>
      </c>
      <c r="E29" s="8">
        <v>15</v>
      </c>
      <c r="F29" s="8">
        <v>16.5</v>
      </c>
      <c r="G29" s="8">
        <v>19</v>
      </c>
    </row>
    <row r="30" spans="1:7" x14ac:dyDescent="0.3">
      <c r="A30" s="1">
        <f>'WL &amp; Q'!A30</f>
        <v>46233.08333333327</v>
      </c>
      <c r="B30" s="4">
        <f>IF('WL &amp; Q'!F30="","",'WL &amp; Q'!F30)</f>
        <v>9.08</v>
      </c>
      <c r="C30" s="6">
        <f t="shared" si="0"/>
        <v>63.812564725327</v>
      </c>
      <c r="D30" s="4">
        <f>IF('WL &amp; Q'!H30="","",'WL &amp; Q'!H30)</f>
        <v>0</v>
      </c>
      <c r="E30" s="8">
        <v>15</v>
      </c>
      <c r="F30" s="8">
        <v>16.5</v>
      </c>
      <c r="G30" s="8">
        <v>19</v>
      </c>
    </row>
    <row r="31" spans="1:7" x14ac:dyDescent="0.3">
      <c r="A31" s="1">
        <f>'WL &amp; Q'!A31</f>
        <v>46233.124999999935</v>
      </c>
      <c r="B31" s="4">
        <f>IF('WL &amp; Q'!F31="","",'WL &amp; Q'!F31)</f>
        <v>9.16</v>
      </c>
      <c r="C31" s="6">
        <f t="shared" si="0"/>
        <v>69.273889643730769</v>
      </c>
      <c r="D31" s="4">
        <f>IF('WL &amp; Q'!H31="","",'WL &amp; Q'!H31)</f>
        <v>0</v>
      </c>
      <c r="E31" s="8">
        <v>15</v>
      </c>
      <c r="F31" s="8">
        <v>16.5</v>
      </c>
      <c r="G31" s="8">
        <v>19</v>
      </c>
    </row>
    <row r="32" spans="1:7" x14ac:dyDescent="0.3">
      <c r="A32" s="1">
        <f>'WL &amp; Q'!A32</f>
        <v>46233.166666666599</v>
      </c>
      <c r="B32" s="4">
        <f>IF('WL &amp; Q'!F32="","",'WL &amp; Q'!F32)</f>
        <v>9.1999999999999993</v>
      </c>
      <c r="C32" s="6">
        <f t="shared" si="0"/>
        <v>72.063140844477729</v>
      </c>
      <c r="D32" s="4">
        <f>IF('WL &amp; Q'!H32="","",'WL &amp; Q'!H32)</f>
        <v>0</v>
      </c>
      <c r="E32" s="8">
        <v>15</v>
      </c>
      <c r="F32" s="8">
        <v>16.5</v>
      </c>
      <c r="G32" s="8">
        <v>19</v>
      </c>
    </row>
    <row r="33" spans="1:7" x14ac:dyDescent="0.3">
      <c r="A33" s="1">
        <f>'WL &amp; Q'!A33</f>
        <v>46233.208333333263</v>
      </c>
      <c r="B33" s="4">
        <f>IF('WL &amp; Q'!F33="","",'WL &amp; Q'!F33)</f>
        <v>9.18</v>
      </c>
      <c r="C33" s="6">
        <f t="shared" si="0"/>
        <v>70.663681298372936</v>
      </c>
      <c r="D33" s="4">
        <f>IF('WL &amp; Q'!H33="","",'WL &amp; Q'!H33)</f>
        <v>0</v>
      </c>
      <c r="E33" s="8">
        <v>15</v>
      </c>
      <c r="F33" s="8">
        <v>16.5</v>
      </c>
      <c r="G33" s="8">
        <v>19</v>
      </c>
    </row>
    <row r="34" spans="1:7" x14ac:dyDescent="0.3">
      <c r="A34" s="1">
        <f>'WL &amp; Q'!A34</f>
        <v>46233.249999999927</v>
      </c>
      <c r="B34" s="4">
        <f>IF('WL &amp; Q'!F34="","",'WL &amp; Q'!F34)</f>
        <v>9.16</v>
      </c>
      <c r="C34" s="6">
        <f t="shared" si="0"/>
        <v>69.273889643730769</v>
      </c>
      <c r="D34" s="4">
        <f>IF('WL &amp; Q'!H34="","",'WL &amp; Q'!H34)</f>
        <v>0</v>
      </c>
      <c r="E34" s="8">
        <v>15</v>
      </c>
      <c r="F34" s="8">
        <v>16.5</v>
      </c>
      <c r="G34" s="8">
        <v>19</v>
      </c>
    </row>
    <row r="35" spans="1:7" x14ac:dyDescent="0.3">
      <c r="A35" s="1">
        <f>'WL &amp; Q'!A35</f>
        <v>46233.291666666591</v>
      </c>
      <c r="B35" s="4">
        <f>IF('WL &amp; Q'!F35="","",'WL &amp; Q'!F35)</f>
        <v>9.1</v>
      </c>
      <c r="C35" s="6">
        <f t="shared" si="0"/>
        <v>65.163100612571611</v>
      </c>
      <c r="D35" s="4">
        <f>IF('WL &amp; Q'!H35="","",'WL &amp; Q'!H35)</f>
        <v>0</v>
      </c>
      <c r="E35" s="8">
        <v>15</v>
      </c>
      <c r="F35" s="8">
        <v>16.5</v>
      </c>
      <c r="G35" s="8">
        <v>19</v>
      </c>
    </row>
    <row r="36" spans="1:7" x14ac:dyDescent="0.3">
      <c r="A36" s="1">
        <f>'WL &amp; Q'!A36</f>
        <v>46233.333333333256</v>
      </c>
      <c r="B36" s="4">
        <f>IF('WL &amp; Q'!F36="","",'WL &amp; Q'!F36)</f>
        <v>9.0299999999999994</v>
      </c>
      <c r="C36" s="6">
        <f t="shared" si="0"/>
        <v>60.479963625627157</v>
      </c>
      <c r="D36" s="4">
        <f>IF('WL &amp; Q'!H36="","",'WL &amp; Q'!H36)</f>
        <v>0</v>
      </c>
      <c r="E36" s="8">
        <v>15</v>
      </c>
      <c r="F36" s="8">
        <v>16.5</v>
      </c>
      <c r="G36" s="8">
        <v>19</v>
      </c>
    </row>
    <row r="37" spans="1:7" x14ac:dyDescent="0.3">
      <c r="A37" s="1">
        <f>'WL &amp; Q'!A37</f>
        <v>46233.37499999992</v>
      </c>
      <c r="B37" s="4">
        <f>IF('WL &amp; Q'!F37="","",'WL &amp; Q'!F37)</f>
        <v>8.93</v>
      </c>
      <c r="C37" s="6">
        <f t="shared" si="0"/>
        <v>54.005691731732064</v>
      </c>
      <c r="D37" s="4">
        <f>IF('WL &amp; Q'!H37="","",'WL &amp; Q'!H37)</f>
        <v>0</v>
      </c>
      <c r="E37" s="8">
        <v>15</v>
      </c>
      <c r="F37" s="8">
        <v>16.5</v>
      </c>
      <c r="G37" s="8">
        <v>19</v>
      </c>
    </row>
    <row r="38" spans="1:7" x14ac:dyDescent="0.3">
      <c r="A38" s="1">
        <f>'WL &amp; Q'!A38</f>
        <v>46233.416666666584</v>
      </c>
      <c r="B38" s="4">
        <f>IF('WL &amp; Q'!F38="","",'WL &amp; Q'!F38)</f>
        <v>8.8800000000000008</v>
      </c>
      <c r="C38" s="6">
        <f t="shared" si="0"/>
        <v>50.86619003346506</v>
      </c>
      <c r="D38" s="4">
        <f>IF('WL &amp; Q'!H38="","",'WL &amp; Q'!H38)</f>
        <v>0</v>
      </c>
      <c r="E38" s="8">
        <v>15</v>
      </c>
      <c r="F38" s="8">
        <v>16.5</v>
      </c>
      <c r="G38" s="8">
        <v>19</v>
      </c>
    </row>
    <row r="39" spans="1:7" x14ac:dyDescent="0.3">
      <c r="A39" s="1">
        <f>'WL &amp; Q'!A39</f>
        <v>46233.458333333248</v>
      </c>
      <c r="B39" s="4">
        <f>IF('WL &amp; Q'!F39="","",'WL &amp; Q'!F39)</f>
        <v>8.85</v>
      </c>
      <c r="C39" s="6">
        <f t="shared" si="0"/>
        <v>49.014397082337581</v>
      </c>
      <c r="D39" s="4">
        <f>IF('WL &amp; Q'!H39="","",'WL &amp; Q'!H39)</f>
        <v>0</v>
      </c>
      <c r="E39" s="8">
        <v>15</v>
      </c>
      <c r="F39" s="8">
        <v>16.5</v>
      </c>
      <c r="G39" s="8">
        <v>19</v>
      </c>
    </row>
    <row r="40" spans="1:7" x14ac:dyDescent="0.3">
      <c r="A40" s="1">
        <f>'WL &amp; Q'!A40</f>
        <v>46233.499999999913</v>
      </c>
      <c r="B40" s="4">
        <f>IF('WL &amp; Q'!F40="","",'WL &amp; Q'!F40)</f>
        <v>8.83</v>
      </c>
      <c r="C40" s="6">
        <f t="shared" si="0"/>
        <v>47.793326362270719</v>
      </c>
      <c r="D40" s="4">
        <f>IF('WL &amp; Q'!H40="","",'WL &amp; Q'!H40)</f>
        <v>0</v>
      </c>
      <c r="E40" s="8">
        <v>15</v>
      </c>
      <c r="F40" s="8">
        <v>16.5</v>
      </c>
      <c r="G40" s="8">
        <v>19</v>
      </c>
    </row>
    <row r="41" spans="1:7" x14ac:dyDescent="0.3">
      <c r="A41" s="1">
        <f>'WL &amp; Q'!A41</f>
        <v>46233.541666666577</v>
      </c>
      <c r="B41" s="4">
        <f>IF('WL &amp; Q'!F41="","",'WL &amp; Q'!F41)</f>
        <v>8.83</v>
      </c>
      <c r="C41" s="6">
        <f t="shared" si="0"/>
        <v>47.793326362270719</v>
      </c>
      <c r="D41" s="4">
        <f>IF('WL &amp; Q'!H41="","",'WL &amp; Q'!H41)</f>
        <v>0</v>
      </c>
      <c r="E41" s="8">
        <v>15</v>
      </c>
      <c r="F41" s="8">
        <v>16.5</v>
      </c>
      <c r="G41" s="8">
        <v>19</v>
      </c>
    </row>
    <row r="42" spans="1:7" x14ac:dyDescent="0.3">
      <c r="A42" s="1">
        <f>'WL &amp; Q'!A42</f>
        <v>46233.583333333241</v>
      </c>
      <c r="B42" s="4">
        <f>IF('WL &amp; Q'!F42="","",'WL &amp; Q'!F42)</f>
        <v>8.7899999999999991</v>
      </c>
      <c r="C42" s="6">
        <f t="shared" si="0"/>
        <v>45.383850550762737</v>
      </c>
      <c r="D42" s="4">
        <f>IF('WL &amp; Q'!H42="","",'WL &amp; Q'!H42)</f>
        <v>0</v>
      </c>
      <c r="E42" s="8">
        <v>15</v>
      </c>
      <c r="F42" s="8">
        <v>16.5</v>
      </c>
      <c r="G42" s="8">
        <v>19</v>
      </c>
    </row>
    <row r="43" spans="1:7" x14ac:dyDescent="0.3">
      <c r="A43" s="1">
        <f>'WL &amp; Q'!A43</f>
        <v>46233.624999999905</v>
      </c>
      <c r="B43" s="4">
        <f>IF('WL &amp; Q'!F43="","",'WL &amp; Q'!F43)</f>
        <v>8.7799999999999994</v>
      </c>
      <c r="C43" s="6">
        <f t="shared" si="0"/>
        <v>44.788348164654764</v>
      </c>
      <c r="D43" s="4">
        <f>IF('WL &amp; Q'!H43="","",'WL &amp; Q'!H43)</f>
        <v>4</v>
      </c>
      <c r="E43" s="8">
        <v>15</v>
      </c>
      <c r="F43" s="8">
        <v>16.5</v>
      </c>
      <c r="G43" s="8">
        <v>19</v>
      </c>
    </row>
    <row r="44" spans="1:7" x14ac:dyDescent="0.3">
      <c r="A44" s="1">
        <f>'WL &amp; Q'!A44</f>
        <v>46233.66666666657</v>
      </c>
      <c r="B44" s="4">
        <f>IF('WL &amp; Q'!F44="","",'WL &amp; Q'!F44)</f>
        <v>8.7799999999999994</v>
      </c>
      <c r="C44" s="6">
        <f t="shared" si="0"/>
        <v>44.788348164654764</v>
      </c>
      <c r="D44" s="4">
        <f>IF('WL &amp; Q'!H44="","",'WL &amp; Q'!H44)</f>
        <v>2.5</v>
      </c>
      <c r="E44" s="8">
        <v>15</v>
      </c>
      <c r="F44" s="8">
        <v>16.5</v>
      </c>
      <c r="G44" s="8">
        <v>19</v>
      </c>
    </row>
    <row r="45" spans="1:7" x14ac:dyDescent="0.3">
      <c r="A45" s="1">
        <f>'WL &amp; Q'!A45</f>
        <v>46233.708333333234</v>
      </c>
      <c r="B45" s="4">
        <f>IF('WL &amp; Q'!F45="","",'WL &amp; Q'!F45)</f>
        <v>8.75</v>
      </c>
      <c r="C45" s="6">
        <f t="shared" si="0"/>
        <v>43.018493968164293</v>
      </c>
      <c r="D45" s="4">
        <f>IF('WL &amp; Q'!H45="","",'WL &amp; Q'!H45)</f>
        <v>6</v>
      </c>
      <c r="E45" s="8">
        <v>15</v>
      </c>
      <c r="F45" s="8">
        <v>16.5</v>
      </c>
      <c r="G45" s="8">
        <v>19</v>
      </c>
    </row>
    <row r="46" spans="1:7" x14ac:dyDescent="0.3">
      <c r="A46" s="1">
        <f>'WL &amp; Q'!A46</f>
        <v>46233.749999999898</v>
      </c>
      <c r="B46" s="4">
        <f>IF('WL &amp; Q'!F46="","",'WL &amp; Q'!F46)</f>
        <v>8.73</v>
      </c>
      <c r="C46" s="6">
        <f t="shared" si="0"/>
        <v>41.852580349382897</v>
      </c>
      <c r="D46" s="4">
        <f>IF('WL &amp; Q'!H46="","",'WL &amp; Q'!H46)</f>
        <v>0</v>
      </c>
      <c r="E46" s="8">
        <v>15</v>
      </c>
      <c r="F46" s="8">
        <v>16.5</v>
      </c>
      <c r="G46" s="8">
        <v>19</v>
      </c>
    </row>
    <row r="47" spans="1:7" x14ac:dyDescent="0.3">
      <c r="A47" s="1">
        <f>'WL &amp; Q'!A47</f>
        <v>46233.791666666562</v>
      </c>
      <c r="B47" s="4">
        <f>IF('WL &amp; Q'!F47="","",'WL &amp; Q'!F47)</f>
        <v>8.69</v>
      </c>
      <c r="C47" s="6">
        <f t="shared" si="0"/>
        <v>39.554742528327012</v>
      </c>
      <c r="D47" s="4">
        <f>IF('WL &amp; Q'!H47="","",'WL &amp; Q'!H47)</f>
        <v>0</v>
      </c>
      <c r="E47" s="8">
        <v>15</v>
      </c>
      <c r="F47" s="8">
        <v>16.5</v>
      </c>
      <c r="G47" s="8">
        <v>19</v>
      </c>
    </row>
    <row r="48" spans="1:7" x14ac:dyDescent="0.3">
      <c r="A48" s="1">
        <f>'WL &amp; Q'!A48</f>
        <v>46233.833333333227</v>
      </c>
      <c r="B48" s="4">
        <f>IF('WL &amp; Q'!F48="","",'WL &amp; Q'!F48)</f>
        <v>8.6300000000000008</v>
      </c>
      <c r="C48" s="6">
        <f t="shared" si="0"/>
        <v>36.19441500902974</v>
      </c>
      <c r="D48" s="4">
        <f>IF('WL &amp; Q'!H48="","",'WL &amp; Q'!H48)</f>
        <v>0</v>
      </c>
      <c r="E48" s="8">
        <v>15</v>
      </c>
      <c r="F48" s="8">
        <v>16.5</v>
      </c>
      <c r="G48" s="8">
        <v>19</v>
      </c>
    </row>
    <row r="49" spans="1:7" x14ac:dyDescent="0.3">
      <c r="A49" s="1">
        <f>'WL &amp; Q'!A49</f>
        <v>46233.874999999891</v>
      </c>
      <c r="B49" s="4">
        <f>IF('WL &amp; Q'!F49="","",'WL &amp; Q'!F49)</f>
        <v>8.6</v>
      </c>
      <c r="C49" s="6">
        <f t="shared" si="0"/>
        <v>34.553891645763457</v>
      </c>
      <c r="D49" s="4">
        <f>IF('WL &amp; Q'!H49="","",'WL &amp; Q'!H49)</f>
        <v>0</v>
      </c>
      <c r="E49" s="8">
        <v>15</v>
      </c>
      <c r="F49" s="8">
        <v>16.5</v>
      </c>
      <c r="G49" s="8">
        <v>19</v>
      </c>
    </row>
    <row r="50" spans="1:7" x14ac:dyDescent="0.3">
      <c r="A50" s="1">
        <f>'WL &amp; Q'!A50</f>
        <v>46233.916666666555</v>
      </c>
      <c r="B50" s="4">
        <f>IF('WL &amp; Q'!F50="","",'WL &amp; Q'!F50)</f>
        <v>8.67</v>
      </c>
      <c r="C50" s="6">
        <f t="shared" si="0"/>
        <v>38.423009761815166</v>
      </c>
      <c r="D50" s="4">
        <f>IF('WL &amp; Q'!H50="","",'WL &amp; Q'!H50)</f>
        <v>0</v>
      </c>
      <c r="E50" s="8">
        <v>15</v>
      </c>
      <c r="F50" s="8">
        <v>16.5</v>
      </c>
      <c r="G50" s="8">
        <v>19</v>
      </c>
    </row>
    <row r="51" spans="1:7" x14ac:dyDescent="0.3">
      <c r="A51" s="1">
        <f>'WL &amp; Q'!A51</f>
        <v>46233.958333333219</v>
      </c>
      <c r="B51" s="4">
        <f>IF('WL &amp; Q'!F51="","",'WL &amp; Q'!F51)</f>
        <v>8.7799999999999994</v>
      </c>
      <c r="C51" s="6">
        <f t="shared" si="0"/>
        <v>44.788348164654764</v>
      </c>
      <c r="D51" s="4">
        <f>IF('WL &amp; Q'!H51="","",'WL &amp; Q'!H51)</f>
        <v>0</v>
      </c>
      <c r="E51" s="8">
        <v>15</v>
      </c>
      <c r="F51" s="8">
        <v>16.5</v>
      </c>
      <c r="G51" s="8">
        <v>19</v>
      </c>
    </row>
    <row r="52" spans="1:7" x14ac:dyDescent="0.3">
      <c r="A52" s="1">
        <f>'WL &amp; Q'!A52</f>
        <v>46233.999999999884</v>
      </c>
      <c r="B52" s="4">
        <f>IF('WL &amp; Q'!F52="","",'WL &amp; Q'!F52)</f>
        <v>8.8000000000000007</v>
      </c>
      <c r="C52" s="6">
        <f t="shared" si="0"/>
        <v>45.982110220775148</v>
      </c>
      <c r="D52" s="4">
        <f>IF('WL &amp; Q'!H52="","",'WL &amp; Q'!H52)</f>
        <v>0</v>
      </c>
      <c r="E52" s="8">
        <v>15</v>
      </c>
      <c r="F52" s="8">
        <v>16.5</v>
      </c>
      <c r="G52" s="8">
        <v>19</v>
      </c>
    </row>
    <row r="53" spans="1:7" x14ac:dyDescent="0.3">
      <c r="A53" s="1">
        <f>'WL &amp; Q'!A53</f>
        <v>46234.041666666548</v>
      </c>
      <c r="B53" s="4">
        <f>IF('WL &amp; Q'!F53="","",'WL &amp; Q'!F53)</f>
        <v>8.9700000000000006</v>
      </c>
      <c r="C53" s="6">
        <f t="shared" si="0"/>
        <v>56.564479118227055</v>
      </c>
      <c r="D53" s="4">
        <f>IF('WL &amp; Q'!H53="","",'WL &amp; Q'!H53)</f>
        <v>0</v>
      </c>
      <c r="E53" s="8">
        <v>15</v>
      </c>
      <c r="F53" s="8">
        <v>16.5</v>
      </c>
      <c r="G53" s="8">
        <v>19</v>
      </c>
    </row>
    <row r="54" spans="1:7" x14ac:dyDescent="0.3">
      <c r="A54" s="1">
        <f>'WL &amp; Q'!A54</f>
        <v>46234.083333333212</v>
      </c>
      <c r="B54" s="4">
        <f>IF('WL &amp; Q'!F54="","",'WL &amp; Q'!F54)</f>
        <v>9.1</v>
      </c>
      <c r="C54" s="6">
        <f t="shared" si="0"/>
        <v>65.163100612571611</v>
      </c>
      <c r="D54" s="4">
        <f>IF('WL &amp; Q'!H54="","",'WL &amp; Q'!H54)</f>
        <v>0</v>
      </c>
      <c r="E54" s="8">
        <v>15</v>
      </c>
      <c r="F54" s="8">
        <v>16.5</v>
      </c>
      <c r="G54" s="8">
        <v>19</v>
      </c>
    </row>
    <row r="55" spans="1:7" x14ac:dyDescent="0.3">
      <c r="A55" s="1">
        <f>'WL &amp; Q'!A55</f>
        <v>46234.124999999876</v>
      </c>
      <c r="B55" s="4">
        <f>IF('WL &amp; Q'!F55="","",'WL &amp; Q'!F55)</f>
        <v>9.15</v>
      </c>
      <c r="C55" s="6">
        <f t="shared" si="0"/>
        <v>68.582637141961499</v>
      </c>
      <c r="D55" s="4">
        <f>IF('WL &amp; Q'!H55="","",'WL &amp; Q'!H55)</f>
        <v>0</v>
      </c>
      <c r="E55" s="8">
        <v>15</v>
      </c>
      <c r="F55" s="8">
        <v>16.5</v>
      </c>
      <c r="G55" s="8">
        <v>19</v>
      </c>
    </row>
    <row r="56" spans="1:7" x14ac:dyDescent="0.3">
      <c r="A56" s="1">
        <f>'WL &amp; Q'!A56</f>
        <v>46234.166666666541</v>
      </c>
      <c r="B56" s="4">
        <f>IF('WL &amp; Q'!F56="","",'WL &amp; Q'!F56)</f>
        <v>9.15</v>
      </c>
      <c r="C56" s="6">
        <f t="shared" si="0"/>
        <v>68.582637141961499</v>
      </c>
      <c r="D56" s="4">
        <f>IF('WL &amp; Q'!H56="","",'WL &amp; Q'!H56)</f>
        <v>0</v>
      </c>
      <c r="E56" s="8">
        <v>15</v>
      </c>
      <c r="F56" s="8">
        <v>16.5</v>
      </c>
      <c r="G56" s="8">
        <v>19</v>
      </c>
    </row>
    <row r="57" spans="1:7" x14ac:dyDescent="0.3">
      <c r="A57" s="1">
        <f>'WL &amp; Q'!A57</f>
        <v>46234.208333333205</v>
      </c>
      <c r="B57" s="4">
        <f>IF('WL &amp; Q'!F57="","",'WL &amp; Q'!F57)</f>
        <v>9.08</v>
      </c>
      <c r="C57" s="6">
        <f t="shared" si="0"/>
        <v>63.812564725327</v>
      </c>
      <c r="D57" s="4">
        <f>IF('WL &amp; Q'!H57="","",'WL &amp; Q'!H57)</f>
        <v>1</v>
      </c>
      <c r="E57" s="8">
        <v>15</v>
      </c>
      <c r="F57" s="8">
        <v>16.5</v>
      </c>
      <c r="G57" s="8">
        <v>19</v>
      </c>
    </row>
    <row r="58" spans="1:7" x14ac:dyDescent="0.3">
      <c r="A58" s="1">
        <f>'WL &amp; Q'!A58</f>
        <v>46234.249999999869</v>
      </c>
      <c r="B58" s="4">
        <f>IF('WL &amp; Q'!F58="","",'WL &amp; Q'!F58)</f>
        <v>9</v>
      </c>
      <c r="C58" s="6">
        <f t="shared" si="0"/>
        <v>58.510716630552523</v>
      </c>
      <c r="D58" s="4">
        <f>IF('WL &amp; Q'!H58="","",'WL &amp; Q'!H58)</f>
        <v>0</v>
      </c>
      <c r="E58" s="8">
        <v>15</v>
      </c>
      <c r="F58" s="8">
        <v>16.5</v>
      </c>
      <c r="G58" s="8">
        <v>19</v>
      </c>
    </row>
    <row r="59" spans="1:7" x14ac:dyDescent="0.3">
      <c r="A59" s="1">
        <f>'WL &amp; Q'!A59</f>
        <v>46234.291666666533</v>
      </c>
      <c r="B59" s="4">
        <f>IF('WL &amp; Q'!F59="","",'WL &amp; Q'!F59)</f>
        <v>8.9499999999999993</v>
      </c>
      <c r="C59" s="6">
        <f t="shared" si="0"/>
        <v>55.279885132836199</v>
      </c>
      <c r="D59" s="4">
        <f>IF('WL &amp; Q'!H59="","",'WL &amp; Q'!H59)</f>
        <v>0</v>
      </c>
      <c r="E59" s="8">
        <v>15</v>
      </c>
      <c r="F59" s="8">
        <v>16.5</v>
      </c>
      <c r="G59" s="8">
        <v>19</v>
      </c>
    </row>
    <row r="60" spans="1:7" x14ac:dyDescent="0.3">
      <c r="A60" s="1">
        <f>'WL &amp; Q'!A60</f>
        <v>46234.333333333198</v>
      </c>
      <c r="B60" s="4">
        <f>IF('WL &amp; Q'!F60="","",'WL &amp; Q'!F60)</f>
        <v>8.9</v>
      </c>
      <c r="C60" s="6">
        <f t="shared" si="0"/>
        <v>52.114061577663563</v>
      </c>
      <c r="D60" s="4">
        <f>IF('WL &amp; Q'!H60="","",'WL &amp; Q'!H60)</f>
        <v>0</v>
      </c>
      <c r="E60" s="8">
        <v>15</v>
      </c>
      <c r="F60" s="8">
        <v>16.5</v>
      </c>
      <c r="G60" s="8">
        <v>19</v>
      </c>
    </row>
    <row r="61" spans="1:7" x14ac:dyDescent="0.3">
      <c r="A61" s="1">
        <f>'WL &amp; Q'!A61</f>
        <v>46234.374999999862</v>
      </c>
      <c r="B61" s="4">
        <f>IF('WL &amp; Q'!F61="","",'WL &amp; Q'!F61)</f>
        <v>8.8699999999999992</v>
      </c>
      <c r="C61" s="6">
        <f t="shared" si="0"/>
        <v>50.246247392008264</v>
      </c>
      <c r="D61" s="4">
        <f>IF('WL &amp; Q'!H61="","",'WL &amp; Q'!H61)</f>
        <v>0</v>
      </c>
      <c r="E61" s="8">
        <v>15</v>
      </c>
      <c r="F61" s="8">
        <v>16.5</v>
      </c>
      <c r="G61" s="8">
        <v>19</v>
      </c>
    </row>
    <row r="62" spans="1:7" x14ac:dyDescent="0.3">
      <c r="A62" s="1">
        <f>'WL &amp; Q'!A62</f>
        <v>46234.416666666526</v>
      </c>
      <c r="B62" s="4">
        <f>IF('WL &amp; Q'!F62="","",'WL &amp; Q'!F62)</f>
        <v>8.83</v>
      </c>
      <c r="C62" s="6">
        <f t="shared" si="0"/>
        <v>47.793326362270719</v>
      </c>
      <c r="D62" s="4">
        <f>IF('WL &amp; Q'!H62="","",'WL &amp; Q'!H62)</f>
        <v>0</v>
      </c>
      <c r="E62" s="8">
        <v>15</v>
      </c>
      <c r="F62" s="8">
        <v>16.5</v>
      </c>
      <c r="G62" s="8">
        <v>19</v>
      </c>
    </row>
    <row r="63" spans="1:7" x14ac:dyDescent="0.3">
      <c r="A63" s="1">
        <f>'WL &amp; Q'!A63</f>
        <v>46234.45833333319</v>
      </c>
      <c r="B63" s="4">
        <f>IF('WL &amp; Q'!F63="","",'WL &amp; Q'!F63)</f>
        <v>8.8000000000000007</v>
      </c>
      <c r="C63" s="6">
        <f t="shared" si="0"/>
        <v>45.982110220775148</v>
      </c>
      <c r="D63" s="4">
        <f>IF('WL &amp; Q'!H63="","",'WL &amp; Q'!H63)</f>
        <v>2</v>
      </c>
      <c r="E63" s="8">
        <v>15</v>
      </c>
      <c r="F63" s="8">
        <v>16.5</v>
      </c>
      <c r="G63" s="8">
        <v>19</v>
      </c>
    </row>
    <row r="64" spans="1:7" x14ac:dyDescent="0.3">
      <c r="A64" s="1">
        <f>'WL &amp; Q'!A64</f>
        <v>46234.499999999854</v>
      </c>
      <c r="B64" s="4">
        <f>IF('WL &amp; Q'!F64="","",'WL &amp; Q'!F64)</f>
        <v>8.75</v>
      </c>
      <c r="C64" s="6">
        <f t="shared" si="0"/>
        <v>43.018493968164293</v>
      </c>
      <c r="D64" s="4">
        <f>IF('WL &amp; Q'!H64="","",'WL &amp; Q'!H64)</f>
        <v>0</v>
      </c>
      <c r="E64" s="8">
        <v>15</v>
      </c>
      <c r="F64" s="8">
        <v>16.5</v>
      </c>
      <c r="G64" s="8">
        <v>19</v>
      </c>
    </row>
    <row r="65" spans="1:7" x14ac:dyDescent="0.3">
      <c r="A65" s="1">
        <f>'WL &amp; Q'!A65</f>
        <v>46234.541666666519</v>
      </c>
      <c r="B65" s="4">
        <f>IF('WL &amp; Q'!F65="","",'WL &amp; Q'!F65)</f>
        <v>8.7200000000000006</v>
      </c>
      <c r="C65" s="6">
        <f t="shared" si="0"/>
        <v>41.273854568315066</v>
      </c>
      <c r="D65" s="4">
        <f>IF('WL &amp; Q'!H65="","",'WL &amp; Q'!H65)</f>
        <v>0</v>
      </c>
      <c r="E65" s="8">
        <v>15</v>
      </c>
      <c r="F65" s="8">
        <v>16.5</v>
      </c>
      <c r="G65" s="8">
        <v>19</v>
      </c>
    </row>
    <row r="66" spans="1:7" x14ac:dyDescent="0.3">
      <c r="A66" s="1">
        <f>'WL &amp; Q'!A66</f>
        <v>46234.583333333183</v>
      </c>
      <c r="B66" s="4">
        <f>IF('WL &amp; Q'!F66="","",'WL &amp; Q'!F66)</f>
        <v>8.92</v>
      </c>
      <c r="C66" s="6">
        <f t="shared" si="0"/>
        <v>53.372517817175897</v>
      </c>
      <c r="D66" s="4">
        <f>IF('WL &amp; Q'!H66="","",'WL &amp; Q'!H66)</f>
        <v>4.2</v>
      </c>
      <c r="E66" s="8">
        <v>15</v>
      </c>
      <c r="F66" s="8">
        <v>16.5</v>
      </c>
      <c r="G66" s="8">
        <v>19</v>
      </c>
    </row>
    <row r="67" spans="1:7" x14ac:dyDescent="0.3">
      <c r="A67" s="1">
        <f>'WL &amp; Q'!A67</f>
        <v>46234.624999999847</v>
      </c>
      <c r="B67" s="4">
        <f>IF('WL &amp; Q'!F67="","",'WL &amp; Q'!F67)</f>
        <v>9.0500000000000007</v>
      </c>
      <c r="C67" s="6">
        <f t="shared" si="0"/>
        <v>61.805466344232642</v>
      </c>
      <c r="D67" s="4">
        <f>IF('WL &amp; Q'!H67="","",'WL &amp; Q'!H67)</f>
        <v>0.8</v>
      </c>
      <c r="E67" s="8">
        <v>15</v>
      </c>
      <c r="F67" s="8">
        <v>16.5</v>
      </c>
      <c r="G67" s="8">
        <v>19</v>
      </c>
    </row>
    <row r="68" spans="1:7" x14ac:dyDescent="0.3">
      <c r="A68" s="1">
        <f>'WL &amp; Q'!A68</f>
        <v>46234.666666666511</v>
      </c>
      <c r="B68" s="4">
        <f>IF('WL &amp; Q'!F68="","",'WL &amp; Q'!F68)</f>
        <v>9.0500000000000007</v>
      </c>
      <c r="C68" s="6">
        <f t="shared" si="0"/>
        <v>61.805466344232642</v>
      </c>
      <c r="D68" s="4">
        <f>IF('WL &amp; Q'!H68="","",'WL &amp; Q'!H68)</f>
        <v>0</v>
      </c>
      <c r="E68" s="8">
        <v>15</v>
      </c>
      <c r="F68" s="8">
        <v>16.5</v>
      </c>
      <c r="G68" s="8">
        <v>19</v>
      </c>
    </row>
    <row r="69" spans="1:7" x14ac:dyDescent="0.3">
      <c r="A69" s="1">
        <f>'WL &amp; Q'!A69</f>
        <v>46234.708333333176</v>
      </c>
      <c r="B69" s="4">
        <f>IF('WL &amp; Q'!F69="","",'WL &amp; Q'!F69)</f>
        <v>8.9600000000000009</v>
      </c>
      <c r="C69" s="6">
        <f t="shared" si="0"/>
        <v>55.920886516488487</v>
      </c>
      <c r="D69" s="4">
        <f>IF('WL &amp; Q'!H69="","",'WL &amp; Q'!H69)</f>
        <v>0</v>
      </c>
      <c r="E69" s="8">
        <v>15</v>
      </c>
      <c r="F69" s="8">
        <v>16.5</v>
      </c>
      <c r="G69" s="8">
        <v>19</v>
      </c>
    </row>
    <row r="70" spans="1:7" x14ac:dyDescent="0.3">
      <c r="A70" s="1">
        <f>'WL &amp; Q'!A70</f>
        <v>46234.74999999984</v>
      </c>
      <c r="B70" s="4">
        <f>IF('WL &amp; Q'!F70="","",'WL &amp; Q'!F70)</f>
        <v>9.84</v>
      </c>
      <c r="C70" s="6">
        <f t="shared" ref="C70:C133" si="1">IF(B70="","",IF((B70-0.118)&gt;14,9.8381*((B70-0.118)-7.5)^2+42.44*((B70-0.118)-7.5)-16.777,35.535*((B70-0.118)-7.5)^1.5414))</f>
        <v>121.65433961170939</v>
      </c>
      <c r="D70" s="4">
        <f>IF('WL &amp; Q'!H70="","",'WL &amp; Q'!H70)</f>
        <v>0.6</v>
      </c>
      <c r="E70" s="8">
        <v>15</v>
      </c>
      <c r="F70" s="8">
        <v>16.5</v>
      </c>
      <c r="G70" s="8">
        <v>19</v>
      </c>
    </row>
    <row r="71" spans="1:7" x14ac:dyDescent="0.3">
      <c r="A71" s="1">
        <f>'WL &amp; Q'!A71</f>
        <v>46234.791666666504</v>
      </c>
      <c r="B71" s="4">
        <f>IF('WL &amp; Q'!F71="","",'WL &amp; Q'!F71)</f>
        <v>8.93</v>
      </c>
      <c r="C71" s="6">
        <f t="shared" si="1"/>
        <v>54.005691731732064</v>
      </c>
      <c r="D71" s="4">
        <f>IF('WL &amp; Q'!H71="","",'WL &amp; Q'!H71)</f>
        <v>0</v>
      </c>
      <c r="E71" s="8">
        <v>15</v>
      </c>
      <c r="F71" s="8">
        <v>16.5</v>
      </c>
      <c r="G71" s="8">
        <v>19</v>
      </c>
    </row>
    <row r="72" spans="1:7" x14ac:dyDescent="0.3">
      <c r="A72" s="1">
        <f>'WL &amp; Q'!A72</f>
        <v>46234.833333333168</v>
      </c>
      <c r="B72" s="4">
        <f>IF('WL &amp; Q'!F72="","",'WL &amp; Q'!F72)</f>
        <v>8.9</v>
      </c>
      <c r="C72" s="6">
        <f t="shared" si="1"/>
        <v>52.114061577663563</v>
      </c>
      <c r="D72" s="4">
        <f>IF('WL &amp; Q'!H72="","",'WL &amp; Q'!H72)</f>
        <v>0</v>
      </c>
      <c r="E72" s="8">
        <v>15</v>
      </c>
      <c r="F72" s="8">
        <v>16.5</v>
      </c>
      <c r="G72" s="8">
        <v>19</v>
      </c>
    </row>
    <row r="73" spans="1:7" x14ac:dyDescent="0.3">
      <c r="A73" s="1">
        <f>'WL &amp; Q'!A73</f>
        <v>46234.874999999833</v>
      </c>
      <c r="B73" s="4">
        <f>IF('WL &amp; Q'!F73="","",'WL &amp; Q'!F73)</f>
        <v>8.8800000000000008</v>
      </c>
      <c r="C73" s="6">
        <f t="shared" si="1"/>
        <v>50.86619003346506</v>
      </c>
      <c r="D73" s="4">
        <f>IF('WL &amp; Q'!H73="","",'WL &amp; Q'!H73)</f>
        <v>3.3</v>
      </c>
      <c r="E73" s="8">
        <v>15</v>
      </c>
      <c r="F73" s="8">
        <v>16.5</v>
      </c>
      <c r="G73" s="8">
        <v>19</v>
      </c>
    </row>
    <row r="74" spans="1:7" x14ac:dyDescent="0.3">
      <c r="A74" s="1">
        <f>'WL &amp; Q'!A74</f>
        <v>46234.916666666497</v>
      </c>
      <c r="B74" s="4">
        <f>IF('WL &amp; Q'!F74="","",'WL &amp; Q'!F74)</f>
        <v>8.89</v>
      </c>
      <c r="C74" s="6">
        <f t="shared" si="1"/>
        <v>51.488797972015661</v>
      </c>
      <c r="D74" s="4">
        <f>IF('WL &amp; Q'!H74="","",'WL &amp; Q'!H74)</f>
        <v>5.2</v>
      </c>
      <c r="E74" s="8">
        <v>15</v>
      </c>
      <c r="F74" s="8">
        <v>16.5</v>
      </c>
      <c r="G74" s="8">
        <v>19</v>
      </c>
    </row>
    <row r="75" spans="1:7" x14ac:dyDescent="0.3">
      <c r="A75" s="1">
        <f>'WL &amp; Q'!A75</f>
        <v>46234.958333333161</v>
      </c>
      <c r="B75" s="4">
        <f>IF('WL &amp; Q'!F75="","",'WL &amp; Q'!F75)</f>
        <v>8.93</v>
      </c>
      <c r="C75" s="6">
        <f t="shared" si="1"/>
        <v>54.005691731732064</v>
      </c>
      <c r="D75" s="4">
        <f>IF('WL &amp; Q'!H75="","",'WL &amp; Q'!H75)</f>
        <v>0</v>
      </c>
      <c r="E75" s="8">
        <v>15</v>
      </c>
      <c r="F75" s="8">
        <v>16.5</v>
      </c>
      <c r="G75" s="8">
        <v>19</v>
      </c>
    </row>
    <row r="76" spans="1:7" x14ac:dyDescent="0.3">
      <c r="A76" s="1">
        <f>'WL &amp; Q'!A76</f>
        <v>46234.999999999825</v>
      </c>
      <c r="B76" s="4">
        <f>IF('WL &amp; Q'!F76="","",'WL &amp; Q'!F76)</f>
        <v>9.15</v>
      </c>
      <c r="C76" s="6">
        <f t="shared" si="1"/>
        <v>68.582637141961499</v>
      </c>
      <c r="D76" s="4">
        <f>IF('WL &amp; Q'!H76="","",'WL &amp; Q'!H76)</f>
        <v>0</v>
      </c>
      <c r="E76" s="8">
        <v>15</v>
      </c>
      <c r="F76" s="8">
        <v>16.5</v>
      </c>
      <c r="G76" s="8">
        <v>19</v>
      </c>
    </row>
    <row r="77" spans="1:7" x14ac:dyDescent="0.3">
      <c r="A77" s="1">
        <f>'WL &amp; Q'!A77</f>
        <v>46235.04166666649</v>
      </c>
      <c r="B77" s="4">
        <f>IF('WL &amp; Q'!F77="","",'WL &amp; Q'!F77)</f>
        <v>9.34</v>
      </c>
      <c r="C77" s="6">
        <f t="shared" si="1"/>
        <v>82.125459547410856</v>
      </c>
      <c r="D77" s="4">
        <f>IF('WL &amp; Q'!H77="","",'WL &amp; Q'!H77)</f>
        <v>7.5</v>
      </c>
      <c r="E77" s="8">
        <v>15</v>
      </c>
      <c r="F77" s="8">
        <v>16.5</v>
      </c>
      <c r="G77" s="8">
        <v>19</v>
      </c>
    </row>
    <row r="78" spans="1:7" x14ac:dyDescent="0.3">
      <c r="A78" s="1">
        <f>'WL &amp; Q'!A78</f>
        <v>46235.083333333154</v>
      </c>
      <c r="B78" s="4">
        <f>IF('WL &amp; Q'!F78="","",'WL &amp; Q'!F78)</f>
        <v>9.5299999999999994</v>
      </c>
      <c r="C78" s="6">
        <f t="shared" si="1"/>
        <v>96.503207925945233</v>
      </c>
      <c r="D78" s="4">
        <f>IF('WL &amp; Q'!H78="","",'WL &amp; Q'!H78)</f>
        <v>21.5</v>
      </c>
      <c r="E78" s="8">
        <v>15</v>
      </c>
      <c r="F78" s="8">
        <v>16.5</v>
      </c>
      <c r="G78" s="8">
        <v>19</v>
      </c>
    </row>
    <row r="79" spans="1:7" x14ac:dyDescent="0.3">
      <c r="A79" s="1">
        <f>'WL &amp; Q'!A79</f>
        <v>46235.124999999818</v>
      </c>
      <c r="B79" s="4">
        <f>IF('WL &amp; Q'!F79="","",'WL &amp; Q'!F79)</f>
        <v>9.76</v>
      </c>
      <c r="C79" s="6">
        <f t="shared" si="1"/>
        <v>114.9691830713119</v>
      </c>
      <c r="D79" s="4">
        <f>IF('WL &amp; Q'!H79="","",'WL &amp; Q'!H79)</f>
        <v>7.2</v>
      </c>
      <c r="E79" s="8">
        <v>15</v>
      </c>
      <c r="F79" s="8">
        <v>16.5</v>
      </c>
      <c r="G79" s="8">
        <v>19</v>
      </c>
    </row>
    <row r="80" spans="1:7" x14ac:dyDescent="0.3">
      <c r="A80" s="1">
        <f>'WL &amp; Q'!A80</f>
        <v>46235.166666666482</v>
      </c>
      <c r="B80" s="4">
        <f>IF('WL &amp; Q'!F80="","",'WL &amp; Q'!F80)</f>
        <v>10.130000000000001</v>
      </c>
      <c r="C80" s="6">
        <f t="shared" si="1"/>
        <v>146.97605466577721</v>
      </c>
      <c r="D80" s="4">
        <f>IF('WL &amp; Q'!H80="","",'WL &amp; Q'!H80)</f>
        <v>2</v>
      </c>
      <c r="E80" s="8">
        <v>15</v>
      </c>
      <c r="F80" s="8">
        <v>16.5</v>
      </c>
      <c r="G80" s="8">
        <v>19</v>
      </c>
    </row>
    <row r="81" spans="1:7" x14ac:dyDescent="0.3">
      <c r="A81" s="1">
        <f>'WL &amp; Q'!A81</f>
        <v>46235.208333333147</v>
      </c>
      <c r="B81" s="4">
        <f>IF('WL &amp; Q'!F81="","",'WL &amp; Q'!F81)</f>
        <v>10.73</v>
      </c>
      <c r="C81" s="6">
        <f t="shared" si="1"/>
        <v>204.4690321230174</v>
      </c>
      <c r="D81" s="4">
        <f>IF('WL &amp; Q'!H81="","",'WL &amp; Q'!H81)</f>
        <v>1.2</v>
      </c>
      <c r="E81" s="8">
        <v>15</v>
      </c>
      <c r="F81" s="8">
        <v>16.5</v>
      </c>
      <c r="G81" s="8">
        <v>19</v>
      </c>
    </row>
    <row r="82" spans="1:7" x14ac:dyDescent="0.3">
      <c r="A82" s="1">
        <f>'WL &amp; Q'!A82</f>
        <v>46235.249999999811</v>
      </c>
      <c r="B82" s="4">
        <f>IF('WL &amp; Q'!F82="","",'WL &amp; Q'!F82)</f>
        <v>11.75</v>
      </c>
      <c r="C82" s="6">
        <f t="shared" si="1"/>
        <v>316.52340281276634</v>
      </c>
      <c r="D82" s="4">
        <f>IF('WL &amp; Q'!H82="","",'WL &amp; Q'!H82)</f>
        <v>7.5</v>
      </c>
      <c r="E82" s="8">
        <v>15</v>
      </c>
      <c r="F82" s="8">
        <v>16.5</v>
      </c>
      <c r="G82" s="8">
        <v>19</v>
      </c>
    </row>
    <row r="83" spans="1:7" x14ac:dyDescent="0.3">
      <c r="A83" s="1">
        <f>'WL &amp; Q'!A83</f>
        <v>46235.291666666475</v>
      </c>
      <c r="B83" s="4">
        <f>IF('WL &amp; Q'!F83="","",'WL &amp; Q'!F83)</f>
        <v>13.04</v>
      </c>
      <c r="C83" s="6">
        <f t="shared" si="1"/>
        <v>481.16030720260062</v>
      </c>
      <c r="D83" s="4">
        <f>IF('WL &amp; Q'!H83="","",'WL &amp; Q'!H83)</f>
        <v>0.7</v>
      </c>
      <c r="E83" s="8">
        <v>15</v>
      </c>
      <c r="F83" s="8">
        <v>16.5</v>
      </c>
      <c r="G83" s="8">
        <v>19</v>
      </c>
    </row>
    <row r="84" spans="1:7" x14ac:dyDescent="0.3">
      <c r="A84" s="1">
        <f>'WL &amp; Q'!A84</f>
        <v>46235.333333333139</v>
      </c>
      <c r="B84" s="4">
        <f>IF('WL &amp; Q'!F84="","",'WL &amp; Q'!F84)</f>
        <v>13.85</v>
      </c>
      <c r="C84" s="6">
        <f t="shared" si="1"/>
        <v>596.34154064536244</v>
      </c>
      <c r="D84" s="4">
        <f>IF('WL &amp; Q'!H84="","",'WL &amp; Q'!H84)</f>
        <v>0</v>
      </c>
      <c r="E84" s="8">
        <v>15</v>
      </c>
      <c r="F84" s="8">
        <v>16.5</v>
      </c>
      <c r="G84" s="8">
        <v>19</v>
      </c>
    </row>
    <row r="85" spans="1:7" x14ac:dyDescent="0.3">
      <c r="A85" s="1">
        <f>'WL &amp; Q'!A85</f>
        <v>46235.374999999804</v>
      </c>
      <c r="B85" s="4">
        <f>IF('WL &amp; Q'!F85="","",'WL &amp; Q'!F85)</f>
        <v>14.45</v>
      </c>
      <c r="C85" s="6">
        <f t="shared" si="1"/>
        <v>732.37843933439979</v>
      </c>
      <c r="D85" s="4">
        <f>IF('WL &amp; Q'!H85="","",'WL &amp; Q'!H85)</f>
        <v>0</v>
      </c>
      <c r="E85" s="8">
        <v>15</v>
      </c>
      <c r="F85" s="8">
        <v>16.5</v>
      </c>
      <c r="G85" s="8">
        <v>19</v>
      </c>
    </row>
    <row r="86" spans="1:7" x14ac:dyDescent="0.3">
      <c r="A86" s="1">
        <f>'WL &amp; Q'!A86</f>
        <v>46235.416666666468</v>
      </c>
      <c r="B86" s="4">
        <f>IF('WL &amp; Q'!F86="","",'WL &amp; Q'!F86)</f>
        <v>14.75</v>
      </c>
      <c r="C86" s="6">
        <f t="shared" si="1"/>
        <v>786.3242078543999</v>
      </c>
      <c r="D86" s="4">
        <f>IF('WL &amp; Q'!H86="","",'WL &amp; Q'!H86)</f>
        <v>0</v>
      </c>
      <c r="E86" s="8">
        <v>15</v>
      </c>
      <c r="F86" s="8">
        <v>16.5</v>
      </c>
      <c r="G86" s="8">
        <v>19</v>
      </c>
    </row>
    <row r="87" spans="1:7" x14ac:dyDescent="0.3">
      <c r="A87" s="1">
        <f>'WL &amp; Q'!A87</f>
        <v>46235.458333333132</v>
      </c>
      <c r="B87" s="4">
        <f>IF('WL &amp; Q'!F87="","",'WL &amp; Q'!F87)</f>
        <v>14.9</v>
      </c>
      <c r="C87" s="6">
        <f t="shared" si="1"/>
        <v>813.96116386439985</v>
      </c>
      <c r="D87" s="4">
        <f>IF('WL &amp; Q'!H87="","",'WL &amp; Q'!H87)</f>
        <v>0</v>
      </c>
      <c r="E87" s="8">
        <v>15</v>
      </c>
      <c r="F87" s="8">
        <v>16.5</v>
      </c>
      <c r="G87" s="8">
        <v>19</v>
      </c>
    </row>
    <row r="88" spans="1:7" x14ac:dyDescent="0.3">
      <c r="A88" s="1">
        <f>'WL &amp; Q'!A88</f>
        <v>46235.499999999796</v>
      </c>
      <c r="B88" s="4">
        <f>IF('WL &amp; Q'!F88="","",'WL &amp; Q'!F88)</f>
        <v>14.95</v>
      </c>
      <c r="C88" s="6">
        <f t="shared" si="1"/>
        <v>823.2718635343997</v>
      </c>
      <c r="D88" s="4">
        <f>IF('WL &amp; Q'!H88="","",'WL &amp; Q'!H88)</f>
        <v>0</v>
      </c>
      <c r="E88" s="8">
        <v>15</v>
      </c>
      <c r="F88" s="8">
        <v>16.5</v>
      </c>
      <c r="G88" s="8">
        <v>19</v>
      </c>
    </row>
    <row r="89" spans="1:7" x14ac:dyDescent="0.3">
      <c r="A89" s="1">
        <f>'WL &amp; Q'!A89</f>
        <v>46235.541666666461</v>
      </c>
      <c r="B89" s="4">
        <f>IF('WL &amp; Q'!F89="","",'WL &amp; Q'!F89)</f>
        <v>14.88</v>
      </c>
      <c r="C89" s="6">
        <f t="shared" si="1"/>
        <v>810.25065733640008</v>
      </c>
      <c r="D89" s="4">
        <f>IF('WL &amp; Q'!H89="","",'WL &amp; Q'!H89)</f>
        <v>0</v>
      </c>
      <c r="E89" s="8">
        <v>15</v>
      </c>
      <c r="F89" s="8">
        <v>16.5</v>
      </c>
      <c r="G89" s="8">
        <v>19</v>
      </c>
    </row>
    <row r="90" spans="1:7" x14ac:dyDescent="0.3">
      <c r="A90" s="1">
        <f>'WL &amp; Q'!A90</f>
        <v>46235.583333333125</v>
      </c>
      <c r="B90" s="4">
        <f>IF('WL &amp; Q'!F90="","",'WL &amp; Q'!F90)</f>
        <v>14.72</v>
      </c>
      <c r="C90" s="6">
        <f t="shared" si="1"/>
        <v>780.84994239240007</v>
      </c>
      <c r="D90" s="4">
        <f>IF('WL &amp; Q'!H90="","",'WL &amp; Q'!H90)</f>
        <v>0</v>
      </c>
      <c r="E90" s="8">
        <v>15</v>
      </c>
      <c r="F90" s="8">
        <v>16.5</v>
      </c>
      <c r="G90" s="8">
        <v>19</v>
      </c>
    </row>
    <row r="91" spans="1:7" x14ac:dyDescent="0.3">
      <c r="A91" s="1">
        <f>'WL &amp; Q'!A91</f>
        <v>46235.624999999789</v>
      </c>
      <c r="B91" s="4">
        <f>IF('WL &amp; Q'!F91="","",'WL &amp; Q'!F91)</f>
        <v>14.46</v>
      </c>
      <c r="C91" s="6">
        <f t="shared" si="1"/>
        <v>734.14810112840007</v>
      </c>
      <c r="D91" s="4">
        <f>IF('WL &amp; Q'!H91="","",'WL &amp; Q'!H91)</f>
        <v>0</v>
      </c>
      <c r="E91" s="8">
        <v>15</v>
      </c>
      <c r="F91" s="8">
        <v>16.5</v>
      </c>
      <c r="G91" s="8">
        <v>19</v>
      </c>
    </row>
    <row r="92" spans="1:7" x14ac:dyDescent="0.3">
      <c r="A92" s="1">
        <f>'WL &amp; Q'!A92</f>
        <v>46235.666666666453</v>
      </c>
      <c r="B92" s="4">
        <f>IF('WL &amp; Q'!F92="","",'WL &amp; Q'!F92)</f>
        <v>14.11</v>
      </c>
      <c r="C92" s="6">
        <f t="shared" si="1"/>
        <v>635.12112304312041</v>
      </c>
      <c r="D92" s="4">
        <f>IF('WL &amp; Q'!H92="","",'WL &amp; Q'!H92)</f>
        <v>0</v>
      </c>
      <c r="E92" s="8">
        <v>15</v>
      </c>
      <c r="F92" s="8">
        <v>16.5</v>
      </c>
      <c r="G92" s="8">
        <v>19</v>
      </c>
    </row>
    <row r="93" spans="1:7" x14ac:dyDescent="0.3">
      <c r="A93" s="1">
        <f>'WL &amp; Q'!A93</f>
        <v>46235.708333333117</v>
      </c>
      <c r="B93" s="4">
        <f>IF('WL &amp; Q'!F93="","",'WL &amp; Q'!F93)</f>
        <v>13.7</v>
      </c>
      <c r="C93" s="6">
        <f t="shared" si="1"/>
        <v>574.36169053385447</v>
      </c>
      <c r="D93" s="4">
        <f>IF('WL &amp; Q'!H93="","",'WL &amp; Q'!H93)</f>
        <v>0</v>
      </c>
      <c r="E93" s="8">
        <v>15</v>
      </c>
      <c r="F93" s="8">
        <v>16.5</v>
      </c>
      <c r="G93" s="8">
        <v>19</v>
      </c>
    </row>
    <row r="94" spans="1:7" x14ac:dyDescent="0.3">
      <c r="A94" s="1">
        <f>'WL &amp; Q'!A94</f>
        <v>46235.749999999782</v>
      </c>
      <c r="B94" s="4">
        <f>IF('WL &amp; Q'!F94="","",'WL &amp; Q'!F94)</f>
        <v>13.42</v>
      </c>
      <c r="C94" s="6">
        <f t="shared" si="1"/>
        <v>534.11530681492866</v>
      </c>
      <c r="D94" s="4">
        <f>IF('WL &amp; Q'!H94="","",'WL &amp; Q'!H94)</f>
        <v>0</v>
      </c>
      <c r="E94" s="8">
        <v>15</v>
      </c>
      <c r="F94" s="8">
        <v>16.5</v>
      </c>
      <c r="G94" s="8">
        <v>19</v>
      </c>
    </row>
    <row r="95" spans="1:7" x14ac:dyDescent="0.3">
      <c r="A95" s="1">
        <f>'WL &amp; Q'!A95</f>
        <v>46235.791666666446</v>
      </c>
      <c r="B95" s="4">
        <f>IF('WL &amp; Q'!F95="","",'WL &amp; Q'!F95)</f>
        <v>12.85</v>
      </c>
      <c r="C95" s="6">
        <f t="shared" si="1"/>
        <v>455.41860324571519</v>
      </c>
      <c r="D95" s="4">
        <f>IF('WL &amp; Q'!H95="","",'WL &amp; Q'!H95)</f>
        <v>0</v>
      </c>
      <c r="E95" s="8">
        <v>15</v>
      </c>
      <c r="F95" s="8">
        <v>16.5</v>
      </c>
      <c r="G95" s="8">
        <v>19</v>
      </c>
    </row>
    <row r="96" spans="1:7" x14ac:dyDescent="0.3">
      <c r="A96" s="1">
        <f>'WL &amp; Q'!A96</f>
        <v>46235.83333333311</v>
      </c>
      <c r="B96" s="4">
        <f>IF('WL &amp; Q'!F96="","",'WL &amp; Q'!F96)</f>
        <v>12.46</v>
      </c>
      <c r="C96" s="6">
        <f t="shared" si="1"/>
        <v>404.16018115792599</v>
      </c>
      <c r="D96" s="4">
        <f>IF('WL &amp; Q'!H96="","",'WL &amp; Q'!H96)</f>
        <v>0</v>
      </c>
      <c r="E96" s="8">
        <v>15</v>
      </c>
      <c r="F96" s="8">
        <v>16.5</v>
      </c>
      <c r="G96" s="8">
        <v>19</v>
      </c>
    </row>
    <row r="97" spans="1:7" x14ac:dyDescent="0.3">
      <c r="A97" s="1">
        <f>'WL &amp; Q'!A97</f>
        <v>46235.874999999774</v>
      </c>
      <c r="B97" s="4">
        <f>IF('WL &amp; Q'!F97="","",'WL &amp; Q'!F97)</f>
        <v>12.07</v>
      </c>
      <c r="C97" s="6">
        <f t="shared" si="1"/>
        <v>355.09064984050269</v>
      </c>
      <c r="D97" s="4">
        <f>IF('WL &amp; Q'!H97="","",'WL &amp; Q'!H97)</f>
        <v>0</v>
      </c>
      <c r="E97" s="8">
        <v>15</v>
      </c>
      <c r="F97" s="8">
        <v>16.5</v>
      </c>
      <c r="G97" s="8">
        <v>19</v>
      </c>
    </row>
    <row r="98" spans="1:7" x14ac:dyDescent="0.3">
      <c r="A98" s="1">
        <f>'WL &amp; Q'!A98</f>
        <v>46235.916666666439</v>
      </c>
      <c r="B98" s="4">
        <f>IF('WL &amp; Q'!F98="","",'WL &amp; Q'!F98)</f>
        <v>11.73</v>
      </c>
      <c r="C98" s="6">
        <f t="shared" si="1"/>
        <v>314.16498346659176</v>
      </c>
      <c r="D98" s="4">
        <f>IF('WL &amp; Q'!H98="","",'WL &amp; Q'!H98)</f>
        <v>0</v>
      </c>
      <c r="E98" s="8">
        <v>15</v>
      </c>
      <c r="F98" s="8">
        <v>16.5</v>
      </c>
      <c r="G98" s="8">
        <v>19</v>
      </c>
    </row>
    <row r="99" spans="1:7" x14ac:dyDescent="0.3">
      <c r="A99" s="1">
        <f>'WL &amp; Q'!A99</f>
        <v>46235.958333333103</v>
      </c>
      <c r="B99" s="4">
        <f>IF('WL &amp; Q'!F99="","",'WL &amp; Q'!F99)</f>
        <v>11.45</v>
      </c>
      <c r="C99" s="6">
        <f t="shared" si="1"/>
        <v>281.80479993624766</v>
      </c>
      <c r="D99" s="4">
        <f>IF('WL &amp; Q'!H99="","",'WL &amp; Q'!H99)</f>
        <v>0</v>
      </c>
      <c r="E99" s="8">
        <v>15</v>
      </c>
      <c r="F99" s="8">
        <v>16.5</v>
      </c>
      <c r="G99" s="8">
        <v>19</v>
      </c>
    </row>
    <row r="100" spans="1:7" x14ac:dyDescent="0.3">
      <c r="A100" s="1">
        <f>'WL &amp; Q'!A100</f>
        <v>46235.999999999767</v>
      </c>
      <c r="B100" s="4">
        <f>IF('WL &amp; Q'!F100="","",'WL &amp; Q'!F100)</f>
        <v>11.2</v>
      </c>
      <c r="C100" s="6">
        <f t="shared" si="1"/>
        <v>253.97179656486941</v>
      </c>
      <c r="D100" s="4">
        <f>IF('WL &amp; Q'!H100="","",'WL &amp; Q'!H100)</f>
        <v>0</v>
      </c>
      <c r="E100" s="8">
        <v>15</v>
      </c>
      <c r="F100" s="8">
        <v>16.5</v>
      </c>
      <c r="G100" s="8">
        <v>19</v>
      </c>
    </row>
    <row r="101" spans="1:7" x14ac:dyDescent="0.3">
      <c r="A101" s="1">
        <f>'WL &amp; Q'!A101</f>
        <v>46236.041666666431</v>
      </c>
      <c r="B101" s="4">
        <f>IF('WL &amp; Q'!F101="","",'WL &amp; Q'!F101)</f>
        <v>10.98</v>
      </c>
      <c r="C101" s="6">
        <f t="shared" si="1"/>
        <v>230.33186738319637</v>
      </c>
      <c r="D101" s="4">
        <f>IF('WL &amp; Q'!H101="","",'WL &amp; Q'!H101)</f>
        <v>0</v>
      </c>
      <c r="E101" s="8">
        <v>15</v>
      </c>
      <c r="F101" s="8">
        <v>16.5</v>
      </c>
      <c r="G101" s="8">
        <v>19</v>
      </c>
    </row>
    <row r="102" spans="1:7" x14ac:dyDescent="0.3">
      <c r="A102" s="1">
        <f>'WL &amp; Q'!A102</f>
        <v>46236.083333333096</v>
      </c>
      <c r="B102" s="4">
        <f>IF('WL &amp; Q'!F102="","",'WL &amp; Q'!F102)</f>
        <v>10.81</v>
      </c>
      <c r="C102" s="6">
        <f t="shared" si="1"/>
        <v>212.62721319943739</v>
      </c>
      <c r="D102" s="4">
        <f>IF('WL &amp; Q'!H102="","",'WL &amp; Q'!H102)</f>
        <v>0</v>
      </c>
      <c r="E102" s="8">
        <v>15</v>
      </c>
      <c r="F102" s="8">
        <v>16.5</v>
      </c>
      <c r="G102" s="8">
        <v>19</v>
      </c>
    </row>
    <row r="103" spans="1:7" x14ac:dyDescent="0.3">
      <c r="A103" s="1">
        <f>'WL &amp; Q'!A103</f>
        <v>46236.12499999976</v>
      </c>
      <c r="B103" s="4">
        <f>IF('WL &amp; Q'!F103="","",'WL &amp; Q'!F103)</f>
        <v>10.68</v>
      </c>
      <c r="C103" s="6">
        <f t="shared" si="1"/>
        <v>199.42734801195471</v>
      </c>
      <c r="D103" s="4">
        <f>IF('WL &amp; Q'!H103="","",'WL &amp; Q'!H103)</f>
        <v>0</v>
      </c>
      <c r="E103" s="8">
        <v>15</v>
      </c>
      <c r="F103" s="8">
        <v>16.5</v>
      </c>
      <c r="G103" s="8">
        <v>19</v>
      </c>
    </row>
    <row r="104" spans="1:7" x14ac:dyDescent="0.3">
      <c r="A104" s="1">
        <f>'WL &amp; Q'!A104</f>
        <v>46236.166666666424</v>
      </c>
      <c r="B104" s="4">
        <f>IF('WL &amp; Q'!F104="","",'WL &amp; Q'!F104)</f>
        <v>10.57</v>
      </c>
      <c r="C104" s="6">
        <f t="shared" si="1"/>
        <v>188.49232289763052</v>
      </c>
      <c r="D104" s="4">
        <f>IF('WL &amp; Q'!H104="","",'WL &amp; Q'!H104)</f>
        <v>0</v>
      </c>
      <c r="E104" s="8">
        <v>15</v>
      </c>
      <c r="F104" s="8">
        <v>16.5</v>
      </c>
      <c r="G104" s="8">
        <v>19</v>
      </c>
    </row>
    <row r="105" spans="1:7" x14ac:dyDescent="0.3">
      <c r="A105" s="1">
        <f>'WL &amp; Q'!A105</f>
        <v>46236.208333333088</v>
      </c>
      <c r="B105" s="4">
        <f>IF('WL &amp; Q'!F105="","",'WL &amp; Q'!F105)</f>
        <v>10.47</v>
      </c>
      <c r="C105" s="6">
        <f t="shared" si="1"/>
        <v>178.74083882152107</v>
      </c>
      <c r="D105" s="4">
        <f>IF('WL &amp; Q'!H105="","",'WL &amp; Q'!H105)</f>
        <v>0</v>
      </c>
      <c r="E105" s="8">
        <v>15</v>
      </c>
      <c r="F105" s="8">
        <v>16.5</v>
      </c>
      <c r="G105" s="8">
        <v>19</v>
      </c>
    </row>
    <row r="106" spans="1:7" x14ac:dyDescent="0.3">
      <c r="A106" s="1">
        <f>'WL &amp; Q'!A106</f>
        <v>46236.249999999753</v>
      </c>
      <c r="B106" s="4">
        <f>IF('WL &amp; Q'!F106="","",'WL &amp; Q'!F106)</f>
        <v>10.47</v>
      </c>
      <c r="C106" s="6">
        <f t="shared" si="1"/>
        <v>178.74083882152107</v>
      </c>
      <c r="D106" s="4">
        <f>IF('WL &amp; Q'!H106="","",'WL &amp; Q'!H106)</f>
        <v>1</v>
      </c>
      <c r="E106" s="8">
        <v>15</v>
      </c>
      <c r="F106" s="8">
        <v>16.5</v>
      </c>
      <c r="G106" s="8">
        <v>19</v>
      </c>
    </row>
    <row r="107" spans="1:7" x14ac:dyDescent="0.3">
      <c r="A107" s="1">
        <f>'WL &amp; Q'!A107</f>
        <v>46236.291666666417</v>
      </c>
      <c r="B107" s="4">
        <f>IF('WL &amp; Q'!F107="","",'WL &amp; Q'!F107)</f>
        <v>10.28</v>
      </c>
      <c r="C107" s="6">
        <f t="shared" si="1"/>
        <v>160.72077199440776</v>
      </c>
      <c r="D107" s="4">
        <f>IF('WL &amp; Q'!H107="","",'WL &amp; Q'!H107)</f>
        <v>0.7</v>
      </c>
      <c r="E107" s="8">
        <v>15</v>
      </c>
      <c r="F107" s="8">
        <v>16.5</v>
      </c>
      <c r="G107" s="8">
        <v>19</v>
      </c>
    </row>
    <row r="108" spans="1:7" x14ac:dyDescent="0.3">
      <c r="A108" s="1">
        <f>'WL &amp; Q'!A108</f>
        <v>46236.333333333081</v>
      </c>
      <c r="B108" s="4">
        <f>IF('WL &amp; Q'!F108="","",'WL &amp; Q'!F108)</f>
        <v>10.18</v>
      </c>
      <c r="C108" s="6">
        <f t="shared" si="1"/>
        <v>151.50961118686655</v>
      </c>
      <c r="D108" s="4">
        <f>IF('WL &amp; Q'!H108="","",'WL &amp; Q'!H108)</f>
        <v>0</v>
      </c>
      <c r="E108" s="8">
        <v>15</v>
      </c>
      <c r="F108" s="8">
        <v>16.5</v>
      </c>
      <c r="G108" s="8">
        <v>19</v>
      </c>
    </row>
    <row r="109" spans="1:7" x14ac:dyDescent="0.3">
      <c r="A109" s="1">
        <f>'WL &amp; Q'!A109</f>
        <v>46236.374999999745</v>
      </c>
      <c r="B109" s="4">
        <f>IF('WL &amp; Q'!F109="","",'WL &amp; Q'!F109)</f>
        <v>10.1</v>
      </c>
      <c r="C109" s="6">
        <f t="shared" si="1"/>
        <v>144.27921778087705</v>
      </c>
      <c r="D109" s="4">
        <f>IF('WL &amp; Q'!H109="","",'WL &amp; Q'!H109)</f>
        <v>0</v>
      </c>
      <c r="E109" s="8">
        <v>15</v>
      </c>
      <c r="F109" s="8">
        <v>16.5</v>
      </c>
      <c r="G109" s="8">
        <v>19</v>
      </c>
    </row>
    <row r="110" spans="1:7" x14ac:dyDescent="0.3">
      <c r="A110" s="1">
        <f>'WL &amp; Q'!A110</f>
        <v>46236.41666666641</v>
      </c>
      <c r="B110" s="4">
        <f>IF('WL &amp; Q'!F110="","",'WL &amp; Q'!F110)</f>
        <v>10.07</v>
      </c>
      <c r="C110" s="6">
        <f t="shared" si="1"/>
        <v>141.5999714645512</v>
      </c>
      <c r="D110" s="4">
        <f>IF('WL &amp; Q'!H110="","",'WL &amp; Q'!H110)</f>
        <v>0</v>
      </c>
      <c r="E110" s="8">
        <v>15</v>
      </c>
      <c r="F110" s="8">
        <v>16.5</v>
      </c>
      <c r="G110" s="8">
        <v>19</v>
      </c>
    </row>
    <row r="111" spans="1:7" x14ac:dyDescent="0.3">
      <c r="A111" s="1">
        <f>'WL &amp; Q'!A111</f>
        <v>46236.458333333074</v>
      </c>
      <c r="B111" s="4">
        <f>IF('WL &amp; Q'!F111="","",'WL &amp; Q'!F111)</f>
        <v>10.09</v>
      </c>
      <c r="C111" s="6">
        <f t="shared" si="1"/>
        <v>143.38417634550626</v>
      </c>
      <c r="D111" s="4">
        <f>IF('WL &amp; Q'!H111="","",'WL &amp; Q'!H111)</f>
        <v>0</v>
      </c>
      <c r="E111" s="8">
        <v>15</v>
      </c>
      <c r="F111" s="8">
        <v>16.5</v>
      </c>
      <c r="G111" s="8">
        <v>19</v>
      </c>
    </row>
    <row r="112" spans="1:7" x14ac:dyDescent="0.3">
      <c r="A112" s="1">
        <f>'WL &amp; Q'!A112</f>
        <v>46236.499999999738</v>
      </c>
      <c r="B112" s="4">
        <f>IF('WL &amp; Q'!F112="","",'WL &amp; Q'!F112)</f>
        <v>10.1</v>
      </c>
      <c r="C112" s="6">
        <f t="shared" si="1"/>
        <v>144.27921778087705</v>
      </c>
      <c r="D112" s="4">
        <f>IF('WL &amp; Q'!H112="","",'WL &amp; Q'!H112)</f>
        <v>0</v>
      </c>
      <c r="E112" s="8">
        <v>15</v>
      </c>
      <c r="F112" s="8">
        <v>16.5</v>
      </c>
      <c r="G112" s="8">
        <v>19</v>
      </c>
    </row>
    <row r="113" spans="1:7" x14ac:dyDescent="0.3">
      <c r="A113" s="1">
        <f>'WL &amp; Q'!A113</f>
        <v>46236.541666666402</v>
      </c>
      <c r="B113" s="4">
        <f>IF('WL &amp; Q'!F113="","",'WL &amp; Q'!F113)</f>
        <v>10.11</v>
      </c>
      <c r="C113" s="6">
        <f t="shared" si="1"/>
        <v>145.17621370971807</v>
      </c>
      <c r="D113" s="4">
        <f>IF('WL &amp; Q'!H113="","",'WL &amp; Q'!H113)</f>
        <v>0</v>
      </c>
      <c r="E113" s="8">
        <v>15</v>
      </c>
      <c r="F113" s="8">
        <v>16.5</v>
      </c>
      <c r="G113" s="8">
        <v>19</v>
      </c>
    </row>
    <row r="114" spans="1:7" x14ac:dyDescent="0.3">
      <c r="A114" s="1">
        <f>'WL &amp; Q'!A114</f>
        <v>46236.583333333067</v>
      </c>
      <c r="B114" s="4">
        <f>IF('WL &amp; Q'!F114="","",'WL &amp; Q'!F114)</f>
        <v>10.11</v>
      </c>
      <c r="C114" s="6">
        <f t="shared" si="1"/>
        <v>145.17621370971807</v>
      </c>
      <c r="D114" s="4">
        <f>IF('WL &amp; Q'!H114="","",'WL &amp; Q'!H114)</f>
        <v>0</v>
      </c>
      <c r="E114" s="8">
        <v>15</v>
      </c>
      <c r="F114" s="8">
        <v>16.5</v>
      </c>
      <c r="G114" s="8">
        <v>19</v>
      </c>
    </row>
    <row r="115" spans="1:7" x14ac:dyDescent="0.3">
      <c r="A115" s="1">
        <f>'WL &amp; Q'!A115</f>
        <v>46236.624999999731</v>
      </c>
      <c r="B115" s="4">
        <f>IF('WL &amp; Q'!F115="","",'WL &amp; Q'!F115)</f>
        <v>10.06</v>
      </c>
      <c r="C115" s="6">
        <f t="shared" si="1"/>
        <v>140.7108153274568</v>
      </c>
      <c r="D115" s="4">
        <f>IF('WL &amp; Q'!H115="","",'WL &amp; Q'!H115)</f>
        <v>0</v>
      </c>
      <c r="E115" s="8">
        <v>15</v>
      </c>
      <c r="F115" s="8">
        <v>16.5</v>
      </c>
      <c r="G115" s="8">
        <v>19</v>
      </c>
    </row>
    <row r="116" spans="1:7" x14ac:dyDescent="0.3">
      <c r="A116" s="1">
        <f>'WL &amp; Q'!A116</f>
        <v>46236.666666666395</v>
      </c>
      <c r="B116" s="4">
        <f>IF('WL &amp; Q'!F116="","",'WL &amp; Q'!F116)</f>
        <v>10.029999999999999</v>
      </c>
      <c r="C116" s="6">
        <f t="shared" si="1"/>
        <v>138.05517643988028</v>
      </c>
      <c r="D116" s="4">
        <f>IF('WL &amp; Q'!H116="","",'WL &amp; Q'!H116)</f>
        <v>0</v>
      </c>
      <c r="E116" s="8">
        <v>15</v>
      </c>
      <c r="F116" s="8">
        <v>16.5</v>
      </c>
      <c r="G116" s="8">
        <v>19</v>
      </c>
    </row>
    <row r="117" spans="1:7" x14ac:dyDescent="0.3">
      <c r="A117" s="1">
        <f>'WL &amp; Q'!A117</f>
        <v>46236.708333333059</v>
      </c>
      <c r="B117" s="4">
        <f>IF('WL &amp; Q'!F117="","",'WL &amp; Q'!F117)</f>
        <v>9.9700000000000006</v>
      </c>
      <c r="C117" s="6">
        <f t="shared" si="1"/>
        <v>132.79746990981695</v>
      </c>
      <c r="D117" s="4">
        <f>IF('WL &amp; Q'!H117="","",'WL &amp; Q'!H117)</f>
        <v>0</v>
      </c>
      <c r="E117" s="8">
        <v>15</v>
      </c>
      <c r="F117" s="8">
        <v>16.5</v>
      </c>
      <c r="G117" s="8">
        <v>19</v>
      </c>
    </row>
    <row r="118" spans="1:7" x14ac:dyDescent="0.3">
      <c r="A118" s="1">
        <f>'WL &amp; Q'!A118</f>
        <v>46236.749999999724</v>
      </c>
      <c r="B118" s="4">
        <f>IF('WL &amp; Q'!F118="","",'WL &amp; Q'!F118)</f>
        <v>9.93</v>
      </c>
      <c r="C118" s="6">
        <f t="shared" si="1"/>
        <v>129.33234751993808</v>
      </c>
      <c r="D118" s="4">
        <f>IF('WL &amp; Q'!H118="","",'WL &amp; Q'!H118)</f>
        <v>0</v>
      </c>
      <c r="E118" s="8">
        <v>15</v>
      </c>
      <c r="F118" s="8">
        <v>16.5</v>
      </c>
      <c r="G118" s="8">
        <v>19</v>
      </c>
    </row>
    <row r="119" spans="1:7" x14ac:dyDescent="0.3">
      <c r="A119" s="1">
        <f>'WL &amp; Q'!A119</f>
        <v>46236.791666666388</v>
      </c>
      <c r="B119" s="4">
        <f>IF('WL &amp; Q'!F119="","",'WL &amp; Q'!F119)</f>
        <v>9.91</v>
      </c>
      <c r="C119" s="6">
        <f t="shared" si="1"/>
        <v>127.61188525824545</v>
      </c>
      <c r="D119" s="4">
        <f>IF('WL &amp; Q'!H119="","",'WL &amp; Q'!H119)</f>
        <v>0</v>
      </c>
      <c r="E119" s="8">
        <v>15</v>
      </c>
      <c r="F119" s="8">
        <v>16.5</v>
      </c>
      <c r="G119" s="8">
        <v>19</v>
      </c>
    </row>
    <row r="120" spans="1:7" x14ac:dyDescent="0.3">
      <c r="A120" s="1">
        <f>'WL &amp; Q'!A120</f>
        <v>46236.833333333052</v>
      </c>
      <c r="B120" s="4">
        <f>IF('WL &amp; Q'!F120="","",'WL &amp; Q'!F120)</f>
        <v>9.89</v>
      </c>
      <c r="C120" s="6">
        <f t="shared" si="1"/>
        <v>125.89953181055694</v>
      </c>
      <c r="D120" s="4">
        <f>IF('WL &amp; Q'!H120="","",'WL &amp; Q'!H120)</f>
        <v>0</v>
      </c>
      <c r="E120" s="8">
        <v>15</v>
      </c>
      <c r="F120" s="8">
        <v>16.5</v>
      </c>
      <c r="G120" s="8">
        <v>19</v>
      </c>
    </row>
    <row r="121" spans="1:7" x14ac:dyDescent="0.3">
      <c r="A121" s="1">
        <f>'WL &amp; Q'!A121</f>
        <v>46236.874999999716</v>
      </c>
      <c r="B121" s="4">
        <f>IF('WL &amp; Q'!F121="","",'WL &amp; Q'!F121)</f>
        <v>9.8699999999999992</v>
      </c>
      <c r="C121" s="6">
        <f t="shared" si="1"/>
        <v>124.19531983488289</v>
      </c>
      <c r="D121" s="4">
        <f>IF('WL &amp; Q'!H121="","",'WL &amp; Q'!H121)</f>
        <v>0</v>
      </c>
      <c r="E121" s="8">
        <v>15</v>
      </c>
      <c r="F121" s="8">
        <v>16.5</v>
      </c>
      <c r="G121" s="8">
        <v>19</v>
      </c>
    </row>
    <row r="122" spans="1:7" x14ac:dyDescent="0.3">
      <c r="A122" s="1">
        <f>'WL &amp; Q'!A122</f>
        <v>46236.91666666638</v>
      </c>
      <c r="B122" s="4">
        <f>IF('WL &amp; Q'!F122="","",'WL &amp; Q'!F122)</f>
        <v>9.9</v>
      </c>
      <c r="C122" s="6">
        <f t="shared" si="1"/>
        <v>126.75469290131001</v>
      </c>
      <c r="D122" s="4">
        <f>IF('WL &amp; Q'!H122="","",'WL &amp; Q'!H122)</f>
        <v>0</v>
      </c>
      <c r="E122" s="8">
        <v>15</v>
      </c>
      <c r="F122" s="8">
        <v>16.5</v>
      </c>
      <c r="G122" s="8">
        <v>19</v>
      </c>
    </row>
    <row r="123" spans="1:7" x14ac:dyDescent="0.3">
      <c r="A123" s="1">
        <f>'WL &amp; Q'!A123</f>
        <v>46236.958333333045</v>
      </c>
      <c r="B123" s="4">
        <f>IF('WL &amp; Q'!F123="","",'WL &amp; Q'!F123)</f>
        <v>10.050000000000001</v>
      </c>
      <c r="C123" s="6">
        <f t="shared" si="1"/>
        <v>139.82362830124478</v>
      </c>
      <c r="D123" s="4">
        <f>IF('WL &amp; Q'!H123="","",'WL &amp; Q'!H123)</f>
        <v>3.6</v>
      </c>
      <c r="E123" s="8">
        <v>15</v>
      </c>
      <c r="F123" s="8">
        <v>16.5</v>
      </c>
      <c r="G123" s="8">
        <v>19</v>
      </c>
    </row>
    <row r="124" spans="1:7" x14ac:dyDescent="0.3">
      <c r="A124" s="1">
        <f>'WL &amp; Q'!A124</f>
        <v>46236.999999999709</v>
      </c>
      <c r="B124" s="4">
        <f>IF('WL &amp; Q'!F124="","",'WL &amp; Q'!F124)</f>
        <v>10.199999999999999</v>
      </c>
      <c r="C124" s="6">
        <f t="shared" si="1"/>
        <v>153.33654199062599</v>
      </c>
      <c r="D124" s="4">
        <f>IF('WL &amp; Q'!H124="","",'WL &amp; Q'!H124)</f>
        <v>1</v>
      </c>
      <c r="E124" s="8">
        <v>15</v>
      </c>
      <c r="F124" s="8">
        <v>16.5</v>
      </c>
      <c r="G124" s="8">
        <v>19</v>
      </c>
    </row>
    <row r="125" spans="1:7" x14ac:dyDescent="0.3">
      <c r="A125" s="1">
        <f>'WL &amp; Q'!A125</f>
        <v>46237.041666666373</v>
      </c>
      <c r="B125" s="4">
        <f>IF('WL &amp; Q'!F125="","",'WL &amp; Q'!F125)</f>
        <v>10.5</v>
      </c>
      <c r="C125" s="6">
        <f t="shared" si="1"/>
        <v>181.64716122819658</v>
      </c>
      <c r="D125" s="4">
        <f>IF('WL &amp; Q'!H125="","",'WL &amp; Q'!H125)</f>
        <v>1.7</v>
      </c>
      <c r="E125" s="8">
        <v>15</v>
      </c>
      <c r="F125" s="8">
        <v>16.5</v>
      </c>
      <c r="G125" s="8">
        <v>19</v>
      </c>
    </row>
    <row r="126" spans="1:7" x14ac:dyDescent="0.3">
      <c r="A126" s="1">
        <f>'WL &amp; Q'!A126</f>
        <v>46237.083333333037</v>
      </c>
      <c r="B126" s="4">
        <f>IF('WL &amp; Q'!F126="","",'WL &amp; Q'!F126)</f>
        <v>11.09</v>
      </c>
      <c r="C126" s="6">
        <f t="shared" si="1"/>
        <v>242.05045023223866</v>
      </c>
      <c r="D126" s="4">
        <f>IF('WL &amp; Q'!H126="","",'WL &amp; Q'!H126)</f>
        <v>1.3</v>
      </c>
      <c r="E126" s="8">
        <v>15</v>
      </c>
      <c r="F126" s="8">
        <v>16.5</v>
      </c>
      <c r="G126" s="8">
        <v>19</v>
      </c>
    </row>
    <row r="127" spans="1:7" x14ac:dyDescent="0.3">
      <c r="A127" s="1">
        <f>'WL &amp; Q'!A127</f>
        <v>46237.124999999702</v>
      </c>
      <c r="B127" s="4">
        <f>IF('WL &amp; Q'!F127="","",'WL &amp; Q'!F127)</f>
        <v>12.42</v>
      </c>
      <c r="C127" s="6">
        <f t="shared" si="1"/>
        <v>399.02529799904784</v>
      </c>
      <c r="D127" s="4">
        <f>IF('WL &amp; Q'!H127="","",'WL &amp; Q'!H127)</f>
        <v>0.6</v>
      </c>
      <c r="E127" s="8">
        <v>15</v>
      </c>
      <c r="F127" s="8">
        <v>16.5</v>
      </c>
      <c r="G127" s="8">
        <v>19</v>
      </c>
    </row>
    <row r="128" spans="1:7" x14ac:dyDescent="0.3">
      <c r="A128" s="1">
        <f>'WL &amp; Q'!A128</f>
        <v>46237.166666666366</v>
      </c>
      <c r="B128" s="4">
        <f>IF('WL &amp; Q'!F128="","",'WL &amp; Q'!F128)</f>
        <v>13.52</v>
      </c>
      <c r="C128" s="6">
        <f t="shared" si="1"/>
        <v>548.3710190431234</v>
      </c>
      <c r="D128" s="4">
        <f>IF('WL &amp; Q'!H128="","",'WL &amp; Q'!H128)</f>
        <v>1.4</v>
      </c>
      <c r="E128" s="8">
        <v>15</v>
      </c>
      <c r="F128" s="8">
        <v>16.5</v>
      </c>
      <c r="G128" s="8">
        <v>19</v>
      </c>
    </row>
    <row r="129" spans="1:7" x14ac:dyDescent="0.3">
      <c r="A129" s="1">
        <f>'WL &amp; Q'!A129</f>
        <v>46237.20833333303</v>
      </c>
      <c r="B129" s="4">
        <f>IF('WL &amp; Q'!F129="","",'WL &amp; Q'!F129)</f>
        <v>14.05</v>
      </c>
      <c r="C129" s="6">
        <f t="shared" si="1"/>
        <v>626.09595688608147</v>
      </c>
      <c r="D129" s="4">
        <f>IF('WL &amp; Q'!H129="","",'WL &amp; Q'!H129)</f>
        <v>1.8</v>
      </c>
      <c r="E129" s="8">
        <v>15</v>
      </c>
      <c r="F129" s="8">
        <v>16.5</v>
      </c>
      <c r="G129" s="8">
        <v>19</v>
      </c>
    </row>
    <row r="130" spans="1:7" x14ac:dyDescent="0.3">
      <c r="A130" s="1">
        <f>'WL &amp; Q'!A130</f>
        <v>46237.249999999694</v>
      </c>
      <c r="B130" s="4">
        <f>IF('WL &amp; Q'!F130="","",'WL &amp; Q'!F130)</f>
        <v>14.31</v>
      </c>
      <c r="C130" s="6">
        <f t="shared" si="1"/>
        <v>707.80977431840006</v>
      </c>
      <c r="D130" s="4">
        <f>IF('WL &amp; Q'!H130="","",'WL &amp; Q'!H130)</f>
        <v>0</v>
      </c>
      <c r="E130" s="8">
        <v>15</v>
      </c>
      <c r="F130" s="8">
        <v>16.5</v>
      </c>
      <c r="G130" s="8">
        <v>19</v>
      </c>
    </row>
    <row r="131" spans="1:7" x14ac:dyDescent="0.3">
      <c r="A131" s="1">
        <f>'WL &amp; Q'!A131</f>
        <v>46237.291666666359</v>
      </c>
      <c r="B131" s="4">
        <f>IF('WL &amp; Q'!F131="","",'WL &amp; Q'!F131)</f>
        <v>14.4</v>
      </c>
      <c r="C131" s="6">
        <f t="shared" si="1"/>
        <v>723.55964466440003</v>
      </c>
      <c r="D131" s="4">
        <f>IF('WL &amp; Q'!H131="","",'WL &amp; Q'!H131)</f>
        <v>0</v>
      </c>
      <c r="E131" s="8">
        <v>15</v>
      </c>
      <c r="F131" s="8">
        <v>16.5</v>
      </c>
      <c r="G131" s="8">
        <v>19</v>
      </c>
    </row>
    <row r="132" spans="1:7" x14ac:dyDescent="0.3">
      <c r="A132" s="1">
        <f>'WL &amp; Q'!A132</f>
        <v>46237.333333333023</v>
      </c>
      <c r="B132" s="4">
        <f>IF('WL &amp; Q'!F132="","",'WL &amp; Q'!F132)</f>
        <v>14.41</v>
      </c>
      <c r="C132" s="6">
        <f t="shared" si="1"/>
        <v>725.31946835839994</v>
      </c>
      <c r="D132" s="4">
        <f>IF('WL &amp; Q'!H132="","",'WL &amp; Q'!H132)</f>
        <v>0</v>
      </c>
      <c r="E132" s="8">
        <v>15</v>
      </c>
      <c r="F132" s="8">
        <v>16.5</v>
      </c>
      <c r="G132" s="8">
        <v>19</v>
      </c>
    </row>
    <row r="133" spans="1:7" x14ac:dyDescent="0.3">
      <c r="A133" s="1">
        <f>'WL &amp; Q'!A133</f>
        <v>46237.374999999687</v>
      </c>
      <c r="B133" s="4">
        <f>IF('WL &amp; Q'!F133="","",'WL &amp; Q'!F133)</f>
        <v>14.35</v>
      </c>
      <c r="C133" s="6">
        <f t="shared" si="1"/>
        <v>714.79004049439982</v>
      </c>
      <c r="D133" s="4">
        <f>IF('WL &amp; Q'!H133="","",'WL &amp; Q'!H133)</f>
        <v>0</v>
      </c>
      <c r="E133" s="8">
        <v>15</v>
      </c>
      <c r="F133" s="8">
        <v>16.5</v>
      </c>
      <c r="G133" s="8">
        <v>19</v>
      </c>
    </row>
    <row r="134" spans="1:7" x14ac:dyDescent="0.3">
      <c r="A134" s="1">
        <f>'WL &amp; Q'!A134</f>
        <v>46237.416666666351</v>
      </c>
      <c r="B134" s="4">
        <f>IF('WL &amp; Q'!F134="","",'WL &amp; Q'!F134)</f>
        <v>14.21</v>
      </c>
      <c r="C134" s="6">
        <f t="shared" ref="C134:C197" si="2">IF(B134="","",IF((B134-0.118)&gt;14,9.8381*((B134-0.118)-7.5)^2+42.44*((B134-0.118)-7.5)-16.777,35.535*((B134-0.118)-7.5)^1.5414))</f>
        <v>690.49684227839998</v>
      </c>
      <c r="D134" s="4">
        <f>IF('WL &amp; Q'!H134="","",'WL &amp; Q'!H134)</f>
        <v>0</v>
      </c>
      <c r="E134" s="8">
        <v>15</v>
      </c>
      <c r="F134" s="8">
        <v>16.5</v>
      </c>
      <c r="G134" s="8">
        <v>19</v>
      </c>
    </row>
    <row r="135" spans="1:7" x14ac:dyDescent="0.3">
      <c r="A135" s="1">
        <f>'WL &amp; Q'!A135</f>
        <v>46237.458333333016</v>
      </c>
      <c r="B135" s="4">
        <f>IF('WL &amp; Q'!F135="","",'WL &amp; Q'!F135)</f>
        <v>14.05</v>
      </c>
      <c r="C135" s="6">
        <f t="shared" si="2"/>
        <v>626.09595688608147</v>
      </c>
      <c r="D135" s="4">
        <f>IF('WL &amp; Q'!H135="","",'WL &amp; Q'!H135)</f>
        <v>2.1</v>
      </c>
      <c r="E135" s="8">
        <v>15</v>
      </c>
      <c r="F135" s="8">
        <v>16.5</v>
      </c>
      <c r="G135" s="8">
        <v>19</v>
      </c>
    </row>
    <row r="136" spans="1:7" x14ac:dyDescent="0.3">
      <c r="A136" s="1">
        <f>'WL &amp; Q'!A136</f>
        <v>46237.49999999968</v>
      </c>
      <c r="B136" s="4">
        <f>IF('WL &amp; Q'!F136="","",'WL &amp; Q'!F136)</f>
        <v>13.81</v>
      </c>
      <c r="C136" s="6">
        <f t="shared" si="2"/>
        <v>590.45192457786766</v>
      </c>
      <c r="D136" s="4">
        <f>IF('WL &amp; Q'!H136="","",'WL &amp; Q'!H136)</f>
        <v>1.5</v>
      </c>
      <c r="E136" s="8">
        <v>15</v>
      </c>
      <c r="F136" s="8">
        <v>16.5</v>
      </c>
      <c r="G136" s="8">
        <v>19</v>
      </c>
    </row>
    <row r="137" spans="1:7" x14ac:dyDescent="0.3">
      <c r="A137" s="1">
        <f>'WL &amp; Q'!A137</f>
        <v>46237.541666666344</v>
      </c>
      <c r="B137" s="4">
        <f>IF('WL &amp; Q'!F137="","",'WL &amp; Q'!F137)</f>
        <v>13.68</v>
      </c>
      <c r="C137" s="6">
        <f t="shared" si="2"/>
        <v>571.45300053421181</v>
      </c>
      <c r="D137" s="4">
        <f>IF('WL &amp; Q'!H137="","",'WL &amp; Q'!H137)</f>
        <v>2</v>
      </c>
      <c r="E137" s="8">
        <v>15</v>
      </c>
      <c r="F137" s="8">
        <v>16.5</v>
      </c>
      <c r="G137" s="8">
        <v>19</v>
      </c>
    </row>
    <row r="138" spans="1:7" x14ac:dyDescent="0.3">
      <c r="A138" s="1">
        <f>'WL &amp; Q'!A138</f>
        <v>46237.583333333008</v>
      </c>
      <c r="B138" s="4">
        <f>IF('WL &amp; Q'!F138="","",'WL &amp; Q'!F138)</f>
        <v>14</v>
      </c>
      <c r="C138" s="6">
        <f t="shared" si="2"/>
        <v>618.60970780630976</v>
      </c>
      <c r="D138" s="4">
        <f>IF('WL &amp; Q'!H138="","",'WL &amp; Q'!H138)</f>
        <v>1.6</v>
      </c>
      <c r="E138" s="8">
        <v>15</v>
      </c>
      <c r="F138" s="8">
        <v>16.5</v>
      </c>
      <c r="G138" s="8">
        <v>19</v>
      </c>
    </row>
    <row r="139" spans="1:7" x14ac:dyDescent="0.3">
      <c r="A139" s="1">
        <f>'WL &amp; Q'!A139</f>
        <v>46237.624999999673</v>
      </c>
      <c r="B139" s="4">
        <f>IF('WL &amp; Q'!F139="","",'WL &amp; Q'!F139)</f>
        <v>14.6</v>
      </c>
      <c r="C139" s="6">
        <f t="shared" si="2"/>
        <v>759.1299663443998</v>
      </c>
      <c r="D139" s="4">
        <f>IF('WL &amp; Q'!H139="","",'WL &amp; Q'!H139)</f>
        <v>3</v>
      </c>
      <c r="E139" s="8">
        <v>15</v>
      </c>
      <c r="F139" s="8">
        <v>16.5</v>
      </c>
      <c r="G139" s="8">
        <v>19</v>
      </c>
    </row>
    <row r="140" spans="1:7" x14ac:dyDescent="0.3">
      <c r="A140" s="1">
        <f>'WL &amp; Q'!A140</f>
        <v>46237.666666666337</v>
      </c>
      <c r="B140" s="4">
        <f>IF('WL &amp; Q'!F140="","",'WL &amp; Q'!F140)</f>
        <v>15.17</v>
      </c>
      <c r="C140" s="6">
        <f t="shared" si="2"/>
        <v>864.82332522239994</v>
      </c>
      <c r="D140" s="4">
        <f>IF('WL &amp; Q'!H140="","",'WL &amp; Q'!H140)</f>
        <v>1.2</v>
      </c>
      <c r="E140" s="8">
        <v>15</v>
      </c>
      <c r="F140" s="8">
        <v>16.5</v>
      </c>
      <c r="G140" s="8">
        <v>19</v>
      </c>
    </row>
    <row r="141" spans="1:7" x14ac:dyDescent="0.3">
      <c r="A141" s="1">
        <f>'WL &amp; Q'!A141</f>
        <v>46237.708333333001</v>
      </c>
      <c r="B141" s="4">
        <f>IF('WL &amp; Q'!F141="","",'WL &amp; Q'!F141)</f>
        <v>15.65</v>
      </c>
      <c r="C141" s="6">
        <f t="shared" si="2"/>
        <v>958.78666141439999</v>
      </c>
      <c r="D141" s="4">
        <f>IF('WL &amp; Q'!H141="","",'WL &amp; Q'!H141)</f>
        <v>1.5</v>
      </c>
      <c r="E141" s="8">
        <v>15</v>
      </c>
      <c r="F141" s="8">
        <v>16.5</v>
      </c>
      <c r="G141" s="8">
        <v>19</v>
      </c>
    </row>
    <row r="142" spans="1:7" x14ac:dyDescent="0.3">
      <c r="A142" s="1">
        <f>'WL &amp; Q'!A142</f>
        <v>46237.749999999665</v>
      </c>
      <c r="B142" s="4">
        <f>IF('WL &amp; Q'!F142="","",'WL &amp; Q'!F142)</f>
        <v>15.96</v>
      </c>
      <c r="C142" s="6">
        <f t="shared" si="2"/>
        <v>1021.8806667284002</v>
      </c>
      <c r="D142" s="4">
        <f>IF('WL &amp; Q'!H142="","",'WL &amp; Q'!H142)</f>
        <v>0.6</v>
      </c>
      <c r="E142" s="8">
        <v>15</v>
      </c>
      <c r="F142" s="8">
        <v>16.5</v>
      </c>
      <c r="G142" s="8">
        <v>19</v>
      </c>
    </row>
    <row r="143" spans="1:7" x14ac:dyDescent="0.3">
      <c r="A143" s="1">
        <f>'WL &amp; Q'!A143</f>
        <v>46237.79166666633</v>
      </c>
      <c r="B143" s="4">
        <f>IF('WL &amp; Q'!F143="","",'WL &amp; Q'!F143)</f>
        <v>16.190000000000001</v>
      </c>
      <c r="C143" s="6">
        <f t="shared" si="2"/>
        <v>1069.9142401104007</v>
      </c>
      <c r="D143" s="4">
        <f>IF('WL &amp; Q'!H143="","",'WL &amp; Q'!H143)</f>
        <v>0</v>
      </c>
      <c r="E143" s="8">
        <v>15</v>
      </c>
      <c r="F143" s="8">
        <v>16.5</v>
      </c>
      <c r="G143" s="8">
        <v>19</v>
      </c>
    </row>
    <row r="144" spans="1:7" x14ac:dyDescent="0.3">
      <c r="A144" s="1">
        <f>'WL &amp; Q'!A144</f>
        <v>46237.833333332994</v>
      </c>
      <c r="B144" s="4">
        <f>IF('WL &amp; Q'!F144="","",'WL &amp; Q'!F144)</f>
        <v>16.329999999999998</v>
      </c>
      <c r="C144" s="6">
        <f t="shared" si="2"/>
        <v>1099.6616809663999</v>
      </c>
      <c r="D144" s="4">
        <f>IF('WL &amp; Q'!H144="","",'WL &amp; Q'!H144)</f>
        <v>0</v>
      </c>
      <c r="E144" s="8">
        <v>15</v>
      </c>
      <c r="F144" s="8">
        <v>16.5</v>
      </c>
      <c r="G144" s="8">
        <v>19</v>
      </c>
    </row>
    <row r="145" spans="1:7" x14ac:dyDescent="0.3">
      <c r="A145" s="1">
        <f>'WL &amp; Q'!A145</f>
        <v>46237.874999999658</v>
      </c>
      <c r="B145" s="4">
        <f>IF('WL &amp; Q'!F145="","",'WL &amp; Q'!F145)</f>
        <v>16.43</v>
      </c>
      <c r="C145" s="6">
        <f t="shared" si="2"/>
        <v>1121.1459674064004</v>
      </c>
      <c r="D145" s="4">
        <f>IF('WL &amp; Q'!H145="","",'WL &amp; Q'!H145)</f>
        <v>0</v>
      </c>
      <c r="E145" s="8">
        <v>15</v>
      </c>
      <c r="F145" s="8">
        <v>16.5</v>
      </c>
      <c r="G145" s="8">
        <v>19</v>
      </c>
    </row>
    <row r="146" spans="1:7" x14ac:dyDescent="0.3">
      <c r="A146" s="1">
        <f>'WL &amp; Q'!A146</f>
        <v>46237.916666666322</v>
      </c>
      <c r="B146" s="4">
        <f>IF('WL &amp; Q'!F146="","",'WL &amp; Q'!F146)</f>
        <v>16.43</v>
      </c>
      <c r="C146" s="6">
        <f t="shared" si="2"/>
        <v>1121.1459674064004</v>
      </c>
      <c r="D146" s="4">
        <f>IF('WL &amp; Q'!H146="","",'WL &amp; Q'!H146)</f>
        <v>0</v>
      </c>
      <c r="E146" s="8">
        <v>15</v>
      </c>
      <c r="F146" s="8">
        <v>16.5</v>
      </c>
      <c r="G146" s="8">
        <v>19</v>
      </c>
    </row>
    <row r="147" spans="1:7" x14ac:dyDescent="0.3">
      <c r="A147" s="1">
        <f>'WL &amp; Q'!A147</f>
        <v>46237.958333332987</v>
      </c>
      <c r="B147" s="4">
        <f>IF('WL &amp; Q'!F147="","",'WL &amp; Q'!F147)</f>
        <v>16.38</v>
      </c>
      <c r="C147" s="6">
        <f t="shared" si="2"/>
        <v>1110.3792289364001</v>
      </c>
      <c r="D147" s="4">
        <f>IF('WL &amp; Q'!H147="","",'WL &amp; Q'!H147)</f>
        <v>0</v>
      </c>
      <c r="E147" s="8">
        <v>15</v>
      </c>
      <c r="F147" s="8">
        <v>16.5</v>
      </c>
      <c r="G147" s="8">
        <v>19</v>
      </c>
    </row>
    <row r="148" spans="1:7" x14ac:dyDescent="0.3">
      <c r="A148" s="1">
        <f>'WL &amp; Q'!A148</f>
        <v>46237.999999999651</v>
      </c>
      <c r="B148" s="4">
        <f>IF('WL &amp; Q'!F148="","",'WL &amp; Q'!F148)</f>
        <v>16.29</v>
      </c>
      <c r="C148" s="6">
        <f t="shared" si="2"/>
        <v>1091.1230597504002</v>
      </c>
      <c r="D148" s="4">
        <f>IF('WL &amp; Q'!H148="","",'WL &amp; Q'!H148)</f>
        <v>0</v>
      </c>
      <c r="E148" s="8">
        <v>15</v>
      </c>
      <c r="F148" s="8">
        <v>16.5</v>
      </c>
      <c r="G148" s="8">
        <v>19</v>
      </c>
    </row>
    <row r="149" spans="1:7" x14ac:dyDescent="0.3">
      <c r="A149" s="1">
        <f>'WL &amp; Q'!A149</f>
        <v>46238.041666666315</v>
      </c>
      <c r="B149" s="4">
        <f>IF('WL &amp; Q'!F149="","",'WL &amp; Q'!F149)</f>
        <v>16.100000000000001</v>
      </c>
      <c r="C149" s="6">
        <f t="shared" si="2"/>
        <v>1050.9945339444002</v>
      </c>
      <c r="D149" s="4">
        <f>IF('WL &amp; Q'!H149="","",'WL &amp; Q'!H149)</f>
        <v>0</v>
      </c>
      <c r="E149" s="8">
        <v>15</v>
      </c>
      <c r="F149" s="8">
        <v>16.5</v>
      </c>
      <c r="G149" s="8">
        <v>19</v>
      </c>
    </row>
    <row r="150" spans="1:7" x14ac:dyDescent="0.3">
      <c r="A150" s="1">
        <f>'WL &amp; Q'!A150</f>
        <v>46238.083333332979</v>
      </c>
      <c r="B150" s="4">
        <f>IF('WL &amp; Q'!F150="","",'WL &amp; Q'!F150)</f>
        <v>16</v>
      </c>
      <c r="C150" s="6">
        <f t="shared" si="2"/>
        <v>1030.1595621043998</v>
      </c>
      <c r="D150" s="4">
        <f>IF('WL &amp; Q'!H150="","",'WL &amp; Q'!H150)</f>
        <v>0.5</v>
      </c>
      <c r="E150" s="8">
        <v>15</v>
      </c>
      <c r="F150" s="8">
        <v>16.5</v>
      </c>
      <c r="G150" s="8">
        <v>19</v>
      </c>
    </row>
    <row r="151" spans="1:7" x14ac:dyDescent="0.3">
      <c r="A151" s="1">
        <f>'WL &amp; Q'!A151</f>
        <v>46238.124999999643</v>
      </c>
      <c r="B151" s="4">
        <f>IF('WL &amp; Q'!F151="","",'WL &amp; Q'!F151)</f>
        <v>15.81</v>
      </c>
      <c r="C151" s="6">
        <f t="shared" si="2"/>
        <v>991.11519491839999</v>
      </c>
      <c r="D151" s="4">
        <f>IF('WL &amp; Q'!H151="","",'WL &amp; Q'!H151)</f>
        <v>1.7</v>
      </c>
      <c r="E151" s="8">
        <v>15</v>
      </c>
      <c r="F151" s="8">
        <v>16.5</v>
      </c>
      <c r="G151" s="8">
        <v>19</v>
      </c>
    </row>
    <row r="152" spans="1:7" x14ac:dyDescent="0.3">
      <c r="A152" s="1">
        <f>'WL &amp; Q'!A152</f>
        <v>46238.166666666308</v>
      </c>
      <c r="B152" s="4">
        <f>IF('WL &amp; Q'!F152="","",'WL &amp; Q'!F152)</f>
        <v>15.41</v>
      </c>
      <c r="C152" s="6">
        <f t="shared" si="2"/>
        <v>911.23831875840006</v>
      </c>
      <c r="D152" s="4">
        <f>IF('WL &amp; Q'!H152="","",'WL &amp; Q'!H152)</f>
        <v>0</v>
      </c>
      <c r="E152" s="8">
        <v>15</v>
      </c>
      <c r="F152" s="8">
        <v>16.5</v>
      </c>
      <c r="G152" s="8">
        <v>19</v>
      </c>
    </row>
    <row r="153" spans="1:7" x14ac:dyDescent="0.3">
      <c r="A153" s="1">
        <f>'WL &amp; Q'!A153</f>
        <v>46238.208333332972</v>
      </c>
      <c r="B153" s="4">
        <f>IF('WL &amp; Q'!F153="","",'WL &amp; Q'!F153)</f>
        <v>15.37</v>
      </c>
      <c r="C153" s="6">
        <f t="shared" si="2"/>
        <v>903.42378170239976</v>
      </c>
      <c r="D153" s="4">
        <f>IF('WL &amp; Q'!H153="","",'WL &amp; Q'!H153)</f>
        <v>0</v>
      </c>
      <c r="E153" s="8">
        <v>15</v>
      </c>
      <c r="F153" s="8">
        <v>16.5</v>
      </c>
      <c r="G153" s="8">
        <v>19</v>
      </c>
    </row>
    <row r="154" spans="1:7" x14ac:dyDescent="0.3">
      <c r="A154" s="1">
        <f>'WL &amp; Q'!A154</f>
        <v>46238.249999999636</v>
      </c>
      <c r="B154" s="4">
        <f>IF('WL &amp; Q'!F154="","",'WL &amp; Q'!F154)</f>
        <v>15.12</v>
      </c>
      <c r="C154" s="6">
        <f t="shared" si="2"/>
        <v>855.29618735239978</v>
      </c>
      <c r="D154" s="4">
        <f>IF('WL &amp; Q'!H154="","",'WL &amp; Q'!H154)</f>
        <v>2.9</v>
      </c>
      <c r="E154" s="8">
        <v>15</v>
      </c>
      <c r="F154" s="8">
        <v>16.5</v>
      </c>
      <c r="G154" s="8">
        <v>19</v>
      </c>
    </row>
    <row r="155" spans="1:7" x14ac:dyDescent="0.3">
      <c r="A155" s="1">
        <f>'WL &amp; Q'!A155</f>
        <v>46238.2916666663</v>
      </c>
      <c r="B155" s="4">
        <f>IF('WL &amp; Q'!F155="","",'WL &amp; Q'!F155)</f>
        <v>14.85</v>
      </c>
      <c r="C155" s="6">
        <f t="shared" si="2"/>
        <v>804.6996546943999</v>
      </c>
      <c r="D155" s="4">
        <f>IF('WL &amp; Q'!H155="","",'WL &amp; Q'!H155)</f>
        <v>0</v>
      </c>
      <c r="E155" s="8">
        <v>15</v>
      </c>
      <c r="F155" s="8">
        <v>16.5</v>
      </c>
      <c r="G155" s="8">
        <v>19</v>
      </c>
    </row>
    <row r="156" spans="1:7" x14ac:dyDescent="0.3">
      <c r="A156" s="1">
        <f>'WL &amp; Q'!A156</f>
        <v>46238.333333332965</v>
      </c>
      <c r="B156" s="4">
        <f>IF('WL &amp; Q'!F156="","",'WL &amp; Q'!F156)</f>
        <v>14.6</v>
      </c>
      <c r="C156" s="6">
        <f t="shared" si="2"/>
        <v>759.1299663443998</v>
      </c>
      <c r="D156" s="4">
        <f>IF('WL &amp; Q'!H156="","",'WL &amp; Q'!H156)</f>
        <v>0</v>
      </c>
      <c r="E156" s="8">
        <v>15</v>
      </c>
      <c r="F156" s="8">
        <v>16.5</v>
      </c>
      <c r="G156" s="8">
        <v>19</v>
      </c>
    </row>
    <row r="157" spans="1:7" x14ac:dyDescent="0.3">
      <c r="A157" s="1">
        <f>'WL &amp; Q'!A157</f>
        <v>46238.374999999629</v>
      </c>
      <c r="B157" s="4">
        <f>IF('WL &amp; Q'!F157="","",'WL &amp; Q'!F157)</f>
        <v>14.3</v>
      </c>
      <c r="C157" s="6">
        <f t="shared" si="2"/>
        <v>706.06962682440007</v>
      </c>
      <c r="D157" s="4">
        <f>IF('WL &amp; Q'!H157="","",'WL &amp; Q'!H157)</f>
        <v>0</v>
      </c>
      <c r="E157" s="8">
        <v>15</v>
      </c>
      <c r="F157" s="8">
        <v>16.5</v>
      </c>
      <c r="G157" s="8">
        <v>19</v>
      </c>
    </row>
    <row r="158" spans="1:7" x14ac:dyDescent="0.3">
      <c r="A158" s="1">
        <f>'WL &amp; Q'!A158</f>
        <v>46238.416666666293</v>
      </c>
      <c r="B158" s="4">
        <f>IF('WL &amp; Q'!F158="","",'WL &amp; Q'!F158)</f>
        <v>14.06</v>
      </c>
      <c r="C158" s="6">
        <f t="shared" si="2"/>
        <v>627.59699913220413</v>
      </c>
      <c r="D158" s="4">
        <f>IF('WL &amp; Q'!H158="","",'WL &amp; Q'!H158)</f>
        <v>0</v>
      </c>
      <c r="E158" s="8">
        <v>15</v>
      </c>
      <c r="F158" s="8">
        <v>16.5</v>
      </c>
      <c r="G158" s="8">
        <v>19</v>
      </c>
    </row>
    <row r="159" spans="1:7" x14ac:dyDescent="0.3">
      <c r="A159" s="1">
        <f>'WL &amp; Q'!A159</f>
        <v>46238.458333332957</v>
      </c>
      <c r="B159" s="4">
        <f>IF('WL &amp; Q'!F159="","",'WL &amp; Q'!F159)</f>
        <v>13.83</v>
      </c>
      <c r="C159" s="6">
        <f t="shared" si="2"/>
        <v>593.39416609410932</v>
      </c>
      <c r="D159" s="4">
        <f>IF('WL &amp; Q'!H159="","",'WL &amp; Q'!H159)</f>
        <v>0</v>
      </c>
      <c r="E159" s="8">
        <v>15</v>
      </c>
      <c r="F159" s="8">
        <v>16.5</v>
      </c>
      <c r="G159" s="8">
        <v>19</v>
      </c>
    </row>
    <row r="160" spans="1:7" x14ac:dyDescent="0.3">
      <c r="A160" s="1">
        <f>'WL &amp; Q'!A160</f>
        <v>46238.499999999622</v>
      </c>
      <c r="B160" s="4">
        <f>IF('WL &amp; Q'!F160="","",'WL &amp; Q'!F160)</f>
        <v>13.6</v>
      </c>
      <c r="C160" s="6">
        <f t="shared" si="2"/>
        <v>559.87022843840884</v>
      </c>
      <c r="D160" s="4">
        <f>IF('WL &amp; Q'!H160="","",'WL &amp; Q'!H160)</f>
        <v>0</v>
      </c>
      <c r="E160" s="8">
        <v>15</v>
      </c>
      <c r="F160" s="8">
        <v>16.5</v>
      </c>
      <c r="G160" s="8">
        <v>19</v>
      </c>
    </row>
    <row r="161" spans="1:7" x14ac:dyDescent="0.3">
      <c r="A161" s="1">
        <f>'WL &amp; Q'!A161</f>
        <v>46238.541666666286</v>
      </c>
      <c r="B161" s="4" t="str">
        <f>IF('WL &amp; Q'!F161="","",'WL &amp; Q'!F161)</f>
        <v/>
      </c>
      <c r="C161" s="6" t="str">
        <f t="shared" si="2"/>
        <v/>
      </c>
      <c r="D161" s="4" t="str">
        <f>IF('WL &amp; Q'!H161="","",'WL &amp; Q'!H161)</f>
        <v/>
      </c>
      <c r="E161" s="8">
        <v>15</v>
      </c>
      <c r="F161" s="8">
        <v>16.5</v>
      </c>
      <c r="G161" s="8">
        <v>19</v>
      </c>
    </row>
    <row r="162" spans="1:7" x14ac:dyDescent="0.3">
      <c r="A162" s="1">
        <f>'WL &amp; Q'!A162</f>
        <v>46238.58333333295</v>
      </c>
      <c r="B162" s="4" t="str">
        <f>IF('WL &amp; Q'!F162="","",'WL &amp; Q'!F162)</f>
        <v/>
      </c>
      <c r="C162" s="6" t="str">
        <f t="shared" si="2"/>
        <v/>
      </c>
      <c r="D162" s="4" t="str">
        <f>IF('WL &amp; Q'!H162="","",'WL &amp; Q'!H162)</f>
        <v/>
      </c>
      <c r="E162" s="8">
        <v>15</v>
      </c>
      <c r="F162" s="8">
        <v>16.5</v>
      </c>
      <c r="G162" s="8">
        <v>19</v>
      </c>
    </row>
    <row r="163" spans="1:7" x14ac:dyDescent="0.3">
      <c r="A163" s="1">
        <f>'WL &amp; Q'!A163</f>
        <v>46238.624999999614</v>
      </c>
      <c r="B163" s="4" t="str">
        <f>IF('WL &amp; Q'!F163="","",'WL &amp; Q'!F163)</f>
        <v/>
      </c>
      <c r="C163" s="6" t="str">
        <f t="shared" si="2"/>
        <v/>
      </c>
      <c r="D163" s="4" t="str">
        <f>IF('WL &amp; Q'!H163="","",'WL &amp; Q'!H163)</f>
        <v/>
      </c>
      <c r="E163" s="8">
        <v>15</v>
      </c>
      <c r="F163" s="8">
        <v>16.5</v>
      </c>
      <c r="G163" s="8">
        <v>19</v>
      </c>
    </row>
    <row r="164" spans="1:7" x14ac:dyDescent="0.3">
      <c r="A164" s="1">
        <f>'WL &amp; Q'!A164</f>
        <v>46238.666666666279</v>
      </c>
      <c r="B164" s="4" t="str">
        <f>IF('WL &amp; Q'!F164="","",'WL &amp; Q'!F164)</f>
        <v/>
      </c>
      <c r="C164" s="6" t="str">
        <f t="shared" si="2"/>
        <v/>
      </c>
      <c r="D164" s="4" t="str">
        <f>IF('WL &amp; Q'!H164="","",'WL &amp; Q'!H164)</f>
        <v/>
      </c>
      <c r="E164" s="8">
        <v>15</v>
      </c>
      <c r="F164" s="8">
        <v>16.5</v>
      </c>
      <c r="G164" s="8">
        <v>19</v>
      </c>
    </row>
    <row r="165" spans="1:7" x14ac:dyDescent="0.3">
      <c r="A165" s="1">
        <f>'WL &amp; Q'!A165</f>
        <v>46238.708333332943</v>
      </c>
      <c r="B165" s="4" t="str">
        <f>IF('WL &amp; Q'!F165="","",'WL &amp; Q'!F165)</f>
        <v/>
      </c>
      <c r="C165" s="6" t="str">
        <f t="shared" si="2"/>
        <v/>
      </c>
      <c r="D165" s="4" t="str">
        <f>IF('WL &amp; Q'!H165="","",'WL &amp; Q'!H165)</f>
        <v/>
      </c>
      <c r="E165" s="8">
        <v>15</v>
      </c>
      <c r="F165" s="8">
        <v>16.5</v>
      </c>
      <c r="G165" s="8">
        <v>19</v>
      </c>
    </row>
    <row r="166" spans="1:7" x14ac:dyDescent="0.3">
      <c r="A166" s="1">
        <f>'WL &amp; Q'!A166</f>
        <v>46238.749999999607</v>
      </c>
      <c r="B166" s="4" t="str">
        <f>IF('WL &amp; Q'!F166="","",'WL &amp; Q'!F166)</f>
        <v/>
      </c>
      <c r="C166" s="6" t="str">
        <f t="shared" si="2"/>
        <v/>
      </c>
      <c r="D166" s="4" t="str">
        <f>IF('WL &amp; Q'!H166="","",'WL &amp; Q'!H166)</f>
        <v/>
      </c>
      <c r="E166" s="8">
        <v>15</v>
      </c>
      <c r="F166" s="8">
        <v>16.5</v>
      </c>
      <c r="G166" s="8">
        <v>19</v>
      </c>
    </row>
    <row r="167" spans="1:7" x14ac:dyDescent="0.3">
      <c r="A167" s="1">
        <f>'WL &amp; Q'!A167</f>
        <v>46238.791666666271</v>
      </c>
      <c r="B167" s="4" t="str">
        <f>IF('WL &amp; Q'!F167="","",'WL &amp; Q'!F167)</f>
        <v/>
      </c>
      <c r="C167" s="6" t="str">
        <f t="shared" si="2"/>
        <v/>
      </c>
      <c r="D167" s="4" t="str">
        <f>IF('WL &amp; Q'!H167="","",'WL &amp; Q'!H167)</f>
        <v/>
      </c>
      <c r="E167" s="8">
        <v>15</v>
      </c>
      <c r="F167" s="8">
        <v>16.5</v>
      </c>
      <c r="G167" s="8">
        <v>19</v>
      </c>
    </row>
    <row r="168" spans="1:7" x14ac:dyDescent="0.3">
      <c r="A168" s="1">
        <f>'WL &amp; Q'!A168</f>
        <v>46238.833333332936</v>
      </c>
      <c r="B168" s="4" t="str">
        <f>IF('WL &amp; Q'!F168="","",'WL &amp; Q'!F168)</f>
        <v/>
      </c>
      <c r="C168" s="6" t="str">
        <f t="shared" si="2"/>
        <v/>
      </c>
      <c r="D168" s="4" t="str">
        <f>IF('WL &amp; Q'!H168="","",'WL &amp; Q'!H168)</f>
        <v/>
      </c>
      <c r="E168" s="8">
        <v>15</v>
      </c>
      <c r="F168" s="8">
        <v>16.5</v>
      </c>
      <c r="G168" s="8">
        <v>19</v>
      </c>
    </row>
    <row r="169" spans="1:7" x14ac:dyDescent="0.3">
      <c r="A169" s="1">
        <f>'WL &amp; Q'!A169</f>
        <v>46238.8749999996</v>
      </c>
      <c r="B169" s="4" t="str">
        <f>IF('WL &amp; Q'!F169="","",'WL &amp; Q'!F169)</f>
        <v/>
      </c>
      <c r="C169" s="6" t="str">
        <f t="shared" si="2"/>
        <v/>
      </c>
      <c r="D169" s="4" t="str">
        <f>IF('WL &amp; Q'!H169="","",'WL &amp; Q'!H169)</f>
        <v/>
      </c>
      <c r="E169" s="8">
        <v>15</v>
      </c>
      <c r="F169" s="8">
        <v>16.5</v>
      </c>
      <c r="G169" s="8">
        <v>19</v>
      </c>
    </row>
    <row r="170" spans="1:7" x14ac:dyDescent="0.3">
      <c r="A170" s="1">
        <f>'WL &amp; Q'!A170</f>
        <v>46238.916666666264</v>
      </c>
      <c r="B170" s="4" t="str">
        <f>IF('WL &amp; Q'!F170="","",'WL &amp; Q'!F170)</f>
        <v/>
      </c>
      <c r="C170" s="6" t="str">
        <f t="shared" si="2"/>
        <v/>
      </c>
      <c r="D170" s="4" t="str">
        <f>IF('WL &amp; Q'!H170="","",'WL &amp; Q'!H170)</f>
        <v/>
      </c>
      <c r="E170" s="8">
        <v>15</v>
      </c>
      <c r="F170" s="8">
        <v>16.5</v>
      </c>
      <c r="G170" s="8">
        <v>19</v>
      </c>
    </row>
    <row r="171" spans="1:7" x14ac:dyDescent="0.3">
      <c r="A171" s="1">
        <f>'WL &amp; Q'!A171</f>
        <v>46238.958333332928</v>
      </c>
      <c r="B171" s="4" t="str">
        <f>IF('WL &amp; Q'!F171="","",'WL &amp; Q'!F171)</f>
        <v/>
      </c>
      <c r="C171" s="6" t="str">
        <f t="shared" si="2"/>
        <v/>
      </c>
      <c r="D171" s="4" t="str">
        <f>IF('WL &amp; Q'!H171="","",'WL &amp; Q'!H171)</f>
        <v/>
      </c>
      <c r="E171" s="8">
        <v>15</v>
      </c>
      <c r="F171" s="8">
        <v>16.5</v>
      </c>
      <c r="G171" s="8">
        <v>19</v>
      </c>
    </row>
    <row r="172" spans="1:7" x14ac:dyDescent="0.3">
      <c r="A172" s="1">
        <f>'WL &amp; Q'!A172</f>
        <v>46238.999999999593</v>
      </c>
      <c r="B172" s="4" t="str">
        <f>IF('WL &amp; Q'!F172="","",'WL &amp; Q'!F172)</f>
        <v/>
      </c>
      <c r="C172" s="6" t="str">
        <f t="shared" si="2"/>
        <v/>
      </c>
      <c r="D172" s="4" t="str">
        <f>IF('WL &amp; Q'!H172="","",'WL &amp; Q'!H172)</f>
        <v/>
      </c>
      <c r="E172" s="8">
        <v>15</v>
      </c>
      <c r="F172" s="8">
        <v>16.5</v>
      </c>
      <c r="G172" s="8">
        <v>19</v>
      </c>
    </row>
    <row r="173" spans="1:7" x14ac:dyDescent="0.3">
      <c r="A173" s="1">
        <f>'WL &amp; Q'!A173</f>
        <v>46239.041666666257</v>
      </c>
      <c r="B173" s="4" t="str">
        <f>IF('WL &amp; Q'!F173="","",'WL &amp; Q'!F173)</f>
        <v/>
      </c>
      <c r="C173" s="6" t="str">
        <f t="shared" si="2"/>
        <v/>
      </c>
      <c r="D173" s="4" t="str">
        <f>IF('WL &amp; Q'!H173="","",'WL &amp; Q'!H173)</f>
        <v/>
      </c>
      <c r="E173" s="8">
        <v>15</v>
      </c>
      <c r="F173" s="8">
        <v>16.5</v>
      </c>
      <c r="G173" s="8">
        <v>19</v>
      </c>
    </row>
    <row r="174" spans="1:7" x14ac:dyDescent="0.3">
      <c r="A174" s="1">
        <f>'WL &amp; Q'!A174</f>
        <v>46239.083333332921</v>
      </c>
      <c r="B174" s="4" t="str">
        <f>IF('WL &amp; Q'!F174="","",'WL &amp; Q'!F174)</f>
        <v/>
      </c>
      <c r="C174" s="6" t="str">
        <f t="shared" si="2"/>
        <v/>
      </c>
      <c r="D174" s="4" t="str">
        <f>IF('WL &amp; Q'!H174="","",'WL &amp; Q'!H174)</f>
        <v/>
      </c>
      <c r="E174" s="8">
        <v>15</v>
      </c>
      <c r="F174" s="8">
        <v>16.5</v>
      </c>
      <c r="G174" s="8">
        <v>19</v>
      </c>
    </row>
    <row r="175" spans="1:7" x14ac:dyDescent="0.3">
      <c r="A175" s="1">
        <f>'WL &amp; Q'!A175</f>
        <v>46239.124999999585</v>
      </c>
      <c r="B175" s="4" t="str">
        <f>IF('WL &amp; Q'!F175="","",'WL &amp; Q'!F175)</f>
        <v/>
      </c>
      <c r="C175" s="6" t="str">
        <f t="shared" si="2"/>
        <v/>
      </c>
      <c r="D175" s="4" t="str">
        <f>IF('WL &amp; Q'!H175="","",'WL &amp; Q'!H175)</f>
        <v/>
      </c>
      <c r="E175" s="8">
        <v>15</v>
      </c>
      <c r="F175" s="8">
        <v>16.5</v>
      </c>
      <c r="G175" s="8">
        <v>19</v>
      </c>
    </row>
    <row r="176" spans="1:7" x14ac:dyDescent="0.3">
      <c r="A176" s="1">
        <f>'WL &amp; Q'!A176</f>
        <v>46239.16666666625</v>
      </c>
      <c r="B176" s="4" t="str">
        <f>IF('WL &amp; Q'!F176="","",'WL &amp; Q'!F176)</f>
        <v/>
      </c>
      <c r="C176" s="6" t="str">
        <f t="shared" si="2"/>
        <v/>
      </c>
      <c r="D176" s="4" t="str">
        <f>IF('WL &amp; Q'!H176="","",'WL &amp; Q'!H176)</f>
        <v/>
      </c>
      <c r="E176" s="8">
        <v>15</v>
      </c>
      <c r="F176" s="8">
        <v>16.5</v>
      </c>
      <c r="G176" s="8">
        <v>19</v>
      </c>
    </row>
    <row r="177" spans="1:7" x14ac:dyDescent="0.3">
      <c r="A177" s="1">
        <f>'WL &amp; Q'!A177</f>
        <v>46239.208333332914</v>
      </c>
      <c r="B177" s="4" t="str">
        <f>IF('WL &amp; Q'!F177="","",'WL &amp; Q'!F177)</f>
        <v/>
      </c>
      <c r="C177" s="6" t="str">
        <f t="shared" si="2"/>
        <v/>
      </c>
      <c r="D177" s="4" t="str">
        <f>IF('WL &amp; Q'!H177="","",'WL &amp; Q'!H177)</f>
        <v/>
      </c>
      <c r="E177" s="8">
        <v>15</v>
      </c>
      <c r="F177" s="8">
        <v>16.5</v>
      </c>
      <c r="G177" s="8">
        <v>19</v>
      </c>
    </row>
    <row r="178" spans="1:7" x14ac:dyDescent="0.3">
      <c r="A178" s="1">
        <f>'WL &amp; Q'!A178</f>
        <v>46239.249999999578</v>
      </c>
      <c r="B178" s="4" t="str">
        <f>IF('WL &amp; Q'!F178="","",'WL &amp; Q'!F178)</f>
        <v/>
      </c>
      <c r="C178" s="6" t="str">
        <f t="shared" si="2"/>
        <v/>
      </c>
      <c r="D178" s="4" t="str">
        <f>IF('WL &amp; Q'!H178="","",'WL &amp; Q'!H178)</f>
        <v/>
      </c>
      <c r="E178" s="8">
        <v>15</v>
      </c>
      <c r="F178" s="8">
        <v>16.5</v>
      </c>
      <c r="G178" s="8">
        <v>19</v>
      </c>
    </row>
    <row r="179" spans="1:7" x14ac:dyDescent="0.3">
      <c r="A179" s="1">
        <f>'WL &amp; Q'!A179</f>
        <v>46239.291666666242</v>
      </c>
      <c r="B179" s="4" t="str">
        <f>IF('WL &amp; Q'!F179="","",'WL &amp; Q'!F179)</f>
        <v/>
      </c>
      <c r="C179" s="6" t="str">
        <f t="shared" si="2"/>
        <v/>
      </c>
      <c r="D179" s="4" t="str">
        <f>IF('WL &amp; Q'!H179="","",'WL &amp; Q'!H179)</f>
        <v/>
      </c>
      <c r="E179" s="8">
        <v>15</v>
      </c>
      <c r="F179" s="8">
        <v>16.5</v>
      </c>
      <c r="G179" s="8">
        <v>19</v>
      </c>
    </row>
    <row r="180" spans="1:7" x14ac:dyDescent="0.3">
      <c r="A180" s="1">
        <f>'WL &amp; Q'!A180</f>
        <v>46239.333333332906</v>
      </c>
      <c r="B180" s="4" t="str">
        <f>IF('WL &amp; Q'!F180="","",'WL &amp; Q'!F180)</f>
        <v/>
      </c>
      <c r="C180" s="6" t="str">
        <f t="shared" si="2"/>
        <v/>
      </c>
      <c r="D180" s="4" t="str">
        <f>IF('WL &amp; Q'!H180="","",'WL &amp; Q'!H180)</f>
        <v/>
      </c>
      <c r="E180" s="8">
        <v>15</v>
      </c>
      <c r="F180" s="8">
        <v>16.5</v>
      </c>
      <c r="G180" s="8">
        <v>19</v>
      </c>
    </row>
    <row r="181" spans="1:7" x14ac:dyDescent="0.3">
      <c r="A181" s="1">
        <f>'WL &amp; Q'!A181</f>
        <v>46239.374999999571</v>
      </c>
      <c r="B181" s="4" t="str">
        <f>IF('WL &amp; Q'!F181="","",'WL &amp; Q'!F181)</f>
        <v/>
      </c>
      <c r="C181" s="6" t="str">
        <f t="shared" si="2"/>
        <v/>
      </c>
      <c r="D181" s="4" t="str">
        <f>IF('WL &amp; Q'!H181="","",'WL &amp; Q'!H181)</f>
        <v/>
      </c>
      <c r="E181" s="8">
        <v>15</v>
      </c>
      <c r="F181" s="8">
        <v>16.5</v>
      </c>
      <c r="G181" s="8">
        <v>19</v>
      </c>
    </row>
    <row r="182" spans="1:7" x14ac:dyDescent="0.3">
      <c r="A182" s="1">
        <f>'WL &amp; Q'!A182</f>
        <v>46239.416666666235</v>
      </c>
      <c r="B182" s="4" t="str">
        <f>IF('WL &amp; Q'!F182="","",'WL &amp; Q'!F182)</f>
        <v/>
      </c>
      <c r="C182" s="6" t="str">
        <f t="shared" si="2"/>
        <v/>
      </c>
      <c r="D182" s="4" t="str">
        <f>IF('WL &amp; Q'!H182="","",'WL &amp; Q'!H182)</f>
        <v/>
      </c>
      <c r="E182" s="8">
        <v>15</v>
      </c>
      <c r="F182" s="8">
        <v>16.5</v>
      </c>
      <c r="G182" s="8">
        <v>19</v>
      </c>
    </row>
    <row r="183" spans="1:7" x14ac:dyDescent="0.3">
      <c r="A183" s="1">
        <f>'WL &amp; Q'!A183</f>
        <v>46239.458333332899</v>
      </c>
      <c r="B183" s="4" t="str">
        <f>IF('WL &amp; Q'!F183="","",'WL &amp; Q'!F183)</f>
        <v/>
      </c>
      <c r="C183" s="6" t="str">
        <f t="shared" si="2"/>
        <v/>
      </c>
      <c r="D183" s="4" t="str">
        <f>IF('WL &amp; Q'!H183="","",'WL &amp; Q'!H183)</f>
        <v/>
      </c>
      <c r="E183" s="8">
        <v>15</v>
      </c>
      <c r="F183" s="8">
        <v>16.5</v>
      </c>
      <c r="G183" s="8">
        <v>19</v>
      </c>
    </row>
    <row r="184" spans="1:7" x14ac:dyDescent="0.3">
      <c r="A184" s="1">
        <f>'WL &amp; Q'!A184</f>
        <v>46239.499999999563</v>
      </c>
      <c r="B184" s="4" t="str">
        <f>IF('WL &amp; Q'!F184="","",'WL &amp; Q'!F184)</f>
        <v/>
      </c>
      <c r="C184" s="6" t="str">
        <f t="shared" si="2"/>
        <v/>
      </c>
      <c r="D184" s="4" t="str">
        <f>IF('WL &amp; Q'!H184="","",'WL &amp; Q'!H184)</f>
        <v/>
      </c>
      <c r="E184" s="8">
        <v>15</v>
      </c>
      <c r="F184" s="8">
        <v>16.5</v>
      </c>
      <c r="G184" s="8">
        <v>19</v>
      </c>
    </row>
    <row r="185" spans="1:7" x14ac:dyDescent="0.3">
      <c r="A185" s="1">
        <f>'WL &amp; Q'!A185</f>
        <v>46239.541666666228</v>
      </c>
      <c r="B185" s="4" t="str">
        <f>IF('WL &amp; Q'!F185="","",'WL &amp; Q'!F185)</f>
        <v/>
      </c>
      <c r="C185" s="6" t="str">
        <f t="shared" si="2"/>
        <v/>
      </c>
      <c r="D185" s="4" t="str">
        <f>IF('WL &amp; Q'!H185="","",'WL &amp; Q'!H185)</f>
        <v/>
      </c>
      <c r="E185" s="8">
        <v>15</v>
      </c>
      <c r="F185" s="8">
        <v>16.5</v>
      </c>
      <c r="G185" s="8">
        <v>19</v>
      </c>
    </row>
    <row r="186" spans="1:7" x14ac:dyDescent="0.3">
      <c r="A186" s="1">
        <f>'WL &amp; Q'!A186</f>
        <v>46239.583333332892</v>
      </c>
      <c r="B186" s="4" t="str">
        <f>IF('WL &amp; Q'!F186="","",'WL &amp; Q'!F186)</f>
        <v/>
      </c>
      <c r="C186" s="6" t="str">
        <f t="shared" si="2"/>
        <v/>
      </c>
      <c r="D186" s="4" t="str">
        <f>IF('WL &amp; Q'!H186="","",'WL &amp; Q'!H186)</f>
        <v/>
      </c>
      <c r="E186" s="8">
        <v>15</v>
      </c>
      <c r="F186" s="8">
        <v>16.5</v>
      </c>
      <c r="G186" s="8">
        <v>19</v>
      </c>
    </row>
    <row r="187" spans="1:7" x14ac:dyDescent="0.3">
      <c r="A187" s="1">
        <f>'WL &amp; Q'!A187</f>
        <v>46239.624999999556</v>
      </c>
      <c r="B187" s="4" t="str">
        <f>IF('WL &amp; Q'!F187="","",'WL &amp; Q'!F187)</f>
        <v/>
      </c>
      <c r="C187" s="6" t="str">
        <f t="shared" si="2"/>
        <v/>
      </c>
      <c r="D187" s="4" t="str">
        <f>IF('WL &amp; Q'!H187="","",'WL &amp; Q'!H187)</f>
        <v/>
      </c>
      <c r="E187" s="8">
        <v>15</v>
      </c>
      <c r="F187" s="8">
        <v>16.5</v>
      </c>
      <c r="G187" s="8">
        <v>19</v>
      </c>
    </row>
    <row r="188" spans="1:7" x14ac:dyDescent="0.3">
      <c r="A188" s="1">
        <f>'WL &amp; Q'!A188</f>
        <v>46239.66666666622</v>
      </c>
      <c r="B188" s="4" t="str">
        <f>IF('WL &amp; Q'!F188="","",'WL &amp; Q'!F188)</f>
        <v/>
      </c>
      <c r="C188" s="6" t="str">
        <f t="shared" si="2"/>
        <v/>
      </c>
      <c r="D188" s="4" t="str">
        <f>IF('WL &amp; Q'!H188="","",'WL &amp; Q'!H188)</f>
        <v/>
      </c>
      <c r="E188" s="8">
        <v>15</v>
      </c>
      <c r="F188" s="8">
        <v>16.5</v>
      </c>
      <c r="G188" s="8">
        <v>19</v>
      </c>
    </row>
    <row r="189" spans="1:7" x14ac:dyDescent="0.3">
      <c r="A189" s="1">
        <f>'WL &amp; Q'!A189</f>
        <v>46239.708333332885</v>
      </c>
      <c r="B189" s="4" t="str">
        <f>IF('WL &amp; Q'!F189="","",'WL &amp; Q'!F189)</f>
        <v/>
      </c>
      <c r="C189" s="6" t="str">
        <f t="shared" si="2"/>
        <v/>
      </c>
      <c r="D189" s="4" t="str">
        <f>IF('WL &amp; Q'!H189="","",'WL &amp; Q'!H189)</f>
        <v/>
      </c>
      <c r="E189" s="8">
        <v>15</v>
      </c>
      <c r="F189" s="8">
        <v>16.5</v>
      </c>
      <c r="G189" s="8">
        <v>19</v>
      </c>
    </row>
    <row r="190" spans="1:7" x14ac:dyDescent="0.3">
      <c r="A190" s="1">
        <f>'WL &amp; Q'!A190</f>
        <v>46239.749999999549</v>
      </c>
      <c r="B190" s="4" t="str">
        <f>IF('WL &amp; Q'!F190="","",'WL &amp; Q'!F190)</f>
        <v/>
      </c>
      <c r="C190" s="6" t="str">
        <f t="shared" si="2"/>
        <v/>
      </c>
      <c r="D190" s="4" t="str">
        <f>IF('WL &amp; Q'!H190="","",'WL &amp; Q'!H190)</f>
        <v/>
      </c>
      <c r="E190" s="8">
        <v>15</v>
      </c>
      <c r="F190" s="8">
        <v>16.5</v>
      </c>
      <c r="G190" s="8">
        <v>19</v>
      </c>
    </row>
    <row r="191" spans="1:7" x14ac:dyDescent="0.3">
      <c r="A191" s="1">
        <f>'WL &amp; Q'!A191</f>
        <v>46239.791666666213</v>
      </c>
      <c r="B191" s="4" t="str">
        <f>IF('WL &amp; Q'!F191="","",'WL &amp; Q'!F191)</f>
        <v/>
      </c>
      <c r="C191" s="6" t="str">
        <f t="shared" si="2"/>
        <v/>
      </c>
      <c r="D191" s="4" t="str">
        <f>IF('WL &amp; Q'!H191="","",'WL &amp; Q'!H191)</f>
        <v/>
      </c>
      <c r="E191" s="8">
        <v>15</v>
      </c>
      <c r="F191" s="8">
        <v>16.5</v>
      </c>
      <c r="G191" s="8">
        <v>19</v>
      </c>
    </row>
    <row r="192" spans="1:7" x14ac:dyDescent="0.3">
      <c r="A192" s="1">
        <f>'WL &amp; Q'!A192</f>
        <v>46239.833333332877</v>
      </c>
      <c r="B192" s="4" t="str">
        <f>IF('WL &amp; Q'!F192="","",'WL &amp; Q'!F192)</f>
        <v/>
      </c>
      <c r="C192" s="6" t="str">
        <f t="shared" si="2"/>
        <v/>
      </c>
      <c r="D192" s="4" t="str">
        <f>IF('WL &amp; Q'!H192="","",'WL &amp; Q'!H192)</f>
        <v/>
      </c>
      <c r="E192" s="8">
        <v>15</v>
      </c>
      <c r="F192" s="8">
        <v>16.5</v>
      </c>
      <c r="G192" s="8">
        <v>19</v>
      </c>
    </row>
    <row r="193" spans="1:7" x14ac:dyDescent="0.3">
      <c r="A193" s="1">
        <f>'WL &amp; Q'!A193</f>
        <v>46239.874999999542</v>
      </c>
      <c r="B193" s="4" t="str">
        <f>IF('WL &amp; Q'!F193="","",'WL &amp; Q'!F193)</f>
        <v/>
      </c>
      <c r="C193" s="6" t="str">
        <f t="shared" si="2"/>
        <v/>
      </c>
      <c r="D193" s="4" t="str">
        <f>IF('WL &amp; Q'!H193="","",'WL &amp; Q'!H193)</f>
        <v/>
      </c>
      <c r="E193" s="8">
        <v>15</v>
      </c>
      <c r="F193" s="8">
        <v>16.5</v>
      </c>
      <c r="G193" s="8">
        <v>19</v>
      </c>
    </row>
    <row r="194" spans="1:7" x14ac:dyDescent="0.3">
      <c r="A194" s="1">
        <f>'WL &amp; Q'!A194</f>
        <v>46239.916666666206</v>
      </c>
      <c r="B194" s="4" t="str">
        <f>IF('WL &amp; Q'!F194="","",'WL &amp; Q'!F194)</f>
        <v/>
      </c>
      <c r="C194" s="6" t="str">
        <f t="shared" si="2"/>
        <v/>
      </c>
      <c r="D194" s="4" t="str">
        <f>IF('WL &amp; Q'!H194="","",'WL &amp; Q'!H194)</f>
        <v/>
      </c>
      <c r="E194" s="8">
        <v>15</v>
      </c>
      <c r="F194" s="8">
        <v>16.5</v>
      </c>
      <c r="G194" s="8">
        <v>19</v>
      </c>
    </row>
    <row r="195" spans="1:7" x14ac:dyDescent="0.3">
      <c r="A195" s="1">
        <f>'WL &amp; Q'!A195</f>
        <v>46239.95833333287</v>
      </c>
      <c r="B195" s="4" t="str">
        <f>IF('WL &amp; Q'!F195="","",'WL &amp; Q'!F195)</f>
        <v/>
      </c>
      <c r="C195" s="6" t="str">
        <f t="shared" si="2"/>
        <v/>
      </c>
      <c r="D195" s="4" t="str">
        <f>IF('WL &amp; Q'!H195="","",'WL &amp; Q'!H195)</f>
        <v/>
      </c>
      <c r="E195" s="8">
        <v>15</v>
      </c>
      <c r="F195" s="8">
        <v>16.5</v>
      </c>
      <c r="G195" s="8">
        <v>19</v>
      </c>
    </row>
    <row r="196" spans="1:7" x14ac:dyDescent="0.3">
      <c r="A196" s="1">
        <f>'WL &amp; Q'!A196</f>
        <v>46239.999999999534</v>
      </c>
      <c r="B196" s="4" t="str">
        <f>IF('WL &amp; Q'!F196="","",'WL &amp; Q'!F196)</f>
        <v/>
      </c>
      <c r="C196" s="6" t="str">
        <f t="shared" si="2"/>
        <v/>
      </c>
      <c r="D196" s="4" t="str">
        <f>IF('WL &amp; Q'!H196="","",'WL &amp; Q'!H196)</f>
        <v/>
      </c>
      <c r="E196" s="8">
        <v>15</v>
      </c>
      <c r="F196" s="8">
        <v>16.5</v>
      </c>
      <c r="G196" s="8">
        <v>19</v>
      </c>
    </row>
    <row r="197" spans="1:7" x14ac:dyDescent="0.3">
      <c r="A197" s="1">
        <f>'WL &amp; Q'!A197</f>
        <v>46240.041666666199</v>
      </c>
      <c r="B197" s="4" t="str">
        <f>IF('WL &amp; Q'!F197="","",'WL &amp; Q'!F197)</f>
        <v/>
      </c>
      <c r="C197" s="6" t="str">
        <f t="shared" si="2"/>
        <v/>
      </c>
      <c r="D197" s="4" t="str">
        <f>IF('WL &amp; Q'!H197="","",'WL &amp; Q'!H197)</f>
        <v/>
      </c>
      <c r="E197" s="8">
        <v>15</v>
      </c>
      <c r="F197" s="8">
        <v>16.5</v>
      </c>
      <c r="G197" s="8">
        <v>19</v>
      </c>
    </row>
    <row r="198" spans="1:7" x14ac:dyDescent="0.3">
      <c r="A198" s="1">
        <f>'WL &amp; Q'!A198</f>
        <v>46240.083333332863</v>
      </c>
      <c r="B198" s="4" t="str">
        <f>IF('WL &amp; Q'!F198="","",'WL &amp; Q'!F198)</f>
        <v/>
      </c>
      <c r="C198" s="6" t="str">
        <f t="shared" ref="C198:C261" si="3">IF(B198="","",IF((B198-0.118)&gt;14,9.8381*((B198-0.118)-7.5)^2+42.44*((B198-0.118)-7.5)-16.777,35.535*((B198-0.118)-7.5)^1.5414))</f>
        <v/>
      </c>
      <c r="D198" s="4" t="str">
        <f>IF('WL &amp; Q'!H198="","",'WL &amp; Q'!H198)</f>
        <v/>
      </c>
      <c r="E198" s="8">
        <v>15</v>
      </c>
      <c r="F198" s="8">
        <v>16.5</v>
      </c>
      <c r="G198" s="8">
        <v>19</v>
      </c>
    </row>
    <row r="199" spans="1:7" x14ac:dyDescent="0.3">
      <c r="A199" s="1">
        <f>'WL &amp; Q'!A199</f>
        <v>46240.124999999527</v>
      </c>
      <c r="B199" s="4" t="str">
        <f>IF('WL &amp; Q'!F199="","",'WL &amp; Q'!F199)</f>
        <v/>
      </c>
      <c r="C199" s="6" t="str">
        <f t="shared" si="3"/>
        <v/>
      </c>
      <c r="D199" s="4" t="str">
        <f>IF('WL &amp; Q'!H199="","",'WL &amp; Q'!H199)</f>
        <v/>
      </c>
      <c r="E199" s="8">
        <v>15</v>
      </c>
      <c r="F199" s="8">
        <v>16.5</v>
      </c>
      <c r="G199" s="8">
        <v>19</v>
      </c>
    </row>
    <row r="200" spans="1:7" x14ac:dyDescent="0.3">
      <c r="A200" s="1">
        <f>'WL &amp; Q'!A200</f>
        <v>46240.166666666191</v>
      </c>
      <c r="B200" s="4" t="str">
        <f>IF('WL &amp; Q'!F200="","",'WL &amp; Q'!F200)</f>
        <v/>
      </c>
      <c r="C200" s="6" t="str">
        <f t="shared" si="3"/>
        <v/>
      </c>
      <c r="D200" s="4" t="str">
        <f>IF('WL &amp; Q'!H200="","",'WL &amp; Q'!H200)</f>
        <v/>
      </c>
      <c r="E200" s="8">
        <v>15</v>
      </c>
      <c r="F200" s="8">
        <v>16.5</v>
      </c>
      <c r="G200" s="8">
        <v>19</v>
      </c>
    </row>
    <row r="201" spans="1:7" x14ac:dyDescent="0.3">
      <c r="A201" s="1">
        <f>'WL &amp; Q'!A201</f>
        <v>46240.208333332856</v>
      </c>
      <c r="B201" s="4" t="str">
        <f>IF('WL &amp; Q'!F201="","",'WL &amp; Q'!F201)</f>
        <v/>
      </c>
      <c r="C201" s="6" t="str">
        <f t="shared" si="3"/>
        <v/>
      </c>
      <c r="D201" s="4" t="str">
        <f>IF('WL &amp; Q'!H201="","",'WL &amp; Q'!H201)</f>
        <v/>
      </c>
      <c r="E201" s="8">
        <v>15</v>
      </c>
      <c r="F201" s="8">
        <v>16.5</v>
      </c>
      <c r="G201" s="8">
        <v>19</v>
      </c>
    </row>
    <row r="202" spans="1:7" x14ac:dyDescent="0.3">
      <c r="A202" s="1">
        <f>'WL &amp; Q'!A202</f>
        <v>46240.24999999952</v>
      </c>
      <c r="B202" s="4" t="str">
        <f>IF('WL &amp; Q'!F202="","",'WL &amp; Q'!F202)</f>
        <v/>
      </c>
      <c r="C202" s="6" t="str">
        <f t="shared" si="3"/>
        <v/>
      </c>
      <c r="D202" s="4" t="str">
        <f>IF('WL &amp; Q'!H202="","",'WL &amp; Q'!H202)</f>
        <v/>
      </c>
      <c r="E202" s="8">
        <v>15</v>
      </c>
      <c r="F202" s="8">
        <v>16.5</v>
      </c>
      <c r="G202" s="8">
        <v>19</v>
      </c>
    </row>
    <row r="203" spans="1:7" x14ac:dyDescent="0.3">
      <c r="A203" s="1">
        <f>'WL &amp; Q'!A203</f>
        <v>46240.291666666184</v>
      </c>
      <c r="B203" s="4" t="str">
        <f>IF('WL &amp; Q'!F203="","",'WL &amp; Q'!F203)</f>
        <v/>
      </c>
      <c r="C203" s="6" t="str">
        <f t="shared" si="3"/>
        <v/>
      </c>
      <c r="D203" s="4" t="str">
        <f>IF('WL &amp; Q'!H203="","",'WL &amp; Q'!H203)</f>
        <v/>
      </c>
      <c r="E203" s="8">
        <v>15</v>
      </c>
      <c r="F203" s="8">
        <v>16.5</v>
      </c>
      <c r="G203" s="8">
        <v>19</v>
      </c>
    </row>
    <row r="204" spans="1:7" x14ac:dyDescent="0.3">
      <c r="A204" s="1">
        <f>'WL &amp; Q'!A204</f>
        <v>46240.333333332848</v>
      </c>
      <c r="B204" s="4" t="str">
        <f>IF('WL &amp; Q'!F204="","",'WL &amp; Q'!F204)</f>
        <v/>
      </c>
      <c r="C204" s="6" t="str">
        <f t="shared" si="3"/>
        <v/>
      </c>
      <c r="D204" s="4" t="str">
        <f>IF('WL &amp; Q'!H204="","",'WL &amp; Q'!H204)</f>
        <v/>
      </c>
      <c r="E204" s="8">
        <v>15</v>
      </c>
      <c r="F204" s="8">
        <v>16.5</v>
      </c>
      <c r="G204" s="8">
        <v>19</v>
      </c>
    </row>
    <row r="205" spans="1:7" x14ac:dyDescent="0.3">
      <c r="A205" s="1">
        <f>'WL &amp; Q'!A205</f>
        <v>46240.374999999513</v>
      </c>
      <c r="B205" s="4" t="str">
        <f>IF('WL &amp; Q'!F205="","",'WL &amp; Q'!F205)</f>
        <v/>
      </c>
      <c r="C205" s="6" t="str">
        <f t="shared" si="3"/>
        <v/>
      </c>
      <c r="D205" s="4" t="str">
        <f>IF('WL &amp; Q'!H205="","",'WL &amp; Q'!H205)</f>
        <v/>
      </c>
      <c r="E205" s="8">
        <v>15</v>
      </c>
      <c r="F205" s="8">
        <v>16.5</v>
      </c>
      <c r="G205" s="8">
        <v>19</v>
      </c>
    </row>
    <row r="206" spans="1:7" x14ac:dyDescent="0.3">
      <c r="A206" s="1">
        <f>'WL &amp; Q'!A206</f>
        <v>46240.416666666177</v>
      </c>
      <c r="B206" s="4" t="str">
        <f>IF('WL &amp; Q'!F206="","",'WL &amp; Q'!F206)</f>
        <v/>
      </c>
      <c r="C206" s="6" t="str">
        <f t="shared" si="3"/>
        <v/>
      </c>
      <c r="D206" s="4" t="str">
        <f>IF('WL &amp; Q'!H206="","",'WL &amp; Q'!H206)</f>
        <v/>
      </c>
      <c r="E206" s="8">
        <v>15</v>
      </c>
      <c r="F206" s="8">
        <v>16.5</v>
      </c>
      <c r="G206" s="8">
        <v>19</v>
      </c>
    </row>
    <row r="207" spans="1:7" x14ac:dyDescent="0.3">
      <c r="A207" s="1">
        <f>'WL &amp; Q'!A207</f>
        <v>46240.458333332841</v>
      </c>
      <c r="B207" s="4" t="str">
        <f>IF('WL &amp; Q'!F207="","",'WL &amp; Q'!F207)</f>
        <v/>
      </c>
      <c r="C207" s="6" t="str">
        <f t="shared" si="3"/>
        <v/>
      </c>
      <c r="D207" s="4" t="str">
        <f>IF('WL &amp; Q'!H207="","",'WL &amp; Q'!H207)</f>
        <v/>
      </c>
      <c r="E207" s="8">
        <v>15</v>
      </c>
      <c r="F207" s="8">
        <v>16.5</v>
      </c>
      <c r="G207" s="8">
        <v>19</v>
      </c>
    </row>
    <row r="208" spans="1:7" x14ac:dyDescent="0.3">
      <c r="A208" s="1">
        <f>'WL &amp; Q'!A208</f>
        <v>46240.499999999505</v>
      </c>
      <c r="B208" s="4" t="str">
        <f>IF('WL &amp; Q'!F208="","",'WL &amp; Q'!F208)</f>
        <v/>
      </c>
      <c r="C208" s="6" t="str">
        <f t="shared" si="3"/>
        <v/>
      </c>
      <c r="D208" s="4" t="str">
        <f>IF('WL &amp; Q'!H208="","",'WL &amp; Q'!H208)</f>
        <v/>
      </c>
      <c r="E208" s="8">
        <v>15</v>
      </c>
      <c r="F208" s="8">
        <v>16.5</v>
      </c>
      <c r="G208" s="8">
        <v>19</v>
      </c>
    </row>
    <row r="209" spans="1:7" x14ac:dyDescent="0.3">
      <c r="A209" s="1">
        <f>'WL &amp; Q'!A209</f>
        <v>46240.541666666169</v>
      </c>
      <c r="B209" s="4" t="str">
        <f>IF('WL &amp; Q'!F209="","",'WL &amp; Q'!F209)</f>
        <v/>
      </c>
      <c r="C209" s="6" t="str">
        <f t="shared" si="3"/>
        <v/>
      </c>
      <c r="D209" s="4" t="str">
        <f>IF('WL &amp; Q'!H209="","",'WL &amp; Q'!H209)</f>
        <v/>
      </c>
      <c r="E209" s="8">
        <v>15</v>
      </c>
      <c r="F209" s="8">
        <v>16.5</v>
      </c>
      <c r="G209" s="8">
        <v>19</v>
      </c>
    </row>
    <row r="210" spans="1:7" x14ac:dyDescent="0.3">
      <c r="A210" s="1">
        <f>'WL &amp; Q'!A210</f>
        <v>46240.583333332834</v>
      </c>
      <c r="B210" s="4" t="str">
        <f>IF('WL &amp; Q'!F210="","",'WL &amp; Q'!F210)</f>
        <v/>
      </c>
      <c r="C210" s="6" t="str">
        <f t="shared" si="3"/>
        <v/>
      </c>
      <c r="D210" s="4" t="str">
        <f>IF('WL &amp; Q'!H210="","",'WL &amp; Q'!H210)</f>
        <v/>
      </c>
      <c r="E210" s="8">
        <v>15</v>
      </c>
      <c r="F210" s="8">
        <v>16.5</v>
      </c>
      <c r="G210" s="8">
        <v>19</v>
      </c>
    </row>
    <row r="211" spans="1:7" x14ac:dyDescent="0.3">
      <c r="A211" s="1">
        <f>'WL &amp; Q'!A211</f>
        <v>46240.624999999498</v>
      </c>
      <c r="B211" s="4" t="str">
        <f>IF('WL &amp; Q'!F211="","",'WL &amp; Q'!F211)</f>
        <v/>
      </c>
      <c r="C211" s="6" t="str">
        <f t="shared" si="3"/>
        <v/>
      </c>
      <c r="D211" s="4" t="str">
        <f>IF('WL &amp; Q'!H211="","",'WL &amp; Q'!H211)</f>
        <v/>
      </c>
      <c r="E211" s="8">
        <v>15</v>
      </c>
      <c r="F211" s="8">
        <v>16.5</v>
      </c>
      <c r="G211" s="8">
        <v>19</v>
      </c>
    </row>
    <row r="212" spans="1:7" x14ac:dyDescent="0.3">
      <c r="A212" s="1">
        <f>'WL &amp; Q'!A212</f>
        <v>46240.666666666162</v>
      </c>
      <c r="B212" s="4" t="str">
        <f>IF('WL &amp; Q'!F212="","",'WL &amp; Q'!F212)</f>
        <v/>
      </c>
      <c r="C212" s="6" t="str">
        <f t="shared" si="3"/>
        <v/>
      </c>
      <c r="D212" s="4" t="str">
        <f>IF('WL &amp; Q'!H212="","",'WL &amp; Q'!H212)</f>
        <v/>
      </c>
      <c r="E212" s="8">
        <v>15</v>
      </c>
      <c r="F212" s="8">
        <v>16.5</v>
      </c>
      <c r="G212" s="8">
        <v>19</v>
      </c>
    </row>
    <row r="213" spans="1:7" x14ac:dyDescent="0.3">
      <c r="A213" s="1">
        <f>'WL &amp; Q'!A213</f>
        <v>46240.708333332826</v>
      </c>
      <c r="B213" s="4" t="str">
        <f>IF('WL &amp; Q'!F213="","",'WL &amp; Q'!F213)</f>
        <v/>
      </c>
      <c r="C213" s="6" t="str">
        <f t="shared" si="3"/>
        <v/>
      </c>
      <c r="D213" s="4" t="str">
        <f>IF('WL &amp; Q'!H213="","",'WL &amp; Q'!H213)</f>
        <v/>
      </c>
      <c r="E213" s="8">
        <v>15</v>
      </c>
      <c r="F213" s="8">
        <v>16.5</v>
      </c>
      <c r="G213" s="8">
        <v>19</v>
      </c>
    </row>
    <row r="214" spans="1:7" x14ac:dyDescent="0.3">
      <c r="A214" s="1">
        <f>'WL &amp; Q'!A214</f>
        <v>46240.749999999491</v>
      </c>
      <c r="B214" s="4" t="str">
        <f>IF('WL &amp; Q'!F214="","",'WL &amp; Q'!F214)</f>
        <v/>
      </c>
      <c r="C214" s="6" t="str">
        <f t="shared" si="3"/>
        <v/>
      </c>
      <c r="D214" s="4" t="str">
        <f>IF('WL &amp; Q'!H214="","",'WL &amp; Q'!H214)</f>
        <v/>
      </c>
      <c r="E214" s="8">
        <v>15</v>
      </c>
      <c r="F214" s="8">
        <v>16.5</v>
      </c>
      <c r="G214" s="8">
        <v>19</v>
      </c>
    </row>
    <row r="215" spans="1:7" x14ac:dyDescent="0.3">
      <c r="A215" s="1">
        <f>'WL &amp; Q'!A215</f>
        <v>46240.791666666155</v>
      </c>
      <c r="B215" s="4" t="str">
        <f>IF('WL &amp; Q'!F215="","",'WL &amp; Q'!F215)</f>
        <v/>
      </c>
      <c r="C215" s="6" t="str">
        <f t="shared" si="3"/>
        <v/>
      </c>
      <c r="D215" s="4" t="str">
        <f>IF('WL &amp; Q'!H215="","",'WL &amp; Q'!H215)</f>
        <v/>
      </c>
      <c r="E215" s="8">
        <v>15</v>
      </c>
      <c r="F215" s="8">
        <v>16.5</v>
      </c>
      <c r="G215" s="8">
        <v>19</v>
      </c>
    </row>
    <row r="216" spans="1:7" x14ac:dyDescent="0.3">
      <c r="A216" s="1">
        <f>'WL &amp; Q'!A216</f>
        <v>46240.833333332819</v>
      </c>
      <c r="B216" s="4" t="str">
        <f>IF('WL &amp; Q'!F216="","",'WL &amp; Q'!F216)</f>
        <v/>
      </c>
      <c r="C216" s="6" t="str">
        <f t="shared" si="3"/>
        <v/>
      </c>
      <c r="D216" s="4" t="str">
        <f>IF('WL &amp; Q'!H216="","",'WL &amp; Q'!H216)</f>
        <v/>
      </c>
      <c r="E216" s="8">
        <v>15</v>
      </c>
      <c r="F216" s="8">
        <v>16.5</v>
      </c>
      <c r="G216" s="8">
        <v>19</v>
      </c>
    </row>
    <row r="217" spans="1:7" x14ac:dyDescent="0.3">
      <c r="A217" s="1">
        <f>'WL &amp; Q'!A217</f>
        <v>46240.874999999483</v>
      </c>
      <c r="B217" s="4" t="str">
        <f>IF('WL &amp; Q'!F217="","",'WL &amp; Q'!F217)</f>
        <v/>
      </c>
      <c r="C217" s="6" t="str">
        <f t="shared" si="3"/>
        <v/>
      </c>
      <c r="D217" s="4" t="str">
        <f>IF('WL &amp; Q'!H217="","",'WL &amp; Q'!H217)</f>
        <v/>
      </c>
      <c r="E217" s="8">
        <v>15</v>
      </c>
      <c r="F217" s="8">
        <v>16.5</v>
      </c>
      <c r="G217" s="8">
        <v>19</v>
      </c>
    </row>
    <row r="218" spans="1:7" x14ac:dyDescent="0.3">
      <c r="A218" s="1">
        <f>'WL &amp; Q'!A218</f>
        <v>46240.916666666148</v>
      </c>
      <c r="B218" s="4" t="str">
        <f>IF('WL &amp; Q'!F218="","",'WL &amp; Q'!F218)</f>
        <v/>
      </c>
      <c r="C218" s="6" t="str">
        <f t="shared" si="3"/>
        <v/>
      </c>
      <c r="D218" s="4" t="str">
        <f>IF('WL &amp; Q'!H218="","",'WL &amp; Q'!H218)</f>
        <v/>
      </c>
      <c r="E218" s="8">
        <v>15</v>
      </c>
      <c r="F218" s="8">
        <v>16.5</v>
      </c>
      <c r="G218" s="8">
        <v>19</v>
      </c>
    </row>
    <row r="219" spans="1:7" x14ac:dyDescent="0.3">
      <c r="A219" s="1">
        <f>'WL &amp; Q'!A219</f>
        <v>46240.958333332812</v>
      </c>
      <c r="B219" s="4" t="str">
        <f>IF('WL &amp; Q'!F219="","",'WL &amp; Q'!F219)</f>
        <v/>
      </c>
      <c r="C219" s="6" t="str">
        <f t="shared" si="3"/>
        <v/>
      </c>
      <c r="D219" s="4" t="str">
        <f>IF('WL &amp; Q'!H219="","",'WL &amp; Q'!H219)</f>
        <v/>
      </c>
      <c r="E219" s="8">
        <v>15</v>
      </c>
      <c r="F219" s="8">
        <v>16.5</v>
      </c>
      <c r="G219" s="8">
        <v>19</v>
      </c>
    </row>
    <row r="220" spans="1:7" x14ac:dyDescent="0.3">
      <c r="A220" s="1">
        <f>'WL &amp; Q'!A220</f>
        <v>46240.999999999476</v>
      </c>
      <c r="B220" s="4" t="str">
        <f>IF('WL &amp; Q'!F220="","",'WL &amp; Q'!F220)</f>
        <v/>
      </c>
      <c r="C220" s="6" t="str">
        <f t="shared" si="3"/>
        <v/>
      </c>
      <c r="D220" s="4" t="str">
        <f>IF('WL &amp; Q'!H220="","",'WL &amp; Q'!H220)</f>
        <v/>
      </c>
      <c r="E220" s="8">
        <v>15</v>
      </c>
      <c r="F220" s="8">
        <v>16.5</v>
      </c>
      <c r="G220" s="8">
        <v>19</v>
      </c>
    </row>
    <row r="221" spans="1:7" x14ac:dyDescent="0.3">
      <c r="A221" s="1">
        <f>'WL &amp; Q'!A221</f>
        <v>46241.04166666614</v>
      </c>
      <c r="B221" s="4" t="str">
        <f>IF('WL &amp; Q'!F221="","",'WL &amp; Q'!F221)</f>
        <v/>
      </c>
      <c r="C221" s="6" t="str">
        <f t="shared" si="3"/>
        <v/>
      </c>
      <c r="D221" s="4" t="str">
        <f>IF('WL &amp; Q'!H221="","",'WL &amp; Q'!H221)</f>
        <v/>
      </c>
      <c r="E221" s="8">
        <v>15</v>
      </c>
      <c r="F221" s="8">
        <v>16.5</v>
      </c>
      <c r="G221" s="8">
        <v>19</v>
      </c>
    </row>
    <row r="222" spans="1:7" x14ac:dyDescent="0.3">
      <c r="A222" s="1">
        <f>'WL &amp; Q'!A222</f>
        <v>46241.083333332805</v>
      </c>
      <c r="B222" s="4" t="str">
        <f>IF('WL &amp; Q'!F222="","",'WL &amp; Q'!F222)</f>
        <v/>
      </c>
      <c r="C222" s="6" t="str">
        <f t="shared" si="3"/>
        <v/>
      </c>
      <c r="D222" s="4" t="str">
        <f>IF('WL &amp; Q'!H222="","",'WL &amp; Q'!H222)</f>
        <v/>
      </c>
      <c r="E222" s="8">
        <v>15</v>
      </c>
      <c r="F222" s="8">
        <v>16.5</v>
      </c>
      <c r="G222" s="8">
        <v>19</v>
      </c>
    </row>
    <row r="223" spans="1:7" x14ac:dyDescent="0.3">
      <c r="A223" s="1">
        <f>'WL &amp; Q'!A223</f>
        <v>46241.124999999469</v>
      </c>
      <c r="B223" s="4" t="str">
        <f>IF('WL &amp; Q'!F223="","",'WL &amp; Q'!F223)</f>
        <v/>
      </c>
      <c r="C223" s="6" t="str">
        <f t="shared" si="3"/>
        <v/>
      </c>
      <c r="D223" s="4" t="str">
        <f>IF('WL &amp; Q'!H223="","",'WL &amp; Q'!H223)</f>
        <v/>
      </c>
      <c r="E223" s="8">
        <v>15</v>
      </c>
      <c r="F223" s="8">
        <v>16.5</v>
      </c>
      <c r="G223" s="8">
        <v>19</v>
      </c>
    </row>
    <row r="224" spans="1:7" x14ac:dyDescent="0.3">
      <c r="A224" s="1">
        <f>'WL &amp; Q'!A224</f>
        <v>46241.166666666133</v>
      </c>
      <c r="B224" s="4" t="str">
        <f>IF('WL &amp; Q'!F224="","",'WL &amp; Q'!F224)</f>
        <v/>
      </c>
      <c r="C224" s="6" t="str">
        <f t="shared" si="3"/>
        <v/>
      </c>
      <c r="D224" s="4" t="str">
        <f>IF('WL &amp; Q'!H224="","",'WL &amp; Q'!H224)</f>
        <v/>
      </c>
      <c r="E224" s="8">
        <v>15</v>
      </c>
      <c r="F224" s="8">
        <v>16.5</v>
      </c>
      <c r="G224" s="8">
        <v>19</v>
      </c>
    </row>
    <row r="225" spans="1:7" x14ac:dyDescent="0.3">
      <c r="A225" s="1">
        <f>'WL &amp; Q'!A225</f>
        <v>46241.208333332797</v>
      </c>
      <c r="B225" s="4" t="str">
        <f>IF('WL &amp; Q'!F225="","",'WL &amp; Q'!F225)</f>
        <v/>
      </c>
      <c r="C225" s="6" t="str">
        <f t="shared" si="3"/>
        <v/>
      </c>
      <c r="D225" s="4" t="str">
        <f>IF('WL &amp; Q'!H225="","",'WL &amp; Q'!H225)</f>
        <v/>
      </c>
      <c r="E225" s="8">
        <v>15</v>
      </c>
      <c r="F225" s="8">
        <v>16.5</v>
      </c>
      <c r="G225" s="8">
        <v>19</v>
      </c>
    </row>
    <row r="226" spans="1:7" x14ac:dyDescent="0.3">
      <c r="A226" s="1">
        <f>'WL &amp; Q'!A226</f>
        <v>46241.249999999462</v>
      </c>
      <c r="B226" s="4" t="str">
        <f>IF('WL &amp; Q'!F226="","",'WL &amp; Q'!F226)</f>
        <v/>
      </c>
      <c r="C226" s="6" t="str">
        <f t="shared" si="3"/>
        <v/>
      </c>
      <c r="D226" s="4" t="str">
        <f>IF('WL &amp; Q'!H226="","",'WL &amp; Q'!H226)</f>
        <v/>
      </c>
      <c r="E226" s="8">
        <v>15</v>
      </c>
      <c r="F226" s="8">
        <v>16.5</v>
      </c>
      <c r="G226" s="8">
        <v>19</v>
      </c>
    </row>
    <row r="227" spans="1:7" x14ac:dyDescent="0.3">
      <c r="A227" s="1">
        <f>'WL &amp; Q'!A227</f>
        <v>46241.291666666126</v>
      </c>
      <c r="B227" s="4" t="str">
        <f>IF('WL &amp; Q'!F227="","",'WL &amp; Q'!F227)</f>
        <v/>
      </c>
      <c r="C227" s="6" t="str">
        <f t="shared" si="3"/>
        <v/>
      </c>
      <c r="D227" s="4" t="str">
        <f>IF('WL &amp; Q'!H227="","",'WL &amp; Q'!H227)</f>
        <v/>
      </c>
      <c r="E227" s="8">
        <v>15</v>
      </c>
      <c r="F227" s="8">
        <v>16.5</v>
      </c>
      <c r="G227" s="8">
        <v>19</v>
      </c>
    </row>
    <row r="228" spans="1:7" x14ac:dyDescent="0.3">
      <c r="A228" s="1">
        <f>'WL &amp; Q'!A228</f>
        <v>46241.33333333279</v>
      </c>
      <c r="B228" s="4" t="str">
        <f>IF('WL &amp; Q'!F228="","",'WL &amp; Q'!F228)</f>
        <v/>
      </c>
      <c r="C228" s="6" t="str">
        <f t="shared" si="3"/>
        <v/>
      </c>
      <c r="D228" s="4" t="str">
        <f>IF('WL &amp; Q'!H228="","",'WL &amp; Q'!H228)</f>
        <v/>
      </c>
      <c r="E228" s="8">
        <v>15</v>
      </c>
      <c r="F228" s="8">
        <v>16.5</v>
      </c>
      <c r="G228" s="8">
        <v>19</v>
      </c>
    </row>
    <row r="229" spans="1:7" x14ac:dyDescent="0.3">
      <c r="A229" s="1">
        <f>'WL &amp; Q'!A229</f>
        <v>46241.374999999454</v>
      </c>
      <c r="B229" s="4" t="str">
        <f>IF('WL &amp; Q'!F229="","",'WL &amp; Q'!F229)</f>
        <v/>
      </c>
      <c r="C229" s="6" t="str">
        <f t="shared" si="3"/>
        <v/>
      </c>
      <c r="D229" s="4" t="str">
        <f>IF('WL &amp; Q'!H229="","",'WL &amp; Q'!H229)</f>
        <v/>
      </c>
      <c r="E229" s="8">
        <v>15</v>
      </c>
      <c r="F229" s="8">
        <v>16.5</v>
      </c>
      <c r="G229" s="8">
        <v>19</v>
      </c>
    </row>
    <row r="230" spans="1:7" x14ac:dyDescent="0.3">
      <c r="A230" s="1">
        <f>'WL &amp; Q'!A230</f>
        <v>46241.416666666119</v>
      </c>
      <c r="B230" s="4" t="str">
        <f>IF('WL &amp; Q'!F230="","",'WL &amp; Q'!F230)</f>
        <v/>
      </c>
      <c r="C230" s="6" t="str">
        <f t="shared" si="3"/>
        <v/>
      </c>
      <c r="D230" s="4" t="str">
        <f>IF('WL &amp; Q'!H230="","",'WL &amp; Q'!H230)</f>
        <v/>
      </c>
      <c r="E230" s="8">
        <v>15</v>
      </c>
      <c r="F230" s="8">
        <v>16.5</v>
      </c>
      <c r="G230" s="8">
        <v>19</v>
      </c>
    </row>
    <row r="231" spans="1:7" x14ac:dyDescent="0.3">
      <c r="A231" s="1">
        <f>'WL &amp; Q'!A231</f>
        <v>46241.458333332783</v>
      </c>
      <c r="B231" s="4" t="str">
        <f>IF('WL &amp; Q'!F231="","",'WL &amp; Q'!F231)</f>
        <v/>
      </c>
      <c r="C231" s="6" t="str">
        <f t="shared" si="3"/>
        <v/>
      </c>
      <c r="D231" s="4" t="str">
        <f>IF('WL &amp; Q'!H231="","",'WL &amp; Q'!H231)</f>
        <v/>
      </c>
      <c r="E231" s="8">
        <v>15</v>
      </c>
      <c r="F231" s="8">
        <v>16.5</v>
      </c>
      <c r="G231" s="8">
        <v>19</v>
      </c>
    </row>
    <row r="232" spans="1:7" x14ac:dyDescent="0.3">
      <c r="A232" s="1">
        <f>'WL &amp; Q'!A232</f>
        <v>46241.499999999447</v>
      </c>
      <c r="B232" s="4" t="str">
        <f>IF('WL &amp; Q'!F232="","",'WL &amp; Q'!F232)</f>
        <v/>
      </c>
      <c r="C232" s="6" t="str">
        <f t="shared" si="3"/>
        <v/>
      </c>
      <c r="D232" s="4" t="str">
        <f>IF('WL &amp; Q'!H232="","",'WL &amp; Q'!H232)</f>
        <v/>
      </c>
      <c r="E232" s="8">
        <v>15</v>
      </c>
      <c r="F232" s="8">
        <v>16.5</v>
      </c>
      <c r="G232" s="8">
        <v>19</v>
      </c>
    </row>
    <row r="233" spans="1:7" x14ac:dyDescent="0.3">
      <c r="A233" s="1">
        <f>'WL &amp; Q'!A233</f>
        <v>46241.541666666111</v>
      </c>
      <c r="B233" s="4" t="str">
        <f>IF('WL &amp; Q'!F233="","",'WL &amp; Q'!F233)</f>
        <v/>
      </c>
      <c r="C233" s="6" t="str">
        <f t="shared" si="3"/>
        <v/>
      </c>
      <c r="D233" s="4" t="str">
        <f>IF('WL &amp; Q'!H233="","",'WL &amp; Q'!H233)</f>
        <v/>
      </c>
      <c r="E233" s="8">
        <v>15</v>
      </c>
      <c r="F233" s="8">
        <v>16.5</v>
      </c>
      <c r="G233" s="8">
        <v>19</v>
      </c>
    </row>
    <row r="234" spans="1:7" x14ac:dyDescent="0.3">
      <c r="A234" s="1">
        <f>'WL &amp; Q'!A234</f>
        <v>46241.583333332776</v>
      </c>
      <c r="B234" s="4" t="str">
        <f>IF('WL &amp; Q'!F234="","",'WL &amp; Q'!F234)</f>
        <v/>
      </c>
      <c r="C234" s="6" t="str">
        <f t="shared" si="3"/>
        <v/>
      </c>
      <c r="D234" s="4" t="str">
        <f>IF('WL &amp; Q'!H234="","",'WL &amp; Q'!H234)</f>
        <v/>
      </c>
      <c r="E234" s="8">
        <v>15</v>
      </c>
      <c r="F234" s="8">
        <v>16.5</v>
      </c>
      <c r="G234" s="8">
        <v>19</v>
      </c>
    </row>
    <row r="235" spans="1:7" x14ac:dyDescent="0.3">
      <c r="A235" s="1">
        <f>'WL &amp; Q'!A235</f>
        <v>46241.62499999944</v>
      </c>
      <c r="B235" s="4" t="str">
        <f>IF('WL &amp; Q'!F235="","",'WL &amp; Q'!F235)</f>
        <v/>
      </c>
      <c r="C235" s="6" t="str">
        <f t="shared" si="3"/>
        <v/>
      </c>
      <c r="D235" s="4" t="str">
        <f>IF('WL &amp; Q'!H235="","",'WL &amp; Q'!H235)</f>
        <v/>
      </c>
      <c r="E235" s="8">
        <v>15</v>
      </c>
      <c r="F235" s="8">
        <v>16.5</v>
      </c>
      <c r="G235" s="8">
        <v>19</v>
      </c>
    </row>
    <row r="236" spans="1:7" x14ac:dyDescent="0.3">
      <c r="A236" s="1">
        <f>'WL &amp; Q'!A236</f>
        <v>46241.666666666104</v>
      </c>
      <c r="B236" s="4" t="str">
        <f>IF('WL &amp; Q'!F236="","",'WL &amp; Q'!F236)</f>
        <v/>
      </c>
      <c r="C236" s="6" t="str">
        <f t="shared" si="3"/>
        <v/>
      </c>
      <c r="D236" s="4" t="str">
        <f>IF('WL &amp; Q'!H236="","",'WL &amp; Q'!H236)</f>
        <v/>
      </c>
      <c r="E236" s="8">
        <v>15</v>
      </c>
      <c r="F236" s="8">
        <v>16.5</v>
      </c>
      <c r="G236" s="8">
        <v>19</v>
      </c>
    </row>
    <row r="237" spans="1:7" x14ac:dyDescent="0.3">
      <c r="A237" s="1">
        <f>'WL &amp; Q'!A237</f>
        <v>46241.708333332768</v>
      </c>
      <c r="B237" s="4" t="str">
        <f>IF('WL &amp; Q'!F237="","",'WL &amp; Q'!F237)</f>
        <v/>
      </c>
      <c r="C237" s="6" t="str">
        <f t="shared" si="3"/>
        <v/>
      </c>
      <c r="D237" s="4" t="str">
        <f>IF('WL &amp; Q'!H237="","",'WL &amp; Q'!H237)</f>
        <v/>
      </c>
      <c r="E237" s="8">
        <v>15</v>
      </c>
      <c r="F237" s="8">
        <v>16.5</v>
      </c>
      <c r="G237" s="8">
        <v>19</v>
      </c>
    </row>
    <row r="238" spans="1:7" x14ac:dyDescent="0.3">
      <c r="A238" s="1">
        <f>'WL &amp; Q'!A238</f>
        <v>46241.749999999432</v>
      </c>
      <c r="B238" s="4" t="str">
        <f>IF('WL &amp; Q'!F238="","",'WL &amp; Q'!F238)</f>
        <v/>
      </c>
      <c r="C238" s="6" t="str">
        <f t="shared" si="3"/>
        <v/>
      </c>
      <c r="D238" s="4" t="str">
        <f>IF('WL &amp; Q'!H238="","",'WL &amp; Q'!H238)</f>
        <v/>
      </c>
      <c r="E238" s="8">
        <v>15</v>
      </c>
      <c r="F238" s="8">
        <v>16.5</v>
      </c>
      <c r="G238" s="8">
        <v>19</v>
      </c>
    </row>
    <row r="239" spans="1:7" x14ac:dyDescent="0.3">
      <c r="A239" s="1">
        <f>'WL &amp; Q'!A239</f>
        <v>46241.791666666097</v>
      </c>
      <c r="B239" s="4" t="str">
        <f>IF('WL &amp; Q'!F239="","",'WL &amp; Q'!F239)</f>
        <v/>
      </c>
      <c r="C239" s="6" t="str">
        <f t="shared" si="3"/>
        <v/>
      </c>
      <c r="D239" s="4" t="str">
        <f>IF('WL &amp; Q'!H239="","",'WL &amp; Q'!H239)</f>
        <v/>
      </c>
      <c r="E239" s="8">
        <v>15</v>
      </c>
      <c r="F239" s="8">
        <v>16.5</v>
      </c>
      <c r="G239" s="8">
        <v>19</v>
      </c>
    </row>
    <row r="240" spans="1:7" x14ac:dyDescent="0.3">
      <c r="A240" s="1">
        <f>'WL &amp; Q'!A240</f>
        <v>46241.833333332761</v>
      </c>
      <c r="B240" s="4" t="str">
        <f>IF('WL &amp; Q'!F240="","",'WL &amp; Q'!F240)</f>
        <v/>
      </c>
      <c r="C240" s="6" t="str">
        <f t="shared" si="3"/>
        <v/>
      </c>
      <c r="D240" s="4" t="str">
        <f>IF('WL &amp; Q'!H240="","",'WL &amp; Q'!H240)</f>
        <v/>
      </c>
      <c r="E240" s="8">
        <v>15</v>
      </c>
      <c r="F240" s="8">
        <v>16.5</v>
      </c>
      <c r="G240" s="8">
        <v>19</v>
      </c>
    </row>
    <row r="241" spans="1:7" x14ac:dyDescent="0.3">
      <c r="A241" s="1">
        <f>'WL &amp; Q'!A241</f>
        <v>46241.874999999425</v>
      </c>
      <c r="B241" s="4" t="str">
        <f>IF('WL &amp; Q'!F241="","",'WL &amp; Q'!F241)</f>
        <v/>
      </c>
      <c r="C241" s="6" t="str">
        <f t="shared" si="3"/>
        <v/>
      </c>
      <c r="D241" s="4" t="str">
        <f>IF('WL &amp; Q'!H241="","",'WL &amp; Q'!H241)</f>
        <v/>
      </c>
      <c r="E241" s="8">
        <v>15</v>
      </c>
      <c r="F241" s="8">
        <v>16.5</v>
      </c>
      <c r="G241" s="8">
        <v>19</v>
      </c>
    </row>
    <row r="242" spans="1:7" x14ac:dyDescent="0.3">
      <c r="A242" s="1">
        <f>'WL &amp; Q'!A242</f>
        <v>46241.916666666089</v>
      </c>
      <c r="B242" s="4" t="str">
        <f>IF('WL &amp; Q'!F242="","",'WL &amp; Q'!F242)</f>
        <v/>
      </c>
      <c r="C242" s="6" t="str">
        <f t="shared" si="3"/>
        <v/>
      </c>
      <c r="D242" s="4" t="str">
        <f>IF('WL &amp; Q'!H242="","",'WL &amp; Q'!H242)</f>
        <v/>
      </c>
      <c r="E242" s="8">
        <v>15</v>
      </c>
      <c r="F242" s="8">
        <v>16.5</v>
      </c>
      <c r="G242" s="8">
        <v>19</v>
      </c>
    </row>
    <row r="243" spans="1:7" x14ac:dyDescent="0.3">
      <c r="A243" s="1">
        <f>'WL &amp; Q'!A243</f>
        <v>46241.958333332754</v>
      </c>
      <c r="B243" s="4" t="str">
        <f>IF('WL &amp; Q'!F243="","",'WL &amp; Q'!F243)</f>
        <v/>
      </c>
      <c r="C243" s="6" t="str">
        <f t="shared" si="3"/>
        <v/>
      </c>
      <c r="D243" s="4" t="str">
        <f>IF('WL &amp; Q'!H243="","",'WL &amp; Q'!H243)</f>
        <v/>
      </c>
      <c r="E243" s="8">
        <v>15</v>
      </c>
      <c r="F243" s="8">
        <v>16.5</v>
      </c>
      <c r="G243" s="8">
        <v>19</v>
      </c>
    </row>
    <row r="244" spans="1:7" x14ac:dyDescent="0.3">
      <c r="A244" s="1">
        <f>'WL &amp; Q'!A244</f>
        <v>46241.999999999418</v>
      </c>
      <c r="B244" s="4" t="str">
        <f>IF('WL &amp; Q'!F244="","",'WL &amp; Q'!F244)</f>
        <v/>
      </c>
      <c r="C244" s="6" t="str">
        <f t="shared" si="3"/>
        <v/>
      </c>
      <c r="D244" s="4" t="str">
        <f>IF('WL &amp; Q'!H244="","",'WL &amp; Q'!H244)</f>
        <v/>
      </c>
      <c r="E244" s="8">
        <v>15</v>
      </c>
      <c r="F244" s="8">
        <v>16.5</v>
      </c>
      <c r="G244" s="8">
        <v>19</v>
      </c>
    </row>
    <row r="245" spans="1:7" x14ac:dyDescent="0.3">
      <c r="A245" s="1">
        <f>'WL &amp; Q'!A245</f>
        <v>46242.041666666082</v>
      </c>
      <c r="B245" s="4" t="str">
        <f>IF('WL &amp; Q'!F245="","",'WL &amp; Q'!F245)</f>
        <v/>
      </c>
      <c r="C245" s="6" t="str">
        <f t="shared" si="3"/>
        <v/>
      </c>
      <c r="D245" s="4" t="str">
        <f>IF('WL &amp; Q'!H245="","",'WL &amp; Q'!H245)</f>
        <v/>
      </c>
      <c r="E245" s="8">
        <v>15</v>
      </c>
      <c r="F245" s="8">
        <v>16.5</v>
      </c>
      <c r="G245" s="8">
        <v>19</v>
      </c>
    </row>
    <row r="246" spans="1:7" x14ac:dyDescent="0.3">
      <c r="A246" s="1">
        <f>'WL &amp; Q'!A246</f>
        <v>46242.083333332746</v>
      </c>
      <c r="B246" s="4" t="str">
        <f>IF('WL &amp; Q'!F246="","",'WL &amp; Q'!F246)</f>
        <v/>
      </c>
      <c r="C246" s="6" t="str">
        <f t="shared" si="3"/>
        <v/>
      </c>
      <c r="D246" s="4" t="str">
        <f>IF('WL &amp; Q'!H246="","",'WL &amp; Q'!H246)</f>
        <v/>
      </c>
      <c r="E246" s="8">
        <v>15</v>
      </c>
      <c r="F246" s="8">
        <v>16.5</v>
      </c>
      <c r="G246" s="8">
        <v>19</v>
      </c>
    </row>
    <row r="247" spans="1:7" x14ac:dyDescent="0.3">
      <c r="A247" s="1">
        <f>'WL &amp; Q'!A247</f>
        <v>46242.124999999411</v>
      </c>
      <c r="B247" s="4" t="str">
        <f>IF('WL &amp; Q'!F247="","",'WL &amp; Q'!F247)</f>
        <v/>
      </c>
      <c r="C247" s="6" t="str">
        <f t="shared" si="3"/>
        <v/>
      </c>
      <c r="D247" s="4" t="str">
        <f>IF('WL &amp; Q'!H247="","",'WL &amp; Q'!H247)</f>
        <v/>
      </c>
      <c r="E247" s="8">
        <v>15</v>
      </c>
      <c r="F247" s="8">
        <v>16.5</v>
      </c>
      <c r="G247" s="8">
        <v>19</v>
      </c>
    </row>
    <row r="248" spans="1:7" x14ac:dyDescent="0.3">
      <c r="A248" s="1">
        <f>'WL &amp; Q'!A248</f>
        <v>46242.166666666075</v>
      </c>
      <c r="B248" s="4" t="str">
        <f>IF('WL &amp; Q'!F248="","",'WL &amp; Q'!F248)</f>
        <v/>
      </c>
      <c r="C248" s="6" t="str">
        <f t="shared" si="3"/>
        <v/>
      </c>
      <c r="D248" s="4" t="str">
        <f>IF('WL &amp; Q'!H248="","",'WL &amp; Q'!H248)</f>
        <v/>
      </c>
      <c r="E248" s="8">
        <v>15</v>
      </c>
      <c r="F248" s="8">
        <v>16.5</v>
      </c>
      <c r="G248" s="8">
        <v>19</v>
      </c>
    </row>
    <row r="249" spans="1:7" x14ac:dyDescent="0.3">
      <c r="A249" s="1">
        <f>'WL &amp; Q'!A249</f>
        <v>46242.208333332739</v>
      </c>
      <c r="B249" s="4" t="str">
        <f>IF('WL &amp; Q'!F249="","",'WL &amp; Q'!F249)</f>
        <v/>
      </c>
      <c r="C249" s="6" t="str">
        <f t="shared" si="3"/>
        <v/>
      </c>
      <c r="D249" s="4" t="str">
        <f>IF('WL &amp; Q'!H249="","",'WL &amp; Q'!H249)</f>
        <v/>
      </c>
      <c r="E249" s="8">
        <v>15</v>
      </c>
      <c r="F249" s="8">
        <v>16.5</v>
      </c>
      <c r="G249" s="8">
        <v>19</v>
      </c>
    </row>
    <row r="250" spans="1:7" x14ac:dyDescent="0.3">
      <c r="A250" s="1">
        <f>'WL &amp; Q'!A250</f>
        <v>46242.249999999403</v>
      </c>
      <c r="B250" s="4" t="str">
        <f>IF('WL &amp; Q'!F250="","",'WL &amp; Q'!F250)</f>
        <v/>
      </c>
      <c r="C250" s="6" t="str">
        <f t="shared" si="3"/>
        <v/>
      </c>
      <c r="D250" s="4" t="str">
        <f>IF('WL &amp; Q'!H250="","",'WL &amp; Q'!H250)</f>
        <v/>
      </c>
      <c r="E250" s="8">
        <v>15</v>
      </c>
      <c r="F250" s="8">
        <v>16.5</v>
      </c>
      <c r="G250" s="8">
        <v>19</v>
      </c>
    </row>
    <row r="251" spans="1:7" x14ac:dyDescent="0.3">
      <c r="A251" s="1">
        <f>'WL &amp; Q'!A251</f>
        <v>46242.291666666068</v>
      </c>
      <c r="B251" s="4" t="str">
        <f>IF('WL &amp; Q'!F251="","",'WL &amp; Q'!F251)</f>
        <v/>
      </c>
      <c r="C251" s="6" t="str">
        <f t="shared" si="3"/>
        <v/>
      </c>
      <c r="D251" s="4" t="str">
        <f>IF('WL &amp; Q'!H251="","",'WL &amp; Q'!H251)</f>
        <v/>
      </c>
      <c r="E251" s="8">
        <v>15</v>
      </c>
      <c r="F251" s="8">
        <v>16.5</v>
      </c>
      <c r="G251" s="8">
        <v>19</v>
      </c>
    </row>
    <row r="252" spans="1:7" x14ac:dyDescent="0.3">
      <c r="A252" s="1">
        <f>'WL &amp; Q'!A252</f>
        <v>46242.333333332732</v>
      </c>
      <c r="B252" s="4" t="str">
        <f>IF('WL &amp; Q'!F252="","",'WL &amp; Q'!F252)</f>
        <v/>
      </c>
      <c r="C252" s="6" t="str">
        <f t="shared" si="3"/>
        <v/>
      </c>
      <c r="D252" s="4" t="str">
        <f>IF('WL &amp; Q'!H252="","",'WL &amp; Q'!H252)</f>
        <v/>
      </c>
      <c r="E252" s="8">
        <v>15</v>
      </c>
      <c r="F252" s="8">
        <v>16.5</v>
      </c>
      <c r="G252" s="8">
        <v>19</v>
      </c>
    </row>
    <row r="253" spans="1:7" x14ac:dyDescent="0.3">
      <c r="A253" s="1">
        <f>'WL &amp; Q'!A253</f>
        <v>46242.374999999396</v>
      </c>
      <c r="B253" s="4" t="str">
        <f>IF('WL &amp; Q'!F253="","",'WL &amp; Q'!F253)</f>
        <v/>
      </c>
      <c r="C253" s="6" t="str">
        <f t="shared" si="3"/>
        <v/>
      </c>
      <c r="D253" s="4" t="str">
        <f>IF('WL &amp; Q'!H253="","",'WL &amp; Q'!H253)</f>
        <v/>
      </c>
      <c r="E253" s="8">
        <v>15</v>
      </c>
      <c r="F253" s="8">
        <v>16.5</v>
      </c>
      <c r="G253" s="8">
        <v>19</v>
      </c>
    </row>
    <row r="254" spans="1:7" x14ac:dyDescent="0.3">
      <c r="A254" s="1">
        <f>'WL &amp; Q'!A254</f>
        <v>46242.41666666606</v>
      </c>
      <c r="B254" s="4" t="str">
        <f>IF('WL &amp; Q'!F254="","",'WL &amp; Q'!F254)</f>
        <v/>
      </c>
      <c r="C254" s="6" t="str">
        <f t="shared" si="3"/>
        <v/>
      </c>
      <c r="D254" s="4" t="str">
        <f>IF('WL &amp; Q'!H254="","",'WL &amp; Q'!H254)</f>
        <v/>
      </c>
      <c r="E254" s="8">
        <v>15</v>
      </c>
      <c r="F254" s="8">
        <v>16.5</v>
      </c>
      <c r="G254" s="8">
        <v>19</v>
      </c>
    </row>
    <row r="255" spans="1:7" x14ac:dyDescent="0.3">
      <c r="A255" s="1">
        <f>'WL &amp; Q'!A255</f>
        <v>46242.458333332725</v>
      </c>
      <c r="B255" s="4" t="str">
        <f>IF('WL &amp; Q'!F255="","",'WL &amp; Q'!F255)</f>
        <v/>
      </c>
      <c r="C255" s="6" t="str">
        <f t="shared" si="3"/>
        <v/>
      </c>
      <c r="D255" s="4" t="str">
        <f>IF('WL &amp; Q'!H255="","",'WL &amp; Q'!H255)</f>
        <v/>
      </c>
      <c r="E255" s="8">
        <v>15</v>
      </c>
      <c r="F255" s="8">
        <v>16.5</v>
      </c>
      <c r="G255" s="8">
        <v>19</v>
      </c>
    </row>
    <row r="256" spans="1:7" x14ac:dyDescent="0.3">
      <c r="A256" s="1">
        <f>'WL &amp; Q'!A256</f>
        <v>46242.499999999389</v>
      </c>
      <c r="B256" s="4" t="str">
        <f>IF('WL &amp; Q'!F256="","",'WL &amp; Q'!F256)</f>
        <v/>
      </c>
      <c r="C256" s="6" t="str">
        <f t="shared" si="3"/>
        <v/>
      </c>
      <c r="D256" s="4" t="str">
        <f>IF('WL &amp; Q'!H256="","",'WL &amp; Q'!H256)</f>
        <v/>
      </c>
      <c r="E256" s="8">
        <v>15</v>
      </c>
      <c r="F256" s="8">
        <v>16.5</v>
      </c>
      <c r="G256" s="8">
        <v>19</v>
      </c>
    </row>
    <row r="257" spans="1:7" x14ac:dyDescent="0.3">
      <c r="A257" s="1">
        <f>'WL &amp; Q'!A257</f>
        <v>46242.541666666053</v>
      </c>
      <c r="B257" s="4" t="str">
        <f>IF('WL &amp; Q'!F257="","",'WL &amp; Q'!F257)</f>
        <v/>
      </c>
      <c r="C257" s="6" t="str">
        <f t="shared" si="3"/>
        <v/>
      </c>
      <c r="D257" s="4" t="str">
        <f>IF('WL &amp; Q'!H257="","",'WL &amp; Q'!H257)</f>
        <v/>
      </c>
      <c r="E257" s="8">
        <v>15</v>
      </c>
      <c r="F257" s="8">
        <v>16.5</v>
      </c>
      <c r="G257" s="8">
        <v>19</v>
      </c>
    </row>
    <row r="258" spans="1:7" x14ac:dyDescent="0.3">
      <c r="A258" s="1">
        <f>'WL &amp; Q'!A258</f>
        <v>46242.583333332717</v>
      </c>
      <c r="B258" s="4" t="str">
        <f>IF('WL &amp; Q'!F258="","",'WL &amp; Q'!F258)</f>
        <v/>
      </c>
      <c r="C258" s="6" t="str">
        <f t="shared" si="3"/>
        <v/>
      </c>
      <c r="D258" s="4" t="str">
        <f>IF('WL &amp; Q'!H258="","",'WL &amp; Q'!H258)</f>
        <v/>
      </c>
      <c r="E258" s="8">
        <v>15</v>
      </c>
      <c r="F258" s="8">
        <v>16.5</v>
      </c>
      <c r="G258" s="8">
        <v>19</v>
      </c>
    </row>
    <row r="259" spans="1:7" x14ac:dyDescent="0.3">
      <c r="A259" s="1">
        <f>'WL &amp; Q'!A259</f>
        <v>46242.624999999382</v>
      </c>
      <c r="B259" s="4" t="str">
        <f>IF('WL &amp; Q'!F259="","",'WL &amp; Q'!F259)</f>
        <v/>
      </c>
      <c r="C259" s="6" t="str">
        <f t="shared" si="3"/>
        <v/>
      </c>
      <c r="D259" s="4" t="str">
        <f>IF('WL &amp; Q'!H259="","",'WL &amp; Q'!H259)</f>
        <v/>
      </c>
      <c r="E259" s="8">
        <v>15</v>
      </c>
      <c r="F259" s="8">
        <v>16.5</v>
      </c>
      <c r="G259" s="8">
        <v>19</v>
      </c>
    </row>
    <row r="260" spans="1:7" x14ac:dyDescent="0.3">
      <c r="A260" s="1">
        <f>'WL &amp; Q'!A260</f>
        <v>46242.666666666046</v>
      </c>
      <c r="B260" s="4" t="str">
        <f>IF('WL &amp; Q'!F260="","",'WL &amp; Q'!F260)</f>
        <v/>
      </c>
      <c r="C260" s="6" t="str">
        <f t="shared" si="3"/>
        <v/>
      </c>
      <c r="D260" s="4" t="str">
        <f>IF('WL &amp; Q'!H260="","",'WL &amp; Q'!H260)</f>
        <v/>
      </c>
      <c r="E260" s="8">
        <v>15</v>
      </c>
      <c r="F260" s="8">
        <v>16.5</v>
      </c>
      <c r="G260" s="8">
        <v>19</v>
      </c>
    </row>
    <row r="261" spans="1:7" x14ac:dyDescent="0.3">
      <c r="A261" s="1">
        <f>'WL &amp; Q'!A261</f>
        <v>46242.70833333271</v>
      </c>
      <c r="B261" s="4" t="str">
        <f>IF('WL &amp; Q'!F261="","",'WL &amp; Q'!F261)</f>
        <v/>
      </c>
      <c r="C261" s="6" t="str">
        <f t="shared" si="3"/>
        <v/>
      </c>
      <c r="D261" s="4" t="str">
        <f>IF('WL &amp; Q'!H261="","",'WL &amp; Q'!H261)</f>
        <v/>
      </c>
      <c r="E261" s="8">
        <v>15</v>
      </c>
      <c r="F261" s="8">
        <v>16.5</v>
      </c>
      <c r="G261" s="8">
        <v>19</v>
      </c>
    </row>
    <row r="262" spans="1:7" x14ac:dyDescent="0.3">
      <c r="A262" s="1">
        <f>'WL &amp; Q'!A262</f>
        <v>46242.749999999374</v>
      </c>
      <c r="B262" s="4" t="str">
        <f>IF('WL &amp; Q'!F262="","",'WL &amp; Q'!F262)</f>
        <v/>
      </c>
      <c r="C262" s="6" t="str">
        <f t="shared" ref="C262:C268" si="4">IF(B262="","",IF((B262-0.118)&gt;14,9.8381*((B262-0.118)-7.5)^2+42.44*((B262-0.118)-7.5)-16.777,35.535*((B262-0.118)-7.5)^1.5414))</f>
        <v/>
      </c>
      <c r="D262" s="4" t="str">
        <f>IF('WL &amp; Q'!H262="","",'WL &amp; Q'!H262)</f>
        <v/>
      </c>
      <c r="E262" s="8">
        <v>15</v>
      </c>
      <c r="F262" s="8">
        <v>16.5</v>
      </c>
      <c r="G262" s="8">
        <v>19</v>
      </c>
    </row>
    <row r="263" spans="1:7" x14ac:dyDescent="0.3">
      <c r="A263" s="1">
        <f>'WL &amp; Q'!A263</f>
        <v>46242.791666666039</v>
      </c>
      <c r="B263" s="4" t="str">
        <f>IF('WL &amp; Q'!F263="","",'WL &amp; Q'!F263)</f>
        <v/>
      </c>
      <c r="C263" s="6" t="str">
        <f t="shared" si="4"/>
        <v/>
      </c>
      <c r="D263" s="4" t="str">
        <f>IF('WL &amp; Q'!H263="","",'WL &amp; Q'!H263)</f>
        <v/>
      </c>
      <c r="E263" s="8">
        <v>15</v>
      </c>
      <c r="F263" s="8">
        <v>16.5</v>
      </c>
      <c r="G263" s="8">
        <v>19</v>
      </c>
    </row>
    <row r="264" spans="1:7" x14ac:dyDescent="0.3">
      <c r="A264" s="1">
        <f>'WL &amp; Q'!A264</f>
        <v>46242.833333332703</v>
      </c>
      <c r="B264" s="4" t="str">
        <f>IF('WL &amp; Q'!F264="","",'WL &amp; Q'!F264)</f>
        <v/>
      </c>
      <c r="C264" s="6" t="str">
        <f t="shared" si="4"/>
        <v/>
      </c>
      <c r="D264" s="4" t="str">
        <f>IF('WL &amp; Q'!H264="","",'WL &amp; Q'!H264)</f>
        <v/>
      </c>
      <c r="E264" s="8">
        <v>15</v>
      </c>
      <c r="F264" s="8">
        <v>16.5</v>
      </c>
      <c r="G264" s="8">
        <v>19</v>
      </c>
    </row>
    <row r="265" spans="1:7" x14ac:dyDescent="0.3">
      <c r="A265" s="1">
        <f>'WL &amp; Q'!A265</f>
        <v>46242.874999999367</v>
      </c>
      <c r="B265" s="4" t="str">
        <f>IF('WL &amp; Q'!F265="","",'WL &amp; Q'!F265)</f>
        <v/>
      </c>
      <c r="C265" s="6" t="str">
        <f t="shared" si="4"/>
        <v/>
      </c>
      <c r="D265" s="4" t="str">
        <f>IF('WL &amp; Q'!H265="","",'WL &amp; Q'!H265)</f>
        <v/>
      </c>
      <c r="E265" s="8">
        <v>15</v>
      </c>
      <c r="F265" s="8">
        <v>16.5</v>
      </c>
      <c r="G265" s="8">
        <v>19</v>
      </c>
    </row>
    <row r="266" spans="1:7" x14ac:dyDescent="0.3">
      <c r="A266" s="1">
        <f>'WL &amp; Q'!A266</f>
        <v>46242.916666666031</v>
      </c>
      <c r="B266" s="4" t="str">
        <f>IF('WL &amp; Q'!F266="","",'WL &amp; Q'!F266)</f>
        <v/>
      </c>
      <c r="C266" s="6" t="str">
        <f t="shared" si="4"/>
        <v/>
      </c>
      <c r="D266" s="4" t="str">
        <f>IF('WL &amp; Q'!H266="","",'WL &amp; Q'!H266)</f>
        <v/>
      </c>
      <c r="E266" s="8">
        <v>15</v>
      </c>
      <c r="F266" s="8">
        <v>16.5</v>
      </c>
      <c r="G266" s="8">
        <v>19</v>
      </c>
    </row>
    <row r="267" spans="1:7" x14ac:dyDescent="0.3">
      <c r="A267" s="1">
        <f>'WL &amp; Q'!A267</f>
        <v>46242.958333332695</v>
      </c>
      <c r="B267" s="4" t="str">
        <f>IF('WL &amp; Q'!F267="","",'WL &amp; Q'!F267)</f>
        <v/>
      </c>
      <c r="C267" s="6" t="str">
        <f t="shared" si="4"/>
        <v/>
      </c>
      <c r="D267" s="4" t="str">
        <f>IF('WL &amp; Q'!H267="","",'WL &amp; Q'!H267)</f>
        <v/>
      </c>
      <c r="E267" s="8">
        <v>15</v>
      </c>
      <c r="F267" s="8">
        <v>16.5</v>
      </c>
      <c r="G267" s="8">
        <v>19</v>
      </c>
    </row>
    <row r="268" spans="1:7" x14ac:dyDescent="0.3">
      <c r="A268" s="1">
        <f>'WL &amp; Q'!A268</f>
        <v>46242.99999999936</v>
      </c>
      <c r="B268" s="4" t="str">
        <f>IF('WL &amp; Q'!F268="","",'WL &amp; Q'!F268)</f>
        <v/>
      </c>
      <c r="C268" s="6" t="str">
        <f t="shared" si="4"/>
        <v/>
      </c>
      <c r="D268" s="4" t="str">
        <f>IF('WL &amp; Q'!H268="","",'WL &amp; Q'!H268)</f>
        <v/>
      </c>
      <c r="E268" s="8">
        <v>15</v>
      </c>
      <c r="F268" s="8">
        <v>16.5</v>
      </c>
      <c r="G268" s="8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643-963A-4786-B9D7-4CCEA60E37DA}">
  <dimension ref="A1:Q268"/>
  <sheetViews>
    <sheetView workbookViewId="0">
      <selection activeCell="I29" sqref="I29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3</v>
      </c>
      <c r="C2" s="11"/>
      <c r="I2" s="18" t="s">
        <v>24</v>
      </c>
      <c r="J2" s="17" t="s">
        <v>20</v>
      </c>
      <c r="K2" s="17" t="s">
        <v>21</v>
      </c>
      <c r="L2" s="17" t="s">
        <v>22</v>
      </c>
      <c r="M2" s="17" t="s">
        <v>23</v>
      </c>
    </row>
    <row r="3" spans="1:17" x14ac:dyDescent="0.3">
      <c r="A3" s="11"/>
      <c r="C3" s="11"/>
      <c r="I3" s="18">
        <v>0</v>
      </c>
      <c r="J3" s="19">
        <f>Hanwella!J3</f>
        <v>46235.3125</v>
      </c>
      <c r="K3" s="19">
        <f>Hanwella!K3</f>
        <v>46237.479166666664</v>
      </c>
      <c r="L3" s="19">
        <f>Hanwella!L3</f>
        <v>46237.5625</v>
      </c>
      <c r="M3" s="19">
        <f>Hanwella!M3</f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8</v>
      </c>
      <c r="J4" s="19">
        <f>Hanwella!J4</f>
        <v>46235.3125</v>
      </c>
      <c r="K4" s="19">
        <f>Hanwella!K4</f>
        <v>46237.479166666664</v>
      </c>
      <c r="L4" s="19">
        <f>Hanwella!L4</f>
        <v>46237.5625</v>
      </c>
      <c r="M4" s="19">
        <f>Hanwella!M4</f>
        <v>46237.645833333336</v>
      </c>
      <c r="Q4" s="20"/>
    </row>
    <row r="5" spans="1:17" x14ac:dyDescent="0.3">
      <c r="A5" s="1">
        <f>'WL &amp; Q'!A5</f>
        <v>46232.041666666664</v>
      </c>
      <c r="B5" s="4">
        <f>IF('WL &amp; Q'!I5="","",'WL &amp; Q'!I5)</f>
        <v>1.68</v>
      </c>
      <c r="C5" s="6">
        <f t="shared" ref="C5:C69" si="0">IF(B5="","",IF(B5&lt;=2.23,13.015*(B5-0.345)^3.274,114.59*(B5-0.345)^2-419*(B5-0.345)+487.77))</f>
        <v>33.517362493970573</v>
      </c>
      <c r="D5" s="4">
        <f>IF('WL &amp; Q'!J5="","",'WL &amp; Q'!J5)</f>
        <v>38.989318107689378</v>
      </c>
      <c r="E5" s="8">
        <v>3</v>
      </c>
      <c r="F5" s="8">
        <v>4</v>
      </c>
      <c r="G5" s="8">
        <v>6</v>
      </c>
      <c r="K5" s="1"/>
      <c r="Q5" s="20"/>
    </row>
    <row r="6" spans="1:17" x14ac:dyDescent="0.3">
      <c r="A6" s="1">
        <f>'WL &amp; Q'!A6</f>
        <v>46232.083333333328</v>
      </c>
      <c r="B6" s="4">
        <f>IF('WL &amp; Q'!I6="","",'WL &amp; Q'!I6)</f>
        <v>1.66</v>
      </c>
      <c r="C6" s="6">
        <f t="shared" si="0"/>
        <v>31.901204947242384</v>
      </c>
      <c r="D6" s="4">
        <f>IF('WL &amp; Q'!K6="","",'WL &amp; Q'!K6)</f>
        <v>0</v>
      </c>
      <c r="E6" s="8">
        <v>3</v>
      </c>
      <c r="F6" s="8">
        <v>4</v>
      </c>
      <c r="G6" s="8">
        <v>6</v>
      </c>
      <c r="K6" s="1"/>
      <c r="M6" s="1"/>
    </row>
    <row r="7" spans="1:17" x14ac:dyDescent="0.3">
      <c r="A7" s="1">
        <f>'WL &amp; Q'!A7</f>
        <v>46232.124999999993</v>
      </c>
      <c r="B7" s="4">
        <f>IF('WL &amp; Q'!I7="","",'WL &amp; Q'!I7)</f>
        <v>1.66</v>
      </c>
      <c r="C7" s="6">
        <f t="shared" si="0"/>
        <v>31.901204947242384</v>
      </c>
      <c r="D7" s="4">
        <f>IF('WL &amp; Q'!K7="","",'WL &amp; Q'!K7)</f>
        <v>0</v>
      </c>
      <c r="E7" s="8">
        <v>3</v>
      </c>
      <c r="F7" s="8">
        <v>4</v>
      </c>
      <c r="G7" s="8">
        <v>6</v>
      </c>
    </row>
    <row r="8" spans="1:17" x14ac:dyDescent="0.3">
      <c r="A8" s="1">
        <f>'WL &amp; Q'!A8</f>
        <v>46232.166666666657</v>
      </c>
      <c r="B8" s="4">
        <f>IF('WL &amp; Q'!I8="","",'WL &amp; Q'!I8)</f>
        <v>1.59</v>
      </c>
      <c r="C8" s="6">
        <f t="shared" si="0"/>
        <v>26.670344717306079</v>
      </c>
      <c r="D8" s="4">
        <f>IF('WL &amp; Q'!K8="","",'WL &amp; Q'!K8)</f>
        <v>0</v>
      </c>
      <c r="E8" s="8">
        <v>3</v>
      </c>
      <c r="F8" s="8">
        <v>4</v>
      </c>
      <c r="G8" s="8">
        <v>6</v>
      </c>
    </row>
    <row r="9" spans="1:17" x14ac:dyDescent="0.3">
      <c r="A9" s="1">
        <f>'WL &amp; Q'!A9</f>
        <v>46232.208333333321</v>
      </c>
      <c r="B9" s="4">
        <f>IF('WL &amp; Q'!I9="","",'WL &amp; Q'!I9)</f>
        <v>1.59</v>
      </c>
      <c r="C9" s="6">
        <f t="shared" si="0"/>
        <v>26.670344717306079</v>
      </c>
      <c r="D9" s="4">
        <f>IF('WL &amp; Q'!K9="","",'WL &amp; Q'!K9)</f>
        <v>9.8000000000000007</v>
      </c>
      <c r="E9" s="8">
        <v>3</v>
      </c>
      <c r="F9" s="8">
        <v>4</v>
      </c>
      <c r="G9" s="8">
        <v>6</v>
      </c>
    </row>
    <row r="10" spans="1:17" x14ac:dyDescent="0.3">
      <c r="A10" s="1">
        <f>'WL &amp; Q'!A10</f>
        <v>46232.249999999985</v>
      </c>
      <c r="B10" s="4">
        <f>IF('WL &amp; Q'!I10="","",'WL &amp; Q'!I10)</f>
        <v>1.61</v>
      </c>
      <c r="C10" s="6">
        <f t="shared" si="0"/>
        <v>28.098850455955088</v>
      </c>
      <c r="D10" s="4">
        <f>IF('WL &amp; Q'!K10="","",'WL &amp; Q'!K10)</f>
        <v>7</v>
      </c>
      <c r="E10" s="8">
        <v>3</v>
      </c>
      <c r="F10" s="8">
        <v>4</v>
      </c>
      <c r="G10" s="8">
        <v>6</v>
      </c>
    </row>
    <row r="11" spans="1:17" x14ac:dyDescent="0.3">
      <c r="A11" s="1">
        <f>'WL &amp; Q'!A11</f>
        <v>46232.29166666665</v>
      </c>
      <c r="B11" s="4">
        <f>IF('WL &amp; Q'!I11="","",'WL &amp; Q'!I11)</f>
        <v>1.68</v>
      </c>
      <c r="C11" s="6">
        <f t="shared" si="0"/>
        <v>33.517362493970573</v>
      </c>
      <c r="D11" s="4">
        <f>IF('WL &amp; Q'!K11="","",'WL &amp; Q'!K11)</f>
        <v>1.2</v>
      </c>
      <c r="E11" s="8">
        <v>3</v>
      </c>
      <c r="F11" s="8">
        <v>4</v>
      </c>
      <c r="G11" s="8">
        <v>6</v>
      </c>
    </row>
    <row r="12" spans="1:17" x14ac:dyDescent="0.3">
      <c r="A12" s="1">
        <f>'WL &amp; Q'!A12</f>
        <v>46232.333333333314</v>
      </c>
      <c r="B12" s="4">
        <f>IF('WL &amp; Q'!I12="","",'WL &amp; Q'!I12)</f>
        <v>1.55</v>
      </c>
      <c r="C12" s="6">
        <f t="shared" si="0"/>
        <v>23.966011536188738</v>
      </c>
      <c r="D12" s="4">
        <f>IF('WL &amp; Q'!K12="","",'WL &amp; Q'!K12)</f>
        <v>0</v>
      </c>
      <c r="E12" s="8">
        <v>3</v>
      </c>
      <c r="F12" s="8">
        <v>4</v>
      </c>
      <c r="G12" s="8">
        <v>6</v>
      </c>
    </row>
    <row r="13" spans="1:17" x14ac:dyDescent="0.3">
      <c r="A13" s="1">
        <f>'WL &amp; Q'!A13</f>
        <v>46232.374999999978</v>
      </c>
      <c r="B13" s="4">
        <f>IF('WL &amp; Q'!I13="","",'WL &amp; Q'!I13)</f>
        <v>1.55</v>
      </c>
      <c r="C13" s="6">
        <f t="shared" si="0"/>
        <v>23.966011536188738</v>
      </c>
      <c r="D13" s="4">
        <f>IF('WL &amp; Q'!K13="","",'WL &amp; Q'!K13)</f>
        <v>0</v>
      </c>
      <c r="E13" s="8">
        <v>3</v>
      </c>
      <c r="F13" s="8">
        <v>4</v>
      </c>
      <c r="G13" s="8">
        <v>6</v>
      </c>
    </row>
    <row r="14" spans="1:17" x14ac:dyDescent="0.3">
      <c r="A14" s="1">
        <f>'WL &amp; Q'!A14</f>
        <v>46232.416666666642</v>
      </c>
      <c r="B14" s="4">
        <f>IF('WL &amp; Q'!I14="","",'WL &amp; Q'!I14)</f>
        <v>1.33</v>
      </c>
      <c r="C14" s="6">
        <f t="shared" si="0"/>
        <v>12.386664969432132</v>
      </c>
      <c r="D14" s="4">
        <f>IF('WL &amp; Q'!K14="","",'WL &amp; Q'!K14)</f>
        <v>0</v>
      </c>
      <c r="E14" s="8">
        <v>3</v>
      </c>
      <c r="F14" s="8">
        <v>4</v>
      </c>
      <c r="G14" s="8">
        <v>6</v>
      </c>
    </row>
    <row r="15" spans="1:17" x14ac:dyDescent="0.3">
      <c r="A15" s="1">
        <f>'WL &amp; Q'!A15</f>
        <v>46232.458333333307</v>
      </c>
      <c r="B15" s="4">
        <f>IF('WL &amp; Q'!I15="","",'WL &amp; Q'!I15)</f>
        <v>1.43</v>
      </c>
      <c r="C15" s="6">
        <f t="shared" si="0"/>
        <v>16.99969522339164</v>
      </c>
      <c r="D15" s="4">
        <f>IF('WL &amp; Q'!K15="","",'WL &amp; Q'!K15)</f>
        <v>1.8</v>
      </c>
      <c r="E15" s="8">
        <v>3</v>
      </c>
      <c r="F15" s="8">
        <v>4</v>
      </c>
      <c r="G15" s="8">
        <v>6</v>
      </c>
    </row>
    <row r="16" spans="1:17" x14ac:dyDescent="0.3">
      <c r="A16" s="1">
        <f>'WL &amp; Q'!A16</f>
        <v>46232.499999999971</v>
      </c>
      <c r="B16" s="4">
        <f>IF('WL &amp; Q'!I16="","",'WL &amp; Q'!I16)</f>
        <v>1.45</v>
      </c>
      <c r="C16" s="6">
        <f t="shared" si="0"/>
        <v>18.047301372224691</v>
      </c>
      <c r="D16" s="4">
        <f>IF('WL &amp; Q'!K16="","",'WL &amp; Q'!K16)</f>
        <v>4</v>
      </c>
      <c r="E16" s="8">
        <v>3</v>
      </c>
      <c r="F16" s="8">
        <v>4</v>
      </c>
      <c r="G16" s="8">
        <v>6</v>
      </c>
    </row>
    <row r="17" spans="1:7" x14ac:dyDescent="0.3">
      <c r="A17" s="1">
        <f>'WL &amp; Q'!A17</f>
        <v>46232.541666666635</v>
      </c>
      <c r="B17" s="4">
        <f>IF('WL &amp; Q'!I17="","",'WL &amp; Q'!I17)</f>
        <v>1.63</v>
      </c>
      <c r="C17" s="6">
        <f t="shared" si="0"/>
        <v>29.5796487405485</v>
      </c>
      <c r="D17" s="4">
        <f>IF('WL &amp; Q'!K17="","",'WL &amp; Q'!K17)</f>
        <v>0</v>
      </c>
      <c r="E17" s="8">
        <v>3</v>
      </c>
      <c r="F17" s="8">
        <v>4</v>
      </c>
      <c r="G17" s="8">
        <v>6</v>
      </c>
    </row>
    <row r="18" spans="1:7" x14ac:dyDescent="0.3">
      <c r="A18" s="1">
        <f>'WL &amp; Q'!A18</f>
        <v>46232.583333333299</v>
      </c>
      <c r="B18" s="4">
        <f>IF('WL &amp; Q'!I18="","",'WL &amp; Q'!I18)</f>
        <v>1.71</v>
      </c>
      <c r="C18" s="6">
        <f t="shared" si="0"/>
        <v>36.046945759714987</v>
      </c>
      <c r="D18" s="4">
        <f>IF('WL &amp; Q'!K18="","",'WL &amp; Q'!K18)</f>
        <v>0</v>
      </c>
      <c r="E18" s="8">
        <v>3</v>
      </c>
      <c r="F18" s="8">
        <v>4</v>
      </c>
      <c r="G18" s="8">
        <v>6</v>
      </c>
    </row>
    <row r="19" spans="1:7" x14ac:dyDescent="0.3">
      <c r="A19" s="1">
        <f>'WL &amp; Q'!A19</f>
        <v>46232.624999999964</v>
      </c>
      <c r="B19" s="4">
        <f>IF('WL &amp; Q'!I19="","",'WL &amp; Q'!I19)</f>
        <v>1.71</v>
      </c>
      <c r="C19" s="6">
        <f t="shared" si="0"/>
        <v>36.046945759714987</v>
      </c>
      <c r="D19" s="4">
        <f>IF('WL &amp; Q'!K19="","",'WL &amp; Q'!K19)</f>
        <v>0</v>
      </c>
      <c r="E19" s="8">
        <v>3</v>
      </c>
      <c r="F19" s="8">
        <v>4</v>
      </c>
      <c r="G19" s="8">
        <v>6</v>
      </c>
    </row>
    <row r="20" spans="1:7" x14ac:dyDescent="0.3">
      <c r="A20" s="1">
        <f>'WL &amp; Q'!A20</f>
        <v>46232.666666666628</v>
      </c>
      <c r="B20" s="4">
        <f>IF('WL &amp; Q'!I20="","",'WL &amp; Q'!I20)</f>
        <v>1.45</v>
      </c>
      <c r="C20" s="6">
        <f t="shared" si="0"/>
        <v>18.047301372224691</v>
      </c>
      <c r="D20" s="4">
        <f>IF('WL &amp; Q'!K20="","",'WL &amp; Q'!K20)</f>
        <v>0</v>
      </c>
      <c r="E20" s="8">
        <v>3</v>
      </c>
      <c r="F20" s="8">
        <v>4</v>
      </c>
      <c r="G20" s="8">
        <v>6</v>
      </c>
    </row>
    <row r="21" spans="1:7" x14ac:dyDescent="0.3">
      <c r="A21" s="1">
        <f>'WL &amp; Q'!A21</f>
        <v>46232.708333333292</v>
      </c>
      <c r="B21" s="4">
        <f>IF('WL &amp; Q'!I21="","",'WL &amp; Q'!I21)</f>
        <v>1.43</v>
      </c>
      <c r="C21" s="6">
        <f t="shared" si="0"/>
        <v>16.99969522339164</v>
      </c>
      <c r="D21" s="4">
        <f>IF('WL &amp; Q'!K21="","",'WL &amp; Q'!K21)</f>
        <v>0</v>
      </c>
      <c r="E21" s="8">
        <v>3</v>
      </c>
      <c r="F21" s="8">
        <v>4</v>
      </c>
      <c r="G21" s="8">
        <v>6</v>
      </c>
    </row>
    <row r="22" spans="1:7" x14ac:dyDescent="0.3">
      <c r="A22" s="1">
        <f>'WL &amp; Q'!A22</f>
        <v>46232.749999999956</v>
      </c>
      <c r="B22" s="4">
        <f>IF('WL &amp; Q'!I22="","",'WL &amp; Q'!I22)</f>
        <v>1.7</v>
      </c>
      <c r="C22" s="6">
        <f t="shared" si="0"/>
        <v>35.189526648238292</v>
      </c>
      <c r="D22" s="4">
        <f>IF('WL &amp; Q'!K22="","",'WL &amp; Q'!K22)</f>
        <v>0</v>
      </c>
      <c r="E22" s="8">
        <v>3</v>
      </c>
      <c r="F22" s="8">
        <v>4</v>
      </c>
      <c r="G22" s="8">
        <v>6</v>
      </c>
    </row>
    <row r="23" spans="1:7" x14ac:dyDescent="0.3">
      <c r="A23" s="1">
        <f>'WL &amp; Q'!A23</f>
        <v>46232.791666666621</v>
      </c>
      <c r="B23" s="4">
        <f>IF('WL &amp; Q'!I23="","",'WL &amp; Q'!I23)</f>
        <v>1.8</v>
      </c>
      <c r="C23" s="6">
        <f t="shared" si="0"/>
        <v>44.428086891605425</v>
      </c>
      <c r="D23" s="4">
        <f>IF('WL &amp; Q'!K23="","",'WL &amp; Q'!K23)</f>
        <v>0</v>
      </c>
      <c r="E23" s="8">
        <v>3</v>
      </c>
      <c r="F23" s="8">
        <v>4</v>
      </c>
      <c r="G23" s="8">
        <v>6</v>
      </c>
    </row>
    <row r="24" spans="1:7" x14ac:dyDescent="0.3">
      <c r="A24" s="1">
        <f>'WL &amp; Q'!A24</f>
        <v>46232.833333333285</v>
      </c>
      <c r="B24" s="4">
        <f>IF('WL &amp; Q'!I24="","",'WL &amp; Q'!I24)</f>
        <v>1.8</v>
      </c>
      <c r="C24" s="6">
        <f t="shared" si="0"/>
        <v>44.428086891605425</v>
      </c>
      <c r="D24" s="4">
        <f>IF('WL &amp; Q'!K24="","",'WL &amp; Q'!K24)</f>
        <v>0</v>
      </c>
      <c r="E24" s="8">
        <v>3</v>
      </c>
      <c r="F24" s="8">
        <v>4</v>
      </c>
      <c r="G24" s="8">
        <v>6</v>
      </c>
    </row>
    <row r="25" spans="1:7" x14ac:dyDescent="0.3">
      <c r="A25" s="1">
        <f>'WL &amp; Q'!A25</f>
        <v>46232.874999999949</v>
      </c>
      <c r="B25" s="4">
        <f>IF('WL &amp; Q'!I25="","",'WL &amp; Q'!I25)</f>
        <v>1.77</v>
      </c>
      <c r="C25" s="6">
        <f t="shared" si="0"/>
        <v>41.498656638986255</v>
      </c>
      <c r="D25" s="4">
        <f>IF('WL &amp; Q'!K25="","",'WL &amp; Q'!K25)</f>
        <v>0</v>
      </c>
      <c r="E25" s="8">
        <v>3</v>
      </c>
      <c r="F25" s="8">
        <v>4</v>
      </c>
      <c r="G25" s="8">
        <v>6</v>
      </c>
    </row>
    <row r="26" spans="1:7" x14ac:dyDescent="0.3">
      <c r="A26" s="1">
        <f>'WL &amp; Q'!A26</f>
        <v>46232.916666666613</v>
      </c>
      <c r="B26" s="4">
        <f>IF('WL &amp; Q'!I26="","",'WL &amp; Q'!I26)</f>
        <v>1.77</v>
      </c>
      <c r="C26" s="6">
        <f t="shared" si="0"/>
        <v>41.498656638986255</v>
      </c>
      <c r="D26" s="4">
        <f>IF('WL &amp; Q'!K26="","",'WL &amp; Q'!K26)</f>
        <v>0</v>
      </c>
      <c r="E26" s="8">
        <v>3</v>
      </c>
      <c r="F26" s="8">
        <v>4</v>
      </c>
      <c r="G26" s="8">
        <v>6</v>
      </c>
    </row>
    <row r="27" spans="1:7" x14ac:dyDescent="0.3">
      <c r="A27" s="1">
        <f>'WL &amp; Q'!A27</f>
        <v>46232.958333333278</v>
      </c>
      <c r="B27" s="4">
        <f>IF('WL &amp; Q'!I27="","",'WL &amp; Q'!I27)</f>
        <v>1.8</v>
      </c>
      <c r="C27" s="6">
        <f t="shared" si="0"/>
        <v>44.428086891605425</v>
      </c>
      <c r="D27" s="4">
        <f>IF('WL &amp; Q'!K27="","",'WL &amp; Q'!K27)</f>
        <v>0</v>
      </c>
      <c r="E27" s="8">
        <v>3</v>
      </c>
      <c r="F27" s="8">
        <v>4</v>
      </c>
      <c r="G27" s="8">
        <v>6</v>
      </c>
    </row>
    <row r="28" spans="1:7" x14ac:dyDescent="0.3">
      <c r="A28" s="1">
        <f>'WL &amp; Q'!A28</f>
        <v>46232.999999999942</v>
      </c>
      <c r="B28" s="4">
        <f>IF('WL &amp; Q'!I28="","",'WL &amp; Q'!I28)</f>
        <v>1.57</v>
      </c>
      <c r="C28" s="6">
        <f t="shared" si="0"/>
        <v>25.293080535140668</v>
      </c>
      <c r="D28" s="4">
        <f>IF('WL &amp; Q'!K28="","",'WL &amp; Q'!K28)</f>
        <v>0</v>
      </c>
      <c r="E28" s="8">
        <v>3</v>
      </c>
      <c r="F28" s="8">
        <v>4</v>
      </c>
      <c r="G28" s="8">
        <v>6</v>
      </c>
    </row>
    <row r="29" spans="1:7" x14ac:dyDescent="0.3">
      <c r="A29" s="1">
        <f>'WL &amp; Q'!A29</f>
        <v>46233.041666666606</v>
      </c>
      <c r="B29" s="4">
        <f>IF('WL &amp; Q'!I29="","",'WL &amp; Q'!I29)</f>
        <v>1.57</v>
      </c>
      <c r="C29" s="6">
        <f t="shared" si="0"/>
        <v>25.293080535140668</v>
      </c>
      <c r="D29" s="4">
        <f>IF('WL &amp; Q'!K29="","",'WL &amp; Q'!K29)</f>
        <v>0</v>
      </c>
      <c r="E29" s="8">
        <v>3</v>
      </c>
      <c r="F29" s="8">
        <v>4</v>
      </c>
      <c r="G29" s="8">
        <v>6</v>
      </c>
    </row>
    <row r="30" spans="1:7" x14ac:dyDescent="0.3">
      <c r="A30" s="1">
        <f>'WL &amp; Q'!A30</f>
        <v>46233.08333333327</v>
      </c>
      <c r="B30" s="4">
        <f>IF('WL &amp; Q'!I30="","",'WL &amp; Q'!I30)</f>
        <v>1.57</v>
      </c>
      <c r="C30" s="6">
        <f t="shared" si="0"/>
        <v>25.293080535140668</v>
      </c>
      <c r="D30" s="4">
        <f>IF('WL &amp; Q'!K30="","",'WL &amp; Q'!K30)</f>
        <v>0</v>
      </c>
      <c r="E30" s="8">
        <v>3</v>
      </c>
      <c r="F30" s="8">
        <v>4</v>
      </c>
      <c r="G30" s="8">
        <v>6</v>
      </c>
    </row>
    <row r="31" spans="1:7" x14ac:dyDescent="0.3">
      <c r="A31" s="1">
        <f>'WL &amp; Q'!A31</f>
        <v>46233.124999999935</v>
      </c>
      <c r="B31" s="4">
        <f>IF('WL &amp; Q'!I31="","",'WL &amp; Q'!I31)</f>
        <v>1.57</v>
      </c>
      <c r="C31" s="6">
        <f t="shared" si="0"/>
        <v>25.293080535140668</v>
      </c>
      <c r="D31" s="4">
        <f>IF('WL &amp; Q'!K31="","",'WL &amp; Q'!K31)</f>
        <v>0</v>
      </c>
      <c r="E31" s="8">
        <v>3</v>
      </c>
      <c r="F31" s="8">
        <v>4</v>
      </c>
      <c r="G31" s="8">
        <v>6</v>
      </c>
    </row>
    <row r="32" spans="1:7" x14ac:dyDescent="0.3">
      <c r="A32" s="1">
        <f>'WL &amp; Q'!A32</f>
        <v>46233.166666666599</v>
      </c>
      <c r="B32" s="4">
        <f>IF('WL &amp; Q'!I32="","",'WL &amp; Q'!I32)</f>
        <v>1.57</v>
      </c>
      <c r="C32" s="6">
        <f t="shared" si="0"/>
        <v>25.293080535140668</v>
      </c>
      <c r="D32" s="4">
        <f>IF('WL &amp; Q'!K32="","",'WL &amp; Q'!K32)</f>
        <v>0</v>
      </c>
      <c r="E32" s="8">
        <v>3</v>
      </c>
      <c r="F32" s="8">
        <v>4</v>
      </c>
      <c r="G32" s="8">
        <v>6</v>
      </c>
    </row>
    <row r="33" spans="1:7" x14ac:dyDescent="0.3">
      <c r="A33" s="1">
        <f>'WL &amp; Q'!A33</f>
        <v>46233.208333333263</v>
      </c>
      <c r="B33" s="4">
        <f>IF('WL &amp; Q'!I33="","",'WL &amp; Q'!I33)</f>
        <v>1.57</v>
      </c>
      <c r="C33" s="6">
        <f t="shared" si="0"/>
        <v>25.293080535140668</v>
      </c>
      <c r="D33" s="4">
        <f>IF('WL &amp; Q'!K33="","",'WL &amp; Q'!K33)</f>
        <v>0</v>
      </c>
      <c r="E33" s="8">
        <v>3</v>
      </c>
      <c r="F33" s="8">
        <v>4</v>
      </c>
      <c r="G33" s="8">
        <v>6</v>
      </c>
    </row>
    <row r="34" spans="1:7" x14ac:dyDescent="0.3">
      <c r="A34" s="1">
        <f>'WL &amp; Q'!A34</f>
        <v>46233.249999999927</v>
      </c>
      <c r="B34" s="4">
        <f>IF('WL &amp; Q'!I34="","",'WL &amp; Q'!I34)</f>
        <v>1.57</v>
      </c>
      <c r="C34" s="6">
        <f t="shared" si="0"/>
        <v>25.293080535140668</v>
      </c>
      <c r="D34" s="4">
        <f>IF('WL &amp; Q'!K34="","",'WL &amp; Q'!K34)</f>
        <v>0</v>
      </c>
      <c r="E34" s="8">
        <v>3</v>
      </c>
      <c r="F34" s="8">
        <v>4</v>
      </c>
      <c r="G34" s="8">
        <v>6</v>
      </c>
    </row>
    <row r="35" spans="1:7" x14ac:dyDescent="0.3">
      <c r="A35" s="1">
        <f>'WL &amp; Q'!A35</f>
        <v>46233.291666666591</v>
      </c>
      <c r="B35" s="4">
        <f>IF('WL &amp; Q'!I35="","",'WL &amp; Q'!I35)</f>
        <v>1.57</v>
      </c>
      <c r="C35" s="6">
        <f t="shared" si="0"/>
        <v>25.293080535140668</v>
      </c>
      <c r="D35" s="4">
        <f>IF('WL &amp; Q'!K35="","",'WL &amp; Q'!K35)</f>
        <v>0</v>
      </c>
      <c r="E35" s="8">
        <v>3</v>
      </c>
      <c r="F35" s="8">
        <v>4</v>
      </c>
      <c r="G35" s="8">
        <v>6</v>
      </c>
    </row>
    <row r="36" spans="1:7" x14ac:dyDescent="0.3">
      <c r="A36" s="1">
        <f>'WL &amp; Q'!A36</f>
        <v>46233.333333333256</v>
      </c>
      <c r="B36" s="4">
        <f>IF('WL &amp; Q'!I36="","",'WL &amp; Q'!I36)</f>
        <v>1.56</v>
      </c>
      <c r="C36" s="6">
        <f t="shared" si="0"/>
        <v>24.623336854289906</v>
      </c>
      <c r="D36" s="4">
        <f>IF('WL &amp; Q'!K36="","",'WL &amp; Q'!K36)</f>
        <v>0</v>
      </c>
      <c r="E36" s="8">
        <v>3</v>
      </c>
      <c r="F36" s="8">
        <v>4</v>
      </c>
      <c r="G36" s="8">
        <v>6</v>
      </c>
    </row>
    <row r="37" spans="1:7" x14ac:dyDescent="0.3">
      <c r="A37" s="1">
        <f>'WL &amp; Q'!A37</f>
        <v>46233.37499999992</v>
      </c>
      <c r="B37" s="4">
        <f>IF('WL &amp; Q'!I37="","",'WL &amp; Q'!I37)</f>
        <v>1.59</v>
      </c>
      <c r="C37" s="6">
        <f t="shared" si="0"/>
        <v>26.670344717306079</v>
      </c>
      <c r="D37" s="4">
        <f>IF('WL &amp; Q'!K37="","",'WL &amp; Q'!K37)</f>
        <v>0</v>
      </c>
      <c r="E37" s="8">
        <v>3</v>
      </c>
      <c r="F37" s="8">
        <v>4</v>
      </c>
      <c r="G37" s="8">
        <v>6</v>
      </c>
    </row>
    <row r="38" spans="1:7" x14ac:dyDescent="0.3">
      <c r="A38" s="1">
        <f>'WL &amp; Q'!A38</f>
        <v>46233.416666666584</v>
      </c>
      <c r="B38" s="4">
        <f>IF('WL &amp; Q'!I38="","",'WL &amp; Q'!I38)</f>
        <v>1.2</v>
      </c>
      <c r="C38" s="6">
        <f t="shared" si="0"/>
        <v>7.7929381978316066</v>
      </c>
      <c r="D38" s="4">
        <f>IF('WL &amp; Q'!K38="","",'WL &amp; Q'!K38)</f>
        <v>0</v>
      </c>
      <c r="E38" s="8">
        <v>3</v>
      </c>
      <c r="F38" s="8">
        <v>4</v>
      </c>
      <c r="G38" s="8">
        <v>6</v>
      </c>
    </row>
    <row r="39" spans="1:7" x14ac:dyDescent="0.3">
      <c r="A39" s="1">
        <f>'WL &amp; Q'!A39</f>
        <v>46233.458333333248</v>
      </c>
      <c r="B39" s="4">
        <f>IF('WL &amp; Q'!I39="","",'WL &amp; Q'!I39)</f>
        <v>1.4</v>
      </c>
      <c r="C39" s="6">
        <f t="shared" si="0"/>
        <v>15.508604661887494</v>
      </c>
      <c r="D39" s="4">
        <f>IF('WL &amp; Q'!K39="","",'WL &amp; Q'!K39)</f>
        <v>0</v>
      </c>
      <c r="E39" s="8">
        <v>3</v>
      </c>
      <c r="F39" s="8">
        <v>4</v>
      </c>
      <c r="G39" s="8">
        <v>6</v>
      </c>
    </row>
    <row r="40" spans="1:7" x14ac:dyDescent="0.3">
      <c r="A40" s="1">
        <f>'WL &amp; Q'!A40</f>
        <v>46233.499999999913</v>
      </c>
      <c r="B40" s="4">
        <f>IF('WL &amp; Q'!I40="","",'WL &amp; Q'!I40)</f>
        <v>1.43</v>
      </c>
      <c r="C40" s="6">
        <f t="shared" si="0"/>
        <v>16.99969522339164</v>
      </c>
      <c r="D40" s="4">
        <f>IF('WL &amp; Q'!K40="","",'WL &amp; Q'!K40)</f>
        <v>1</v>
      </c>
      <c r="E40" s="8">
        <v>3</v>
      </c>
      <c r="F40" s="8">
        <v>4</v>
      </c>
      <c r="G40" s="8">
        <v>6</v>
      </c>
    </row>
    <row r="41" spans="1:7" x14ac:dyDescent="0.3">
      <c r="A41" s="1">
        <f>'WL &amp; Q'!A41</f>
        <v>46233.541666666577</v>
      </c>
      <c r="B41" s="4">
        <f>IF('WL &amp; Q'!I41="","",'WL &amp; Q'!I41)</f>
        <v>1.54</v>
      </c>
      <c r="C41" s="6">
        <f t="shared" si="0"/>
        <v>23.32097451441625</v>
      </c>
      <c r="D41" s="4">
        <f>IF('WL &amp; Q'!K41="","",'WL &amp; Q'!K41)</f>
        <v>0</v>
      </c>
      <c r="E41" s="8">
        <v>3</v>
      </c>
      <c r="F41" s="8">
        <v>4</v>
      </c>
      <c r="G41" s="8">
        <v>6</v>
      </c>
    </row>
    <row r="42" spans="1:7" x14ac:dyDescent="0.3">
      <c r="A42" s="1">
        <f>'WL &amp; Q'!A42</f>
        <v>46233.583333333241</v>
      </c>
      <c r="B42" s="4">
        <f>IF('WL &amp; Q'!I42="","",'WL &amp; Q'!I42)</f>
        <v>1.7</v>
      </c>
      <c r="C42" s="6">
        <f t="shared" si="0"/>
        <v>35.189526648238292</v>
      </c>
      <c r="D42" s="4">
        <f>IF('WL &amp; Q'!K42="","",'WL &amp; Q'!K42)</f>
        <v>0</v>
      </c>
      <c r="E42" s="8">
        <v>3</v>
      </c>
      <c r="F42" s="8">
        <v>4</v>
      </c>
      <c r="G42" s="8">
        <v>6</v>
      </c>
    </row>
    <row r="43" spans="1:7" x14ac:dyDescent="0.3">
      <c r="A43" s="1">
        <f>'WL &amp; Q'!A43</f>
        <v>46233.624999999905</v>
      </c>
      <c r="B43" s="4">
        <f>IF('WL &amp; Q'!I43="","",'WL &amp; Q'!I43)</f>
        <v>1.7</v>
      </c>
      <c r="C43" s="6">
        <f t="shared" si="0"/>
        <v>35.189526648238292</v>
      </c>
      <c r="D43" s="4">
        <f>IF('WL &amp; Q'!K43="","",'WL &amp; Q'!K43)</f>
        <v>0</v>
      </c>
      <c r="E43" s="8">
        <v>3</v>
      </c>
      <c r="F43" s="8">
        <v>4</v>
      </c>
      <c r="G43" s="8">
        <v>6</v>
      </c>
    </row>
    <row r="44" spans="1:7" x14ac:dyDescent="0.3">
      <c r="A44" s="1">
        <f>'WL &amp; Q'!A44</f>
        <v>46233.66666666657</v>
      </c>
      <c r="B44" s="4">
        <f>IF('WL &amp; Q'!I44="","",'WL &amp; Q'!I44)</f>
        <v>1.7</v>
      </c>
      <c r="C44" s="6">
        <f t="shared" si="0"/>
        <v>35.189526648238292</v>
      </c>
      <c r="D44" s="4">
        <f>IF('WL &amp; Q'!K44="","",'WL &amp; Q'!K44)</f>
        <v>1.8</v>
      </c>
      <c r="E44" s="8">
        <v>3</v>
      </c>
      <c r="F44" s="8">
        <v>4</v>
      </c>
      <c r="G44" s="8">
        <v>6</v>
      </c>
    </row>
    <row r="45" spans="1:7" x14ac:dyDescent="0.3">
      <c r="A45" s="1">
        <f>'WL &amp; Q'!A45</f>
        <v>46233.708333333234</v>
      </c>
      <c r="B45" s="4">
        <f>IF('WL &amp; Q'!I45="","",'WL &amp; Q'!I45)</f>
        <v>1.8</v>
      </c>
      <c r="C45" s="6">
        <f t="shared" si="0"/>
        <v>44.428086891605425</v>
      </c>
      <c r="D45" s="4">
        <f>IF('WL &amp; Q'!K45="","",'WL &amp; Q'!K45)</f>
        <v>4</v>
      </c>
      <c r="E45" s="8">
        <v>3</v>
      </c>
      <c r="F45" s="8">
        <v>4</v>
      </c>
      <c r="G45" s="8">
        <v>6</v>
      </c>
    </row>
    <row r="46" spans="1:7" x14ac:dyDescent="0.3">
      <c r="A46" s="1">
        <f>'WL &amp; Q'!A46</f>
        <v>46233.749999999898</v>
      </c>
      <c r="B46" s="4">
        <f>IF('WL &amp; Q'!I46="","",'WL &amp; Q'!I46)</f>
        <v>1.72</v>
      </c>
      <c r="C46" s="6">
        <f t="shared" si="0"/>
        <v>36.918768535255168</v>
      </c>
      <c r="D46" s="4">
        <f>IF('WL &amp; Q'!K46="","",'WL &amp; Q'!K46)</f>
        <v>0</v>
      </c>
      <c r="E46" s="8">
        <v>3</v>
      </c>
      <c r="F46" s="8">
        <v>4</v>
      </c>
      <c r="G46" s="8">
        <v>6</v>
      </c>
    </row>
    <row r="47" spans="1:7" x14ac:dyDescent="0.3">
      <c r="A47" s="1">
        <f>'WL &amp; Q'!A47</f>
        <v>46233.791666666562</v>
      </c>
      <c r="B47" s="4">
        <f>IF('WL &amp; Q'!I47="","",'WL &amp; Q'!I47)</f>
        <v>1.91</v>
      </c>
      <c r="C47" s="6">
        <f t="shared" si="0"/>
        <v>56.400652421642071</v>
      </c>
      <c r="D47" s="4">
        <f>IF('WL &amp; Q'!K47="","",'WL &amp; Q'!K47)</f>
        <v>0</v>
      </c>
      <c r="E47" s="8">
        <v>3</v>
      </c>
      <c r="F47" s="8">
        <v>4</v>
      </c>
      <c r="G47" s="8">
        <v>6</v>
      </c>
    </row>
    <row r="48" spans="1:7" x14ac:dyDescent="0.3">
      <c r="A48" s="1">
        <f>'WL &amp; Q'!A48</f>
        <v>46233.833333333227</v>
      </c>
      <c r="B48" s="4">
        <f>IF('WL &amp; Q'!I48="","",'WL &amp; Q'!I48)</f>
        <v>1.95</v>
      </c>
      <c r="C48" s="6">
        <f t="shared" si="0"/>
        <v>61.258935071009347</v>
      </c>
      <c r="D48" s="4">
        <f>IF('WL &amp; Q'!K48="","",'WL &amp; Q'!K48)</f>
        <v>0.5</v>
      </c>
      <c r="E48" s="8">
        <v>3</v>
      </c>
      <c r="F48" s="8">
        <v>4</v>
      </c>
      <c r="G48" s="8">
        <v>6</v>
      </c>
    </row>
    <row r="49" spans="1:7" x14ac:dyDescent="0.3">
      <c r="A49" s="1">
        <f>'WL &amp; Q'!A49</f>
        <v>46233.874999999891</v>
      </c>
      <c r="B49" s="4">
        <f>IF('WL &amp; Q'!I49="","",'WL &amp; Q'!I49)</f>
        <v>1.67</v>
      </c>
      <c r="C49" s="6">
        <f t="shared" si="0"/>
        <v>32.702349669140922</v>
      </c>
      <c r="D49" s="4">
        <f>IF('WL &amp; Q'!K49="","",'WL &amp; Q'!K49)</f>
        <v>0</v>
      </c>
      <c r="E49" s="8">
        <v>3</v>
      </c>
      <c r="F49" s="8">
        <v>4</v>
      </c>
      <c r="G49" s="8">
        <v>6</v>
      </c>
    </row>
    <row r="50" spans="1:7" x14ac:dyDescent="0.3">
      <c r="A50" s="1">
        <f>'WL &amp; Q'!A50</f>
        <v>46233.916666666555</v>
      </c>
      <c r="B50" s="4">
        <f>IF('WL &amp; Q'!I50="","",'WL &amp; Q'!I50)</f>
        <v>1.67</v>
      </c>
      <c r="C50" s="6">
        <f t="shared" si="0"/>
        <v>32.702349669140922</v>
      </c>
      <c r="D50" s="4">
        <f>IF('WL &amp; Q'!K50="","",'WL &amp; Q'!K50)</f>
        <v>0</v>
      </c>
      <c r="E50" s="8">
        <v>3</v>
      </c>
      <c r="F50" s="8">
        <v>4</v>
      </c>
      <c r="G50" s="8">
        <v>6</v>
      </c>
    </row>
    <row r="51" spans="1:7" x14ac:dyDescent="0.3">
      <c r="A51" s="1">
        <f>'WL &amp; Q'!A51</f>
        <v>46233.958333333219</v>
      </c>
      <c r="B51" s="4">
        <f>IF('WL &amp; Q'!I51="","",'WL &amp; Q'!I51)</f>
        <v>1.61</v>
      </c>
      <c r="C51" s="6">
        <f t="shared" si="0"/>
        <v>28.098850455955088</v>
      </c>
      <c r="D51" s="4">
        <f>IF('WL &amp; Q'!K51="","",'WL &amp; Q'!K51)</f>
        <v>0</v>
      </c>
      <c r="E51" s="8">
        <v>3</v>
      </c>
      <c r="F51" s="8">
        <v>4</v>
      </c>
      <c r="G51" s="8">
        <v>6</v>
      </c>
    </row>
    <row r="52" spans="1:7" x14ac:dyDescent="0.3">
      <c r="A52" s="1">
        <f>'WL &amp; Q'!A52</f>
        <v>46233.999999999884</v>
      </c>
      <c r="B52" s="4">
        <f>IF('WL &amp; Q'!I52="","",'WL &amp; Q'!I52)</f>
        <v>1.52</v>
      </c>
      <c r="C52" s="6">
        <f t="shared" si="0"/>
        <v>22.06724657307689</v>
      </c>
      <c r="D52" s="4">
        <f>IF('WL &amp; Q'!K52="","",'WL &amp; Q'!K52)</f>
        <v>0</v>
      </c>
      <c r="E52" s="8">
        <v>3</v>
      </c>
      <c r="F52" s="8">
        <v>4</v>
      </c>
      <c r="G52" s="8">
        <v>6</v>
      </c>
    </row>
    <row r="53" spans="1:7" x14ac:dyDescent="0.3">
      <c r="A53" s="1">
        <f>'WL &amp; Q'!A53</f>
        <v>46234.041666666548</v>
      </c>
      <c r="B53" s="4">
        <f>IF('WL &amp; Q'!I53="","",'WL &amp; Q'!I53)</f>
        <v>1.53</v>
      </c>
      <c r="C53" s="6">
        <f t="shared" si="0"/>
        <v>22.688096017973614</v>
      </c>
      <c r="D53" s="4">
        <f>IF('WL &amp; Q'!K53="","",'WL &amp; Q'!K53)</f>
        <v>0</v>
      </c>
      <c r="E53" s="8">
        <v>3</v>
      </c>
      <c r="F53" s="8">
        <v>4</v>
      </c>
      <c r="G53" s="8">
        <v>6</v>
      </c>
    </row>
    <row r="54" spans="1:7" x14ac:dyDescent="0.3">
      <c r="A54" s="1">
        <f>'WL &amp; Q'!A54</f>
        <v>46234.083333333212</v>
      </c>
      <c r="B54" s="4">
        <f>IF('WL &amp; Q'!I54="","",'WL &amp; Q'!I54)</f>
        <v>1.52</v>
      </c>
      <c r="C54" s="6">
        <f t="shared" si="0"/>
        <v>22.06724657307689</v>
      </c>
      <c r="D54" s="4">
        <f>IF('WL &amp; Q'!K54="","",'WL &amp; Q'!K54)</f>
        <v>0</v>
      </c>
      <c r="E54" s="8">
        <v>3</v>
      </c>
      <c r="F54" s="8">
        <v>4</v>
      </c>
      <c r="G54" s="8">
        <v>6</v>
      </c>
    </row>
    <row r="55" spans="1:7" x14ac:dyDescent="0.3">
      <c r="A55" s="1">
        <f>'WL &amp; Q'!A55</f>
        <v>46234.124999999876</v>
      </c>
      <c r="B55" s="4">
        <f>IF('WL &amp; Q'!I55="","",'WL &amp; Q'!I55)</f>
        <v>1.22</v>
      </c>
      <c r="C55" s="6">
        <f t="shared" si="0"/>
        <v>8.4057900410083111</v>
      </c>
      <c r="D55" s="4">
        <f>IF('WL &amp; Q'!K55="","",'WL &amp; Q'!K55)</f>
        <v>0</v>
      </c>
      <c r="E55" s="8">
        <v>3</v>
      </c>
      <c r="F55" s="8">
        <v>4</v>
      </c>
      <c r="G55" s="8">
        <v>6</v>
      </c>
    </row>
    <row r="56" spans="1:7" x14ac:dyDescent="0.3">
      <c r="A56" s="1">
        <f>'WL &amp; Q'!A56</f>
        <v>46234.166666666541</v>
      </c>
      <c r="B56" s="4">
        <f>IF('WL &amp; Q'!I56="","",'WL &amp; Q'!I56)</f>
        <v>1.22</v>
      </c>
      <c r="C56" s="6">
        <f t="shared" si="0"/>
        <v>8.4057900410083111</v>
      </c>
      <c r="D56" s="4">
        <f>IF('WL &amp; Q'!K56="","",'WL &amp; Q'!K56)</f>
        <v>1.5</v>
      </c>
      <c r="E56" s="8">
        <v>3</v>
      </c>
      <c r="F56" s="8">
        <v>4</v>
      </c>
      <c r="G56" s="8">
        <v>6</v>
      </c>
    </row>
    <row r="57" spans="1:7" x14ac:dyDescent="0.3">
      <c r="A57" s="1">
        <f>'WL &amp; Q'!A57</f>
        <v>46234.208333333205</v>
      </c>
      <c r="B57" s="4">
        <f>IF('WL &amp; Q'!I57="","",'WL &amp; Q'!I57)</f>
        <v>1.72</v>
      </c>
      <c r="C57" s="6">
        <f t="shared" si="0"/>
        <v>36.918768535255168</v>
      </c>
      <c r="D57" s="4">
        <f>IF('WL &amp; Q'!K57="","",'WL &amp; Q'!K57)</f>
        <v>0</v>
      </c>
      <c r="E57" s="8">
        <v>3</v>
      </c>
      <c r="F57" s="8">
        <v>4</v>
      </c>
      <c r="G57" s="8">
        <v>6</v>
      </c>
    </row>
    <row r="58" spans="1:7" x14ac:dyDescent="0.3">
      <c r="A58" s="1">
        <f>'WL &amp; Q'!A58</f>
        <v>46234.249999999869</v>
      </c>
      <c r="B58" s="4">
        <f>IF('WL &amp; Q'!I58="","",'WL &amp; Q'!I58)</f>
        <v>1.91</v>
      </c>
      <c r="C58" s="6">
        <f t="shared" si="0"/>
        <v>56.400652421642071</v>
      </c>
      <c r="D58" s="4">
        <f>IF('WL &amp; Q'!K58="","",'WL &amp; Q'!K58)</f>
        <v>0</v>
      </c>
      <c r="E58" s="8">
        <v>3</v>
      </c>
      <c r="F58" s="8">
        <v>4</v>
      </c>
      <c r="G58" s="8">
        <v>6</v>
      </c>
    </row>
    <row r="59" spans="1:7" x14ac:dyDescent="0.3">
      <c r="A59" s="1">
        <f>'WL &amp; Q'!A59</f>
        <v>46234.291666666533</v>
      </c>
      <c r="B59" s="4">
        <f>IF('WL &amp; Q'!I59="","",'WL &amp; Q'!I59)</f>
        <v>1.9</v>
      </c>
      <c r="C59" s="6">
        <f t="shared" si="0"/>
        <v>55.229292559593233</v>
      </c>
      <c r="D59" s="4">
        <f>IF('WL &amp; Q'!K59="","",'WL &amp; Q'!K59)</f>
        <v>0</v>
      </c>
      <c r="E59" s="8">
        <v>3</v>
      </c>
      <c r="F59" s="8">
        <v>4</v>
      </c>
      <c r="G59" s="8">
        <v>6</v>
      </c>
    </row>
    <row r="60" spans="1:7" x14ac:dyDescent="0.3">
      <c r="A60" s="1">
        <f>'WL &amp; Q'!A60</f>
        <v>46234.333333333198</v>
      </c>
      <c r="B60" s="4">
        <f>IF('WL &amp; Q'!I60="","",'WL &amp; Q'!I60)</f>
        <v>1.56</v>
      </c>
      <c r="C60" s="6">
        <f t="shared" si="0"/>
        <v>24.623336854289906</v>
      </c>
      <c r="D60" s="4">
        <f>IF('WL &amp; Q'!K60="","",'WL &amp; Q'!K60)</f>
        <v>0</v>
      </c>
      <c r="E60" s="8">
        <v>3</v>
      </c>
      <c r="F60" s="8">
        <v>4</v>
      </c>
      <c r="G60" s="8">
        <v>6</v>
      </c>
    </row>
    <row r="61" spans="1:7" x14ac:dyDescent="0.3">
      <c r="A61" s="1">
        <f>'WL &amp; Q'!A61</f>
        <v>46234.374999999862</v>
      </c>
      <c r="B61" s="4">
        <f>IF('WL &amp; Q'!I61="","",'WL &amp; Q'!I61)</f>
        <v>1.56</v>
      </c>
      <c r="C61" s="6">
        <f t="shared" si="0"/>
        <v>24.623336854289906</v>
      </c>
      <c r="D61" s="4">
        <f>IF('WL &amp; Q'!K61="","",'WL &amp; Q'!K61)</f>
        <v>0</v>
      </c>
      <c r="E61" s="8">
        <v>3</v>
      </c>
      <c r="F61" s="8">
        <v>4</v>
      </c>
      <c r="G61" s="8">
        <v>6</v>
      </c>
    </row>
    <row r="62" spans="1:7" x14ac:dyDescent="0.3">
      <c r="A62" s="1">
        <f>'WL &amp; Q'!A62</f>
        <v>46234.416666666526</v>
      </c>
      <c r="B62" s="4">
        <f>IF('WL &amp; Q'!I62="","",'WL &amp; Q'!I62)</f>
        <v>1.62</v>
      </c>
      <c r="C62" s="6">
        <f t="shared" si="0"/>
        <v>28.832647164309623</v>
      </c>
      <c r="D62" s="4">
        <f>IF('WL &amp; Q'!K62="","",'WL &amp; Q'!K62)</f>
        <v>0</v>
      </c>
      <c r="E62" s="8">
        <v>3</v>
      </c>
      <c r="F62" s="8">
        <v>4</v>
      </c>
      <c r="G62" s="8">
        <v>6</v>
      </c>
    </row>
    <row r="63" spans="1:7" x14ac:dyDescent="0.3">
      <c r="A63" s="1">
        <f>'WL &amp; Q'!A63</f>
        <v>46234.45833333319</v>
      </c>
      <c r="B63" s="4">
        <f>IF('WL &amp; Q'!I63="","",'WL &amp; Q'!I63)</f>
        <v>1.58</v>
      </c>
      <c r="C63" s="6">
        <f t="shared" si="0"/>
        <v>25.975372938816697</v>
      </c>
      <c r="D63" s="4">
        <f>IF('WL &amp; Q'!K63="","",'WL &amp; Q'!K63)</f>
        <v>4.5</v>
      </c>
      <c r="E63" s="8">
        <v>3</v>
      </c>
      <c r="F63" s="8">
        <v>4</v>
      </c>
      <c r="G63" s="8">
        <v>6</v>
      </c>
    </row>
    <row r="64" spans="1:7" x14ac:dyDescent="0.3">
      <c r="A64" s="1">
        <f>'WL &amp; Q'!A64</f>
        <v>46234.499999999854</v>
      </c>
      <c r="B64" s="4">
        <f>IF('WL &amp; Q'!I64="","",'WL &amp; Q'!I64)</f>
        <v>1.45</v>
      </c>
      <c r="C64" s="6">
        <f t="shared" si="0"/>
        <v>18.047301372224691</v>
      </c>
      <c r="D64" s="4">
        <f>IF('WL &amp; Q'!K64="","",'WL &amp; Q'!K64)</f>
        <v>0.5</v>
      </c>
      <c r="E64" s="8">
        <v>3</v>
      </c>
      <c r="F64" s="8">
        <v>4</v>
      </c>
      <c r="G64" s="8">
        <v>6</v>
      </c>
    </row>
    <row r="65" spans="1:7" x14ac:dyDescent="0.3">
      <c r="A65" s="1">
        <f>'WL &amp; Q'!A65</f>
        <v>46234.541666666519</v>
      </c>
      <c r="B65" s="4">
        <f>IF('WL &amp; Q'!I65="","",'WL &amp; Q'!I65)</f>
        <v>1.45</v>
      </c>
      <c r="C65" s="6">
        <f t="shared" si="0"/>
        <v>18.047301372224691</v>
      </c>
      <c r="D65" s="4">
        <f>IF('WL &amp; Q'!K65="","",'WL &amp; Q'!K65)</f>
        <v>0</v>
      </c>
      <c r="E65" s="8">
        <v>3</v>
      </c>
      <c r="F65" s="8">
        <v>4</v>
      </c>
      <c r="G65" s="8">
        <v>6</v>
      </c>
    </row>
    <row r="66" spans="1:7" x14ac:dyDescent="0.3">
      <c r="A66" s="1">
        <f>'WL &amp; Q'!A66</f>
        <v>46234.583333333183</v>
      </c>
      <c r="B66" s="4">
        <f>IF('WL &amp; Q'!I66="","",'WL &amp; Q'!I66)</f>
        <v>1.45</v>
      </c>
      <c r="C66" s="6">
        <f t="shared" si="0"/>
        <v>18.047301372224691</v>
      </c>
      <c r="D66" s="4">
        <f>IF('WL &amp; Q'!K66="","",'WL &amp; Q'!K66)</f>
        <v>0</v>
      </c>
      <c r="E66" s="8">
        <v>3</v>
      </c>
      <c r="F66" s="8">
        <v>4</v>
      </c>
      <c r="G66" s="8">
        <v>6</v>
      </c>
    </row>
    <row r="67" spans="1:7" x14ac:dyDescent="0.3">
      <c r="A67" s="1">
        <f>'WL &amp; Q'!A67</f>
        <v>46234.624999999847</v>
      </c>
      <c r="B67" s="4">
        <f>IF('WL &amp; Q'!I67="","",'WL &amp; Q'!I67)</f>
        <v>1.45</v>
      </c>
      <c r="C67" s="6">
        <f t="shared" si="0"/>
        <v>18.047301372224691</v>
      </c>
      <c r="D67" s="4">
        <f>IF('WL &amp; Q'!K67="","",'WL &amp; Q'!K67)</f>
        <v>8.1999999999999993</v>
      </c>
      <c r="E67" s="8">
        <v>3</v>
      </c>
      <c r="F67" s="8">
        <v>4</v>
      </c>
      <c r="G67" s="8">
        <v>6</v>
      </c>
    </row>
    <row r="68" spans="1:7" x14ac:dyDescent="0.3">
      <c r="A68" s="1">
        <f>'WL &amp; Q'!A68</f>
        <v>46234.666666666511</v>
      </c>
      <c r="B68" s="4">
        <f>IF('WL &amp; Q'!I68="","",'WL &amp; Q'!I68)</f>
        <v>1.8</v>
      </c>
      <c r="C68" s="6">
        <f t="shared" si="0"/>
        <v>44.428086891605425</v>
      </c>
      <c r="D68" s="4">
        <f>IF('WL &amp; Q'!K68="","",'WL &amp; Q'!K68)</f>
        <v>1.5</v>
      </c>
      <c r="E68" s="8">
        <v>3</v>
      </c>
      <c r="F68" s="8">
        <v>4</v>
      </c>
      <c r="G68" s="8">
        <v>6</v>
      </c>
    </row>
    <row r="69" spans="1:7" x14ac:dyDescent="0.3">
      <c r="A69" s="1">
        <f>'WL &amp; Q'!A69</f>
        <v>46234.708333333176</v>
      </c>
      <c r="B69" s="4">
        <f>IF('WL &amp; Q'!I69="","",'WL &amp; Q'!I69)</f>
        <v>1.81</v>
      </c>
      <c r="C69" s="6">
        <f t="shared" si="0"/>
        <v>45.435630148874047</v>
      </c>
      <c r="D69" s="4">
        <f>IF('WL &amp; Q'!K69="","",'WL &amp; Q'!K69)</f>
        <v>1</v>
      </c>
      <c r="E69" s="8">
        <v>3</v>
      </c>
      <c r="F69" s="8">
        <v>4</v>
      </c>
      <c r="G69" s="8">
        <v>6</v>
      </c>
    </row>
    <row r="70" spans="1:7" x14ac:dyDescent="0.3">
      <c r="A70" s="1">
        <f>'WL &amp; Q'!A70</f>
        <v>46234.74999999984</v>
      </c>
      <c r="B70" s="4">
        <f>IF('WL &amp; Q'!I70="","",'WL &amp; Q'!I70)</f>
        <v>1.8</v>
      </c>
      <c r="C70" s="6">
        <f t="shared" ref="C70:C133" si="1">IF(B70="","",IF(B70&lt;=2.23,13.015*(B70-0.345)^3.274,114.59*(B70-0.345)^2-419*(B70-0.345)+487.77))</f>
        <v>44.428086891605425</v>
      </c>
      <c r="D70" s="4">
        <f>IF('WL &amp; Q'!K70="","",'WL &amp; Q'!K70)</f>
        <v>0</v>
      </c>
      <c r="E70" s="8">
        <v>3</v>
      </c>
      <c r="F70" s="8">
        <v>4</v>
      </c>
      <c r="G70" s="8">
        <v>6</v>
      </c>
    </row>
    <row r="71" spans="1:7" x14ac:dyDescent="0.3">
      <c r="A71" s="1">
        <f>'WL &amp; Q'!A71</f>
        <v>46234.791666666504</v>
      </c>
      <c r="B71" s="4">
        <f>IF('WL &amp; Q'!I71="","",'WL &amp; Q'!I71)</f>
        <v>1.88</v>
      </c>
      <c r="C71" s="6">
        <f t="shared" si="1"/>
        <v>52.937448838920183</v>
      </c>
      <c r="D71" s="4">
        <f>IF('WL &amp; Q'!K71="","",'WL &amp; Q'!K71)</f>
        <v>4.5</v>
      </c>
      <c r="E71" s="8">
        <v>3</v>
      </c>
      <c r="F71" s="8">
        <v>4</v>
      </c>
      <c r="G71" s="8">
        <v>6</v>
      </c>
    </row>
    <row r="72" spans="1:7" x14ac:dyDescent="0.3">
      <c r="A72" s="1">
        <f>'WL &amp; Q'!A72</f>
        <v>46234.833333333168</v>
      </c>
      <c r="B72" s="4">
        <f>IF('WL &amp; Q'!I72="","",'WL &amp; Q'!I72)</f>
        <v>1.96</v>
      </c>
      <c r="C72" s="6">
        <f t="shared" si="1"/>
        <v>62.517416792361395</v>
      </c>
      <c r="D72" s="4">
        <f>IF('WL &amp; Q'!K72="","",'WL &amp; Q'!K72)</f>
        <v>3.3</v>
      </c>
      <c r="E72" s="8">
        <v>3</v>
      </c>
      <c r="F72" s="8">
        <v>4</v>
      </c>
      <c r="G72" s="8">
        <v>6</v>
      </c>
    </row>
    <row r="73" spans="1:7" x14ac:dyDescent="0.3">
      <c r="A73" s="1">
        <f>'WL &amp; Q'!A73</f>
        <v>46234.874999999833</v>
      </c>
      <c r="B73" s="4">
        <f>IF('WL &amp; Q'!I73="","",'WL &amp; Q'!I73)</f>
        <v>1.81</v>
      </c>
      <c r="C73" s="6">
        <f t="shared" si="1"/>
        <v>45.435630148874047</v>
      </c>
      <c r="D73" s="4">
        <f>IF('WL &amp; Q'!K73="","",'WL &amp; Q'!K73)</f>
        <v>1.7</v>
      </c>
      <c r="E73" s="8">
        <v>3</v>
      </c>
      <c r="F73" s="8">
        <v>4</v>
      </c>
      <c r="G73" s="8">
        <v>6</v>
      </c>
    </row>
    <row r="74" spans="1:7" x14ac:dyDescent="0.3">
      <c r="A74" s="1">
        <f>'WL &amp; Q'!A74</f>
        <v>46234.916666666497</v>
      </c>
      <c r="B74" s="4">
        <f>IF('WL &amp; Q'!I74="","",'WL &amp; Q'!I74)</f>
        <v>1.71</v>
      </c>
      <c r="C74" s="6">
        <f t="shared" si="1"/>
        <v>36.046945759714987</v>
      </c>
      <c r="D74" s="4">
        <f>IF('WL &amp; Q'!K74="","",'WL &amp; Q'!K74)</f>
        <v>1.5</v>
      </c>
      <c r="E74" s="8">
        <v>3</v>
      </c>
      <c r="F74" s="8">
        <v>4</v>
      </c>
      <c r="G74" s="8">
        <v>6</v>
      </c>
    </row>
    <row r="75" spans="1:7" x14ac:dyDescent="0.3">
      <c r="A75" s="1">
        <f>'WL &amp; Q'!A75</f>
        <v>46234.958333333161</v>
      </c>
      <c r="B75" s="4">
        <f>IF('WL &amp; Q'!I75="","",'WL &amp; Q'!I75)</f>
        <v>1.65</v>
      </c>
      <c r="C75" s="6">
        <f t="shared" si="1"/>
        <v>31.113795123628769</v>
      </c>
      <c r="D75" s="4">
        <f>IF('WL &amp; Q'!K75="","",'WL &amp; Q'!K75)</f>
        <v>20</v>
      </c>
      <c r="E75" s="8">
        <v>3</v>
      </c>
      <c r="F75" s="8">
        <v>4</v>
      </c>
      <c r="G75" s="8">
        <v>6</v>
      </c>
    </row>
    <row r="76" spans="1:7" x14ac:dyDescent="0.3">
      <c r="A76" s="1">
        <f>'WL &amp; Q'!A76</f>
        <v>46234.999999999825</v>
      </c>
      <c r="B76" s="4">
        <f>IF('WL &amp; Q'!I76="","",'WL &amp; Q'!I76)</f>
        <v>1.61</v>
      </c>
      <c r="C76" s="6">
        <f t="shared" si="1"/>
        <v>28.098850455955088</v>
      </c>
      <c r="D76" s="4">
        <f>IF('WL &amp; Q'!K76="","",'WL &amp; Q'!K76)</f>
        <v>2.2000000000000002</v>
      </c>
      <c r="E76" s="8">
        <v>3</v>
      </c>
      <c r="F76" s="8">
        <v>4</v>
      </c>
      <c r="G76" s="8">
        <v>6</v>
      </c>
    </row>
    <row r="77" spans="1:7" x14ac:dyDescent="0.3">
      <c r="A77" s="1">
        <f>'WL &amp; Q'!A77</f>
        <v>46235.04166666649</v>
      </c>
      <c r="B77" s="4">
        <f>IF('WL &amp; Q'!I77="","",'WL &amp; Q'!I77)</f>
        <v>1.61</v>
      </c>
      <c r="C77" s="6">
        <f t="shared" si="1"/>
        <v>28.098850455955088</v>
      </c>
      <c r="D77" s="4">
        <f>IF('WL &amp; Q'!K77="","",'WL &amp; Q'!K77)</f>
        <v>24.5</v>
      </c>
      <c r="E77" s="8">
        <v>3</v>
      </c>
      <c r="F77" s="8">
        <v>4</v>
      </c>
      <c r="G77" s="8">
        <v>6</v>
      </c>
    </row>
    <row r="78" spans="1:7" x14ac:dyDescent="0.3">
      <c r="A78" s="1">
        <f>'WL &amp; Q'!A78</f>
        <v>46235.083333333154</v>
      </c>
      <c r="B78" s="4">
        <f>IF('WL &amp; Q'!I78="","",'WL &amp; Q'!I78)</f>
        <v>2.1</v>
      </c>
      <c r="C78" s="6">
        <f t="shared" si="1"/>
        <v>82.074352644841866</v>
      </c>
      <c r="D78" s="4">
        <f>IF('WL &amp; Q'!K78="","",'WL &amp; Q'!K78)</f>
        <v>22</v>
      </c>
      <c r="E78" s="8">
        <v>3</v>
      </c>
      <c r="F78" s="8">
        <v>4</v>
      </c>
      <c r="G78" s="8">
        <v>6</v>
      </c>
    </row>
    <row r="79" spans="1:7" x14ac:dyDescent="0.3">
      <c r="A79" s="1">
        <f>'WL &amp; Q'!A79</f>
        <v>46235.124999999818</v>
      </c>
      <c r="B79" s="4">
        <f>IF('WL &amp; Q'!I79="","",'WL &amp; Q'!I79)</f>
        <v>2.35</v>
      </c>
      <c r="C79" s="6">
        <f t="shared" si="1"/>
        <v>108.32966475000001</v>
      </c>
      <c r="D79" s="4">
        <f>IF('WL &amp; Q'!K79="","",'WL &amp; Q'!K79)</f>
        <v>30</v>
      </c>
      <c r="E79" s="8">
        <v>3</v>
      </c>
      <c r="F79" s="8">
        <v>4</v>
      </c>
      <c r="G79" s="8">
        <v>6</v>
      </c>
    </row>
    <row r="80" spans="1:7" x14ac:dyDescent="0.3">
      <c r="A80" s="1">
        <f>'WL &amp; Q'!A80</f>
        <v>46235.166666666482</v>
      </c>
      <c r="B80" s="4">
        <f>IF('WL &amp; Q'!I80="","",'WL &amp; Q'!I80)</f>
        <v>2.78</v>
      </c>
      <c r="C80" s="6">
        <f t="shared" si="1"/>
        <v>146.9348927499999</v>
      </c>
      <c r="D80" s="4">
        <f>IF('WL &amp; Q'!K80="","",'WL &amp; Q'!K80)</f>
        <v>14.5</v>
      </c>
      <c r="E80" s="8">
        <v>3</v>
      </c>
      <c r="F80" s="8">
        <v>4</v>
      </c>
      <c r="G80" s="8">
        <v>6</v>
      </c>
    </row>
    <row r="81" spans="1:7" x14ac:dyDescent="0.3">
      <c r="A81" s="1">
        <f>'WL &amp; Q'!A81</f>
        <v>46235.208333333147</v>
      </c>
      <c r="B81" s="4">
        <f>IF('WL &amp; Q'!I81="","",'WL &amp; Q'!I81)</f>
        <v>3.8</v>
      </c>
      <c r="C81" s="6">
        <f t="shared" si="1"/>
        <v>407.98869475000015</v>
      </c>
      <c r="D81" s="4">
        <f>IF('WL &amp; Q'!K81="","",'WL &amp; Q'!K81)</f>
        <v>8</v>
      </c>
      <c r="E81" s="8">
        <v>3</v>
      </c>
      <c r="F81" s="8">
        <v>4</v>
      </c>
      <c r="G81" s="8">
        <v>6</v>
      </c>
    </row>
    <row r="82" spans="1:7" x14ac:dyDescent="0.3">
      <c r="A82" s="1">
        <f>'WL &amp; Q'!A82</f>
        <v>46235.249999999811</v>
      </c>
      <c r="B82" s="4">
        <f>IF('WL &amp; Q'!I82="","",'WL &amp; Q'!I82)</f>
        <v>4.3</v>
      </c>
      <c r="C82" s="6">
        <f t="shared" si="1"/>
        <v>623.04464475000009</v>
      </c>
      <c r="D82" s="4">
        <f>IF('WL &amp; Q'!K82="","",'WL &amp; Q'!K82)</f>
        <v>1.2</v>
      </c>
      <c r="E82" s="8">
        <v>3</v>
      </c>
      <c r="F82" s="8">
        <v>4</v>
      </c>
      <c r="G82" s="8">
        <v>6</v>
      </c>
    </row>
    <row r="83" spans="1:7" x14ac:dyDescent="0.3">
      <c r="A83" s="1">
        <f>'WL &amp; Q'!A83</f>
        <v>46235.291666666475</v>
      </c>
      <c r="B83" s="4">
        <f>IF('WL &amp; Q'!I83="","",'WL &amp; Q'!I83)</f>
        <v>5.35</v>
      </c>
      <c r="C83" s="6">
        <f t="shared" si="1"/>
        <v>1261.1573647499999</v>
      </c>
      <c r="D83" s="4">
        <f>IF('WL &amp; Q'!K83="","",'WL &amp; Q'!K83)</f>
        <v>2</v>
      </c>
      <c r="E83" s="8">
        <v>3</v>
      </c>
      <c r="F83" s="8">
        <v>4</v>
      </c>
      <c r="G83" s="8">
        <v>6</v>
      </c>
    </row>
    <row r="84" spans="1:7" x14ac:dyDescent="0.3">
      <c r="A84" s="1">
        <f>'WL &amp; Q'!A84</f>
        <v>46235.333333333139</v>
      </c>
      <c r="B84" s="4">
        <f>IF('WL &amp; Q'!I84="","",'WL &amp; Q'!I84)</f>
        <v>3</v>
      </c>
      <c r="C84" s="6">
        <f t="shared" si="1"/>
        <v>183.07277475000001</v>
      </c>
      <c r="D84" s="4">
        <f>IF('WL &amp; Q'!K84="","",'WL &amp; Q'!K84)</f>
        <v>0</v>
      </c>
      <c r="E84" s="8">
        <v>3</v>
      </c>
      <c r="F84" s="8">
        <v>4</v>
      </c>
      <c r="G84" s="8">
        <v>6</v>
      </c>
    </row>
    <row r="85" spans="1:7" x14ac:dyDescent="0.3">
      <c r="A85" s="1">
        <f>'WL &amp; Q'!A85</f>
        <v>46235.374999999804</v>
      </c>
      <c r="B85" s="4">
        <f>IF('WL &amp; Q'!I85="","",'WL &amp; Q'!I85)</f>
        <v>2.6</v>
      </c>
      <c r="C85" s="6">
        <f t="shared" si="1"/>
        <v>125.61801475000004</v>
      </c>
      <c r="D85" s="4">
        <f>IF('WL &amp; Q'!K85="","",'WL &amp; Q'!K85)</f>
        <v>0.5</v>
      </c>
      <c r="E85" s="8">
        <v>3</v>
      </c>
      <c r="F85" s="8">
        <v>4</v>
      </c>
      <c r="G85" s="8">
        <v>6</v>
      </c>
    </row>
    <row r="86" spans="1:7" x14ac:dyDescent="0.3">
      <c r="A86" s="1">
        <f>'WL &amp; Q'!A86</f>
        <v>46235.416666666468</v>
      </c>
      <c r="B86" s="4">
        <f>IF('WL &amp; Q'!I86="","",'WL &amp; Q'!I86)</f>
        <v>2.54</v>
      </c>
      <c r="C86" s="6">
        <f t="shared" si="1"/>
        <v>120.16248474999998</v>
      </c>
      <c r="D86" s="4">
        <f>IF('WL &amp; Q'!K86="","",'WL &amp; Q'!K86)</f>
        <v>1.5</v>
      </c>
      <c r="E86" s="8">
        <v>3</v>
      </c>
      <c r="F86" s="8">
        <v>4</v>
      </c>
      <c r="G86" s="8">
        <v>6</v>
      </c>
    </row>
    <row r="87" spans="1:7" x14ac:dyDescent="0.3">
      <c r="A87" s="1">
        <f>'WL &amp; Q'!A87</f>
        <v>46235.458333333132</v>
      </c>
      <c r="B87" s="4">
        <f>IF('WL &amp; Q'!I87="","",'WL &amp; Q'!I87)</f>
        <v>2.38</v>
      </c>
      <c r="C87" s="6">
        <f t="shared" si="1"/>
        <v>109.64797274999995</v>
      </c>
      <c r="D87" s="4">
        <f>IF('WL &amp; Q'!K87="","",'WL &amp; Q'!K87)</f>
        <v>0</v>
      </c>
      <c r="E87" s="8">
        <v>3</v>
      </c>
      <c r="F87" s="8">
        <v>4</v>
      </c>
      <c r="G87" s="8">
        <v>6</v>
      </c>
    </row>
    <row r="88" spans="1:7" x14ac:dyDescent="0.3">
      <c r="A88" s="1">
        <f>'WL &amp; Q'!A88</f>
        <v>46235.499999999796</v>
      </c>
      <c r="B88" s="4">
        <f>IF('WL &amp; Q'!I88="","",'WL &amp; Q'!I88)</f>
        <v>2.1</v>
      </c>
      <c r="C88" s="6">
        <f t="shared" si="1"/>
        <v>82.074352644841866</v>
      </c>
      <c r="D88" s="4">
        <f>IF('WL &amp; Q'!K88="","",'WL &amp; Q'!K88)</f>
        <v>0</v>
      </c>
      <c r="E88" s="8">
        <v>3</v>
      </c>
      <c r="F88" s="8">
        <v>4</v>
      </c>
      <c r="G88" s="8">
        <v>6</v>
      </c>
    </row>
    <row r="89" spans="1:7" x14ac:dyDescent="0.3">
      <c r="A89" s="1">
        <f>'WL &amp; Q'!A89</f>
        <v>46235.541666666461</v>
      </c>
      <c r="B89" s="4">
        <f>IF('WL &amp; Q'!I89="","",'WL &amp; Q'!I89)</f>
        <v>1.9</v>
      </c>
      <c r="C89" s="6">
        <f t="shared" si="1"/>
        <v>55.229292559593233</v>
      </c>
      <c r="D89" s="4">
        <f>IF('WL &amp; Q'!K89="","",'WL &amp; Q'!K89)</f>
        <v>0</v>
      </c>
      <c r="E89" s="8">
        <v>3</v>
      </c>
      <c r="F89" s="8">
        <v>4</v>
      </c>
      <c r="G89" s="8">
        <v>6</v>
      </c>
    </row>
    <row r="90" spans="1:7" x14ac:dyDescent="0.3">
      <c r="A90" s="1">
        <f>'WL &amp; Q'!A90</f>
        <v>46235.583333333125</v>
      </c>
      <c r="B90" s="4">
        <f>IF('WL &amp; Q'!I90="","",'WL &amp; Q'!I90)</f>
        <v>2.29</v>
      </c>
      <c r="C90" s="6">
        <f t="shared" si="1"/>
        <v>106.31183475</v>
      </c>
      <c r="D90" s="4">
        <f>IF('WL &amp; Q'!K90="","",'WL &amp; Q'!K90)</f>
        <v>0</v>
      </c>
      <c r="E90" s="8">
        <v>3</v>
      </c>
      <c r="F90" s="8">
        <v>4</v>
      </c>
      <c r="G90" s="8">
        <v>6</v>
      </c>
    </row>
    <row r="91" spans="1:7" x14ac:dyDescent="0.3">
      <c r="A91" s="1">
        <f>'WL &amp; Q'!A91</f>
        <v>46235.624999999789</v>
      </c>
      <c r="B91" s="4">
        <f>IF('WL &amp; Q'!I91="","",'WL &amp; Q'!I91)</f>
        <v>2.0499999999999998</v>
      </c>
      <c r="C91" s="6">
        <f t="shared" si="1"/>
        <v>74.663750826566528</v>
      </c>
      <c r="D91" s="4">
        <f>IF('WL &amp; Q'!K91="","",'WL &amp; Q'!K91)</f>
        <v>0</v>
      </c>
      <c r="E91" s="8">
        <v>3</v>
      </c>
      <c r="F91" s="8">
        <v>4</v>
      </c>
      <c r="G91" s="8">
        <v>6</v>
      </c>
    </row>
    <row r="92" spans="1:7" x14ac:dyDescent="0.3">
      <c r="A92" s="1">
        <f>'WL &amp; Q'!A92</f>
        <v>46235.666666666453</v>
      </c>
      <c r="B92" s="4">
        <f>IF('WL &amp; Q'!I92="","",'WL &amp; Q'!I92)</f>
        <v>1.8</v>
      </c>
      <c r="C92" s="6">
        <f t="shared" si="1"/>
        <v>44.428086891605425</v>
      </c>
      <c r="D92" s="4">
        <f>IF('WL &amp; Q'!K92="","",'WL &amp; Q'!K92)</f>
        <v>4.0999999999999996</v>
      </c>
      <c r="E92" s="8">
        <v>3</v>
      </c>
      <c r="F92" s="8">
        <v>4</v>
      </c>
      <c r="G92" s="8">
        <v>6</v>
      </c>
    </row>
    <row r="93" spans="1:7" x14ac:dyDescent="0.3">
      <c r="A93" s="1">
        <f>'WL &amp; Q'!A93</f>
        <v>46235.708333333117</v>
      </c>
      <c r="B93" s="4">
        <f>IF('WL &amp; Q'!I93="","",'WL &amp; Q'!I93)</f>
        <v>2.0499999999999998</v>
      </c>
      <c r="C93" s="6">
        <f t="shared" si="1"/>
        <v>74.663750826566528</v>
      </c>
      <c r="D93" s="4">
        <f>IF('WL &amp; Q'!K93="","",'WL &amp; Q'!K93)</f>
        <v>0</v>
      </c>
      <c r="E93" s="8">
        <v>3</v>
      </c>
      <c r="F93" s="8">
        <v>4</v>
      </c>
      <c r="G93" s="8">
        <v>6</v>
      </c>
    </row>
    <row r="94" spans="1:7" x14ac:dyDescent="0.3">
      <c r="A94" s="1">
        <f>'WL &amp; Q'!A94</f>
        <v>46235.749999999782</v>
      </c>
      <c r="B94" s="4">
        <f>IF('WL &amp; Q'!I94="","",'WL &amp; Q'!I94)</f>
        <v>1.9</v>
      </c>
      <c r="C94" s="6">
        <f t="shared" si="1"/>
        <v>55.229292559593233</v>
      </c>
      <c r="D94" s="4">
        <f>IF('WL &amp; Q'!K94="","",'WL &amp; Q'!K94)</f>
        <v>0</v>
      </c>
      <c r="E94" s="8">
        <v>3</v>
      </c>
      <c r="F94" s="8">
        <v>4</v>
      </c>
      <c r="G94" s="8">
        <v>6</v>
      </c>
    </row>
    <row r="95" spans="1:7" x14ac:dyDescent="0.3">
      <c r="A95" s="1">
        <f>'WL &amp; Q'!A95</f>
        <v>46235.791666666446</v>
      </c>
      <c r="B95" s="4">
        <f>IF('WL &amp; Q'!I95="","",'WL &amp; Q'!I95)</f>
        <v>1.92</v>
      </c>
      <c r="C95" s="6">
        <f t="shared" si="1"/>
        <v>57.58915679440171</v>
      </c>
      <c r="D95" s="4">
        <f>IF('WL &amp; Q'!K95="","",'WL &amp; Q'!K95)</f>
        <v>1</v>
      </c>
      <c r="E95" s="8">
        <v>3</v>
      </c>
      <c r="F95" s="8">
        <v>4</v>
      </c>
      <c r="G95" s="8">
        <v>6</v>
      </c>
    </row>
    <row r="96" spans="1:7" x14ac:dyDescent="0.3">
      <c r="A96" s="1">
        <f>'WL &amp; Q'!A96</f>
        <v>46235.83333333311</v>
      </c>
      <c r="B96" s="4">
        <f>IF('WL &amp; Q'!I96="","",'WL &amp; Q'!I96)</f>
        <v>1.96</v>
      </c>
      <c r="C96" s="6">
        <f t="shared" si="1"/>
        <v>62.517416792361395</v>
      </c>
      <c r="D96" s="4">
        <f>IF('WL &amp; Q'!K96="","",'WL &amp; Q'!K96)</f>
        <v>0</v>
      </c>
      <c r="E96" s="8">
        <v>3</v>
      </c>
      <c r="F96" s="8">
        <v>4</v>
      </c>
      <c r="G96" s="8">
        <v>6</v>
      </c>
    </row>
    <row r="97" spans="1:7" x14ac:dyDescent="0.3">
      <c r="A97" s="1">
        <f>'WL &amp; Q'!A97</f>
        <v>46235.874999999774</v>
      </c>
      <c r="B97" s="4">
        <f>IF('WL &amp; Q'!I97="","",'WL &amp; Q'!I97)</f>
        <v>1.9</v>
      </c>
      <c r="C97" s="6">
        <f t="shared" si="1"/>
        <v>55.229292559593233</v>
      </c>
      <c r="D97" s="4">
        <f>IF('WL &amp; Q'!K97="","",'WL &amp; Q'!K97)</f>
        <v>0</v>
      </c>
      <c r="E97" s="8">
        <v>3</v>
      </c>
      <c r="F97" s="8">
        <v>4</v>
      </c>
      <c r="G97" s="8">
        <v>6</v>
      </c>
    </row>
    <row r="98" spans="1:7" x14ac:dyDescent="0.3">
      <c r="A98" s="1">
        <f>'WL &amp; Q'!A98</f>
        <v>46235.916666666439</v>
      </c>
      <c r="B98" s="4">
        <f>IF('WL &amp; Q'!I98="","",'WL &amp; Q'!I98)</f>
        <v>1.9</v>
      </c>
      <c r="C98" s="6">
        <f t="shared" si="1"/>
        <v>55.229292559593233</v>
      </c>
      <c r="D98" s="4">
        <f>IF('WL &amp; Q'!K98="","",'WL &amp; Q'!K98)</f>
        <v>0</v>
      </c>
      <c r="E98" s="8">
        <v>3</v>
      </c>
      <c r="F98" s="8">
        <v>4</v>
      </c>
      <c r="G98" s="8">
        <v>6</v>
      </c>
    </row>
    <row r="99" spans="1:7" x14ac:dyDescent="0.3">
      <c r="A99" s="1">
        <f>'WL &amp; Q'!A99</f>
        <v>46235.958333333103</v>
      </c>
      <c r="B99" s="4">
        <f>IF('WL &amp; Q'!I99="","",'WL &amp; Q'!I99)</f>
        <v>1.85</v>
      </c>
      <c r="C99" s="6">
        <f t="shared" si="1"/>
        <v>49.624789002328875</v>
      </c>
      <c r="D99" s="4">
        <f>IF('WL &amp; Q'!K99="","",'WL &amp; Q'!K99)</f>
        <v>0</v>
      </c>
      <c r="E99" s="8">
        <v>3</v>
      </c>
      <c r="F99" s="8">
        <v>4</v>
      </c>
      <c r="G99" s="8">
        <v>6</v>
      </c>
    </row>
    <row r="100" spans="1:7" x14ac:dyDescent="0.3">
      <c r="A100" s="1">
        <f>'WL &amp; Q'!A100</f>
        <v>46235.999999999767</v>
      </c>
      <c r="B100" s="4">
        <f>IF('WL &amp; Q'!I100="","",'WL &amp; Q'!I100)</f>
        <v>1.73</v>
      </c>
      <c r="C100" s="6">
        <f t="shared" si="1"/>
        <v>37.805129543416001</v>
      </c>
      <c r="D100" s="4">
        <f>IF('WL &amp; Q'!K100="","",'WL &amp; Q'!K100)</f>
        <v>0</v>
      </c>
      <c r="E100" s="8">
        <v>3</v>
      </c>
      <c r="F100" s="8">
        <v>4</v>
      </c>
      <c r="G100" s="8">
        <v>6</v>
      </c>
    </row>
    <row r="101" spans="1:7" x14ac:dyDescent="0.3">
      <c r="A101" s="1">
        <f>'WL &amp; Q'!A101</f>
        <v>46236.041666666431</v>
      </c>
      <c r="B101" s="4">
        <f>IF('WL &amp; Q'!I101="","",'WL &amp; Q'!I101)</f>
        <v>1.6</v>
      </c>
      <c r="C101" s="6">
        <f t="shared" si="1"/>
        <v>27.378126812791294</v>
      </c>
      <c r="D101" s="4">
        <f>IF('WL &amp; Q'!K101="","",'WL &amp; Q'!K101)</f>
        <v>0</v>
      </c>
      <c r="E101" s="8">
        <v>3</v>
      </c>
      <c r="F101" s="8">
        <v>4</v>
      </c>
      <c r="G101" s="8">
        <v>6</v>
      </c>
    </row>
    <row r="102" spans="1:7" x14ac:dyDescent="0.3">
      <c r="A102" s="1">
        <f>'WL &amp; Q'!A102</f>
        <v>46236.083333333096</v>
      </c>
      <c r="B102" s="4">
        <f>IF('WL &amp; Q'!I102="","",'WL &amp; Q'!I102)</f>
        <v>1.6</v>
      </c>
      <c r="C102" s="6">
        <f t="shared" si="1"/>
        <v>27.378126812791294</v>
      </c>
      <c r="D102" s="4">
        <f>IF('WL &amp; Q'!K102="","",'WL &amp; Q'!K102)</f>
        <v>0</v>
      </c>
      <c r="E102" s="8">
        <v>3</v>
      </c>
      <c r="F102" s="8">
        <v>4</v>
      </c>
      <c r="G102" s="8">
        <v>6</v>
      </c>
    </row>
    <row r="103" spans="1:7" x14ac:dyDescent="0.3">
      <c r="A103" s="1">
        <f>'WL &amp; Q'!A103</f>
        <v>46236.12499999976</v>
      </c>
      <c r="B103" s="4">
        <f>IF('WL &amp; Q'!I103="","",'WL &amp; Q'!I103)</f>
        <v>1.7</v>
      </c>
      <c r="C103" s="6">
        <f t="shared" si="1"/>
        <v>35.189526648238292</v>
      </c>
      <c r="D103" s="4">
        <f>IF('WL &amp; Q'!K103="","",'WL &amp; Q'!K103)</f>
        <v>0</v>
      </c>
      <c r="E103" s="8">
        <v>3</v>
      </c>
      <c r="F103" s="8">
        <v>4</v>
      </c>
      <c r="G103" s="8">
        <v>6</v>
      </c>
    </row>
    <row r="104" spans="1:7" x14ac:dyDescent="0.3">
      <c r="A104" s="1">
        <f>'WL &amp; Q'!A104</f>
        <v>46236.166666666424</v>
      </c>
      <c r="B104" s="4">
        <f>IF('WL &amp; Q'!I104="","",'WL &amp; Q'!I104)</f>
        <v>1.7</v>
      </c>
      <c r="C104" s="6">
        <f t="shared" si="1"/>
        <v>35.189526648238292</v>
      </c>
      <c r="D104" s="4">
        <f>IF('WL &amp; Q'!K104="","",'WL &amp; Q'!K104)</f>
        <v>0.5</v>
      </c>
      <c r="E104" s="8">
        <v>3</v>
      </c>
      <c r="F104" s="8">
        <v>4</v>
      </c>
      <c r="G104" s="8">
        <v>6</v>
      </c>
    </row>
    <row r="105" spans="1:7" x14ac:dyDescent="0.3">
      <c r="A105" s="1">
        <f>'WL &amp; Q'!A105</f>
        <v>46236.208333333088</v>
      </c>
      <c r="B105" s="4">
        <f>IF('WL &amp; Q'!I105="","",'WL &amp; Q'!I105)</f>
        <v>1.85</v>
      </c>
      <c r="C105" s="6">
        <f t="shared" si="1"/>
        <v>49.624789002328875</v>
      </c>
      <c r="D105" s="4">
        <f>IF('WL &amp; Q'!K105="","",'WL &amp; Q'!K105)</f>
        <v>4.5</v>
      </c>
      <c r="E105" s="8">
        <v>3</v>
      </c>
      <c r="F105" s="8">
        <v>4</v>
      </c>
      <c r="G105" s="8">
        <v>6</v>
      </c>
    </row>
    <row r="106" spans="1:7" x14ac:dyDescent="0.3">
      <c r="A106" s="1">
        <f>'WL &amp; Q'!A106</f>
        <v>46236.249999999753</v>
      </c>
      <c r="B106" s="4">
        <f>IF('WL &amp; Q'!I106="","",'WL &amp; Q'!I106)</f>
        <v>1.85</v>
      </c>
      <c r="C106" s="6">
        <f t="shared" si="1"/>
        <v>49.624789002328875</v>
      </c>
      <c r="D106" s="4">
        <f>IF('WL &amp; Q'!K106="","",'WL &amp; Q'!K106)</f>
        <v>0.5</v>
      </c>
      <c r="E106" s="8">
        <v>3</v>
      </c>
      <c r="F106" s="8">
        <v>4</v>
      </c>
      <c r="G106" s="8">
        <v>6</v>
      </c>
    </row>
    <row r="107" spans="1:7" x14ac:dyDescent="0.3">
      <c r="A107" s="1">
        <f>'WL &amp; Q'!A107</f>
        <v>46236.291666666417</v>
      </c>
      <c r="B107" s="4">
        <f>IF('WL &amp; Q'!I107="","",'WL &amp; Q'!I107)</f>
        <v>1.83</v>
      </c>
      <c r="C107" s="6">
        <f t="shared" si="1"/>
        <v>47.498137645475794</v>
      </c>
      <c r="D107" s="4">
        <f>IF('WL &amp; Q'!K107="","",'WL &amp; Q'!K107)</f>
        <v>0</v>
      </c>
      <c r="E107" s="8">
        <v>3</v>
      </c>
      <c r="F107" s="8">
        <v>4</v>
      </c>
      <c r="G107" s="8">
        <v>6</v>
      </c>
    </row>
    <row r="108" spans="1:7" x14ac:dyDescent="0.3">
      <c r="A108" s="1">
        <f>'WL &amp; Q'!A108</f>
        <v>46236.333333333081</v>
      </c>
      <c r="B108" s="4">
        <f>IF('WL &amp; Q'!I108="","",'WL &amp; Q'!I108)</f>
        <v>1.81</v>
      </c>
      <c r="C108" s="6">
        <f t="shared" si="1"/>
        <v>45.435630148874047</v>
      </c>
      <c r="D108" s="4">
        <f>IF('WL &amp; Q'!K108="","",'WL &amp; Q'!K108)</f>
        <v>0</v>
      </c>
      <c r="E108" s="8">
        <v>3</v>
      </c>
      <c r="F108" s="8">
        <v>4</v>
      </c>
      <c r="G108" s="8">
        <v>6</v>
      </c>
    </row>
    <row r="109" spans="1:7" x14ac:dyDescent="0.3">
      <c r="A109" s="1">
        <f>'WL &amp; Q'!A109</f>
        <v>46236.374999999745</v>
      </c>
      <c r="B109" s="4">
        <f>IF('WL &amp; Q'!I109="","",'WL &amp; Q'!I109)</f>
        <v>1.8</v>
      </c>
      <c r="C109" s="6">
        <f t="shared" si="1"/>
        <v>44.428086891605425</v>
      </c>
      <c r="D109" s="4">
        <f>IF('WL &amp; Q'!K109="","",'WL &amp; Q'!K109)</f>
        <v>0</v>
      </c>
      <c r="E109" s="8">
        <v>3</v>
      </c>
      <c r="F109" s="8">
        <v>4</v>
      </c>
      <c r="G109" s="8">
        <v>6</v>
      </c>
    </row>
    <row r="110" spans="1:7" x14ac:dyDescent="0.3">
      <c r="A110" s="1">
        <f>'WL &amp; Q'!A110</f>
        <v>46236.41666666641</v>
      </c>
      <c r="B110" s="4">
        <f>IF('WL &amp; Q'!I110="","",'WL &amp; Q'!I110)</f>
        <v>1.92</v>
      </c>
      <c r="C110" s="6">
        <f t="shared" si="1"/>
        <v>57.58915679440171</v>
      </c>
      <c r="D110" s="4">
        <f>IF('WL &amp; Q'!K110="","",'WL &amp; Q'!K110)</f>
        <v>0</v>
      </c>
      <c r="E110" s="8">
        <v>3</v>
      </c>
      <c r="F110" s="8">
        <v>4</v>
      </c>
      <c r="G110" s="8">
        <v>6</v>
      </c>
    </row>
    <row r="111" spans="1:7" x14ac:dyDescent="0.3">
      <c r="A111" s="1">
        <f>'WL &amp; Q'!A111</f>
        <v>46236.458333333074</v>
      </c>
      <c r="B111" s="4">
        <f>IF('WL &amp; Q'!I111="","",'WL &amp; Q'!I111)</f>
        <v>1.72</v>
      </c>
      <c r="C111" s="6">
        <f t="shared" si="1"/>
        <v>36.918768535255168</v>
      </c>
      <c r="D111" s="4">
        <f>IF('WL &amp; Q'!K111="","",'WL &amp; Q'!K111)</f>
        <v>0</v>
      </c>
      <c r="E111" s="8">
        <v>3</v>
      </c>
      <c r="F111" s="8">
        <v>4</v>
      </c>
      <c r="G111" s="8">
        <v>6</v>
      </c>
    </row>
    <row r="112" spans="1:7" x14ac:dyDescent="0.3">
      <c r="A112" s="1">
        <f>'WL &amp; Q'!A112</f>
        <v>46236.499999999738</v>
      </c>
      <c r="B112" s="4">
        <f>IF('WL &amp; Q'!I112="","",'WL &amp; Q'!I112)</f>
        <v>1.78</v>
      </c>
      <c r="C112" s="6">
        <f t="shared" si="1"/>
        <v>42.459736684708091</v>
      </c>
      <c r="D112" s="4">
        <f>IF('WL &amp; Q'!K112="","",'WL &amp; Q'!K112)</f>
        <v>0</v>
      </c>
      <c r="E112" s="8">
        <v>3</v>
      </c>
      <c r="F112" s="8">
        <v>4</v>
      </c>
      <c r="G112" s="8">
        <v>6</v>
      </c>
    </row>
    <row r="113" spans="1:7" x14ac:dyDescent="0.3">
      <c r="A113" s="1">
        <f>'WL &amp; Q'!A113</f>
        <v>46236.541666666402</v>
      </c>
      <c r="B113" s="4">
        <f>IF('WL &amp; Q'!I113="","",'WL &amp; Q'!I113)</f>
        <v>1.72</v>
      </c>
      <c r="C113" s="6">
        <f t="shared" si="1"/>
        <v>36.918768535255168</v>
      </c>
      <c r="D113" s="4">
        <f>IF('WL &amp; Q'!K113="","",'WL &amp; Q'!K113)</f>
        <v>1.2</v>
      </c>
      <c r="E113" s="8">
        <v>3</v>
      </c>
      <c r="F113" s="8">
        <v>4</v>
      </c>
      <c r="G113" s="8">
        <v>6</v>
      </c>
    </row>
    <row r="114" spans="1:7" x14ac:dyDescent="0.3">
      <c r="A114" s="1">
        <f>'WL &amp; Q'!A114</f>
        <v>46236.583333333067</v>
      </c>
      <c r="B114" s="4">
        <f>IF('WL &amp; Q'!I114="","",'WL &amp; Q'!I114)</f>
        <v>1.7</v>
      </c>
      <c r="C114" s="6">
        <f t="shared" si="1"/>
        <v>35.189526648238292</v>
      </c>
      <c r="D114" s="4">
        <f>IF('WL &amp; Q'!K114="","",'WL &amp; Q'!K114)</f>
        <v>5</v>
      </c>
      <c r="E114" s="8">
        <v>3</v>
      </c>
      <c r="F114" s="8">
        <v>4</v>
      </c>
      <c r="G114" s="8">
        <v>6</v>
      </c>
    </row>
    <row r="115" spans="1:7" x14ac:dyDescent="0.3">
      <c r="A115" s="1">
        <f>'WL &amp; Q'!A115</f>
        <v>46236.624999999731</v>
      </c>
      <c r="B115" s="4">
        <f>IF('WL &amp; Q'!I115="","",'WL &amp; Q'!I115)</f>
        <v>1.73</v>
      </c>
      <c r="C115" s="6">
        <f t="shared" si="1"/>
        <v>37.805129543416001</v>
      </c>
      <c r="D115" s="4">
        <f>IF('WL &amp; Q'!K115="","",'WL &amp; Q'!K115)</f>
        <v>2</v>
      </c>
      <c r="E115" s="8">
        <v>3</v>
      </c>
      <c r="F115" s="8">
        <v>4</v>
      </c>
      <c r="G115" s="8">
        <v>6</v>
      </c>
    </row>
    <row r="116" spans="1:7" x14ac:dyDescent="0.3">
      <c r="A116" s="1">
        <f>'WL &amp; Q'!A116</f>
        <v>46236.666666666395</v>
      </c>
      <c r="B116" s="4">
        <f>IF('WL &amp; Q'!I116="","",'WL &amp; Q'!I116)</f>
        <v>1.8</v>
      </c>
      <c r="C116" s="6">
        <f t="shared" si="1"/>
        <v>44.428086891605425</v>
      </c>
      <c r="D116" s="4">
        <f>IF('WL &amp; Q'!K116="","",'WL &amp; Q'!K116)</f>
        <v>0</v>
      </c>
      <c r="E116" s="8">
        <v>3</v>
      </c>
      <c r="F116" s="8">
        <v>4</v>
      </c>
      <c r="G116" s="8">
        <v>6</v>
      </c>
    </row>
    <row r="117" spans="1:7" x14ac:dyDescent="0.3">
      <c r="A117" s="1">
        <f>'WL &amp; Q'!A117</f>
        <v>46236.708333333059</v>
      </c>
      <c r="B117" s="4">
        <f>IF('WL &amp; Q'!I117="","",'WL &amp; Q'!I117)</f>
        <v>1.82</v>
      </c>
      <c r="C117" s="6">
        <f t="shared" si="1"/>
        <v>46.458934669666149</v>
      </c>
      <c r="D117" s="4">
        <f>IF('WL &amp; Q'!K117="","",'WL &amp; Q'!K117)</f>
        <v>1</v>
      </c>
      <c r="E117" s="8">
        <v>3</v>
      </c>
      <c r="F117" s="8">
        <v>4</v>
      </c>
      <c r="G117" s="8">
        <v>6</v>
      </c>
    </row>
    <row r="118" spans="1:7" x14ac:dyDescent="0.3">
      <c r="A118" s="1">
        <f>'WL &amp; Q'!A118</f>
        <v>46236.749999999724</v>
      </c>
      <c r="B118" s="4">
        <f>IF('WL &amp; Q'!I118="","",'WL &amp; Q'!I118)</f>
        <v>1.78</v>
      </c>
      <c r="C118" s="6">
        <f t="shared" si="1"/>
        <v>42.459736684708091</v>
      </c>
      <c r="D118" s="4">
        <f>IF('WL &amp; Q'!K118="","",'WL &amp; Q'!K118)</f>
        <v>6.9</v>
      </c>
      <c r="E118" s="8">
        <v>3</v>
      </c>
      <c r="F118" s="8">
        <v>4</v>
      </c>
      <c r="G118" s="8">
        <v>6</v>
      </c>
    </row>
    <row r="119" spans="1:7" x14ac:dyDescent="0.3">
      <c r="A119" s="1">
        <f>'WL &amp; Q'!A119</f>
        <v>46236.791666666388</v>
      </c>
      <c r="B119" s="4">
        <f>IF('WL &amp; Q'!I119="","",'WL &amp; Q'!I119)</f>
        <v>1.75</v>
      </c>
      <c r="C119" s="6">
        <f t="shared" si="1"/>
        <v>39.622005872567456</v>
      </c>
      <c r="D119" s="4">
        <f>IF('WL &amp; Q'!K119="","",'WL &amp; Q'!K119)</f>
        <v>7.2</v>
      </c>
      <c r="E119" s="8">
        <v>3</v>
      </c>
      <c r="F119" s="8">
        <v>4</v>
      </c>
      <c r="G119" s="8">
        <v>6</v>
      </c>
    </row>
    <row r="120" spans="1:7" x14ac:dyDescent="0.3">
      <c r="A120" s="1">
        <f>'WL &amp; Q'!A120</f>
        <v>46236.833333333052</v>
      </c>
      <c r="B120" s="4">
        <f>IF('WL &amp; Q'!I120="","",'WL &amp; Q'!I120)</f>
        <v>2.2799999999999998</v>
      </c>
      <c r="C120" s="6">
        <f t="shared" si="1"/>
        <v>106.05574275000004</v>
      </c>
      <c r="D120" s="4">
        <f>IF('WL &amp; Q'!K120="","",'WL &amp; Q'!K120)</f>
        <v>0</v>
      </c>
      <c r="E120" s="8">
        <v>3</v>
      </c>
      <c r="F120" s="8">
        <v>4</v>
      </c>
      <c r="G120" s="8">
        <v>6</v>
      </c>
    </row>
    <row r="121" spans="1:7" x14ac:dyDescent="0.3">
      <c r="A121" s="1">
        <f>'WL &amp; Q'!A121</f>
        <v>46236.874999999716</v>
      </c>
      <c r="B121" s="4">
        <f>IF('WL &amp; Q'!I121="","",'WL &amp; Q'!I121)</f>
        <v>2.15</v>
      </c>
      <c r="C121" s="6">
        <f t="shared" si="1"/>
        <v>89.980944123439784</v>
      </c>
      <c r="D121" s="4">
        <f>IF('WL &amp; Q'!K121="","",'WL &amp; Q'!K121)</f>
        <v>7</v>
      </c>
      <c r="E121" s="8">
        <v>3</v>
      </c>
      <c r="F121" s="8">
        <v>4</v>
      </c>
      <c r="G121" s="8">
        <v>6</v>
      </c>
    </row>
    <row r="122" spans="1:7" x14ac:dyDescent="0.3">
      <c r="A122" s="1">
        <f>'WL &amp; Q'!A122</f>
        <v>46236.91666666638</v>
      </c>
      <c r="B122" s="4">
        <f>IF('WL &amp; Q'!I122="","",'WL &amp; Q'!I122)</f>
        <v>2.15</v>
      </c>
      <c r="C122" s="6">
        <f t="shared" si="1"/>
        <v>89.980944123439784</v>
      </c>
      <c r="D122" s="4">
        <f>IF('WL &amp; Q'!K122="","",'WL &amp; Q'!K122)</f>
        <v>9.5</v>
      </c>
      <c r="E122" s="8">
        <v>3</v>
      </c>
      <c r="F122" s="8">
        <v>4</v>
      </c>
      <c r="G122" s="8">
        <v>6</v>
      </c>
    </row>
    <row r="123" spans="1:7" x14ac:dyDescent="0.3">
      <c r="A123" s="1">
        <f>'WL &amp; Q'!A123</f>
        <v>46236.958333333045</v>
      </c>
      <c r="B123" s="4">
        <f>IF('WL &amp; Q'!I123="","",'WL &amp; Q'!I123)</f>
        <v>2.75</v>
      </c>
      <c r="C123" s="6">
        <f t="shared" si="1"/>
        <v>142.86642475000008</v>
      </c>
      <c r="D123" s="4">
        <f>IF('WL &amp; Q'!K123="","",'WL &amp; Q'!K123)</f>
        <v>67</v>
      </c>
      <c r="E123" s="8">
        <v>3</v>
      </c>
      <c r="F123" s="8">
        <v>4</v>
      </c>
      <c r="G123" s="8">
        <v>6</v>
      </c>
    </row>
    <row r="124" spans="1:7" x14ac:dyDescent="0.3">
      <c r="A124" s="1">
        <f>'WL &amp; Q'!A124</f>
        <v>46236.999999999709</v>
      </c>
      <c r="B124" s="4">
        <f>IF('WL &amp; Q'!I124="","",'WL &amp; Q'!I124)</f>
        <v>4.58</v>
      </c>
      <c r="C124" s="6">
        <f t="shared" si="1"/>
        <v>768.50243275000003</v>
      </c>
      <c r="D124" s="4">
        <f>IF('WL &amp; Q'!K124="","",'WL &amp; Q'!K124)</f>
        <v>20</v>
      </c>
      <c r="E124" s="8">
        <v>3</v>
      </c>
      <c r="F124" s="8">
        <v>4</v>
      </c>
      <c r="G124" s="8">
        <v>6</v>
      </c>
    </row>
    <row r="125" spans="1:7" x14ac:dyDescent="0.3">
      <c r="A125" s="1">
        <f>'WL &amp; Q'!A125</f>
        <v>46237.041666666373</v>
      </c>
      <c r="B125" s="4">
        <f>IF('WL &amp; Q'!I125="","",'WL &amp; Q'!I125)</f>
        <v>3.79</v>
      </c>
      <c r="C125" s="6">
        <f t="shared" si="1"/>
        <v>404.27198475</v>
      </c>
      <c r="D125" s="4">
        <f>IF('WL &amp; Q'!K125="","",'WL &amp; Q'!K125)</f>
        <v>3.2</v>
      </c>
      <c r="E125" s="8">
        <v>3</v>
      </c>
      <c r="F125" s="8">
        <v>4</v>
      </c>
      <c r="G125" s="8">
        <v>6</v>
      </c>
    </row>
    <row r="126" spans="1:7" x14ac:dyDescent="0.3">
      <c r="A126" s="1">
        <f>'WL &amp; Q'!A126</f>
        <v>46237.083333333037</v>
      </c>
      <c r="B126" s="4">
        <f>IF('WL &amp; Q'!I126="","",'WL &amp; Q'!I126)</f>
        <v>3.39</v>
      </c>
      <c r="C126" s="6">
        <f t="shared" si="1"/>
        <v>274.39634475000003</v>
      </c>
      <c r="D126" s="4">
        <f>IF('WL &amp; Q'!K126="","",'WL &amp; Q'!K126)</f>
        <v>4.5</v>
      </c>
      <c r="E126" s="8">
        <v>3</v>
      </c>
      <c r="F126" s="8">
        <v>4</v>
      </c>
      <c r="G126" s="8">
        <v>6</v>
      </c>
    </row>
    <row r="127" spans="1:7" x14ac:dyDescent="0.3">
      <c r="A127" s="1">
        <f>'WL &amp; Q'!A127</f>
        <v>46237.124999999702</v>
      </c>
      <c r="B127" s="4">
        <f>IF('WL &amp; Q'!I127="","",'WL &amp; Q'!I127)</f>
        <v>3.39</v>
      </c>
      <c r="C127" s="6">
        <f t="shared" si="1"/>
        <v>274.39634475000003</v>
      </c>
      <c r="D127" s="4">
        <f>IF('WL &amp; Q'!K127="","",'WL &amp; Q'!K127)</f>
        <v>1.5</v>
      </c>
      <c r="E127" s="8">
        <v>3</v>
      </c>
      <c r="F127" s="8">
        <v>4</v>
      </c>
      <c r="G127" s="8">
        <v>6</v>
      </c>
    </row>
    <row r="128" spans="1:7" x14ac:dyDescent="0.3">
      <c r="A128" s="1">
        <f>'WL &amp; Q'!A128</f>
        <v>46237.166666666366</v>
      </c>
      <c r="B128" s="4">
        <f>IF('WL &amp; Q'!I128="","",'WL &amp; Q'!I128)</f>
        <v>3.5</v>
      </c>
      <c r="C128" s="6">
        <f t="shared" si="1"/>
        <v>306.45672474999992</v>
      </c>
      <c r="D128" s="4">
        <f>IF('WL &amp; Q'!K128="","",'WL &amp; Q'!K128)</f>
        <v>0</v>
      </c>
      <c r="E128" s="8">
        <v>3</v>
      </c>
      <c r="F128" s="8">
        <v>4</v>
      </c>
      <c r="G128" s="8">
        <v>6</v>
      </c>
    </row>
    <row r="129" spans="1:7" x14ac:dyDescent="0.3">
      <c r="A129" s="1">
        <f>'WL &amp; Q'!A129</f>
        <v>46237.20833333303</v>
      </c>
      <c r="B129" s="4">
        <f>IF('WL &amp; Q'!I129="","",'WL &amp; Q'!I129)</f>
        <v>3.45</v>
      </c>
      <c r="C129" s="6">
        <f t="shared" si="1"/>
        <v>291.54005475000031</v>
      </c>
      <c r="D129" s="4">
        <f>IF('WL &amp; Q'!K129="","",'WL &amp; Q'!K129)</f>
        <v>0</v>
      </c>
      <c r="E129" s="8">
        <v>3</v>
      </c>
      <c r="F129" s="8">
        <v>4</v>
      </c>
      <c r="G129" s="8">
        <v>6</v>
      </c>
    </row>
    <row r="130" spans="1:7" x14ac:dyDescent="0.3">
      <c r="A130" s="1">
        <f>'WL &amp; Q'!A130</f>
        <v>46237.249999999694</v>
      </c>
      <c r="B130" s="4">
        <f>IF('WL &amp; Q'!I130="","",'WL &amp; Q'!I130)</f>
        <v>3.2</v>
      </c>
      <c r="C130" s="6">
        <f t="shared" si="1"/>
        <v>225.55095475000019</v>
      </c>
      <c r="D130" s="4">
        <f>IF('WL &amp; Q'!K130="","",'WL &amp; Q'!K130)</f>
        <v>0</v>
      </c>
      <c r="E130" s="8">
        <v>3</v>
      </c>
      <c r="F130" s="8">
        <v>4</v>
      </c>
      <c r="G130" s="8">
        <v>6</v>
      </c>
    </row>
    <row r="131" spans="1:7" x14ac:dyDescent="0.3">
      <c r="A131" s="1">
        <f>'WL &amp; Q'!A131</f>
        <v>46237.291666666359</v>
      </c>
      <c r="B131" s="4">
        <f>IF('WL &amp; Q'!I131="","",'WL &amp; Q'!I131)</f>
        <v>2.83</v>
      </c>
      <c r="C131" s="6">
        <f t="shared" si="1"/>
        <v>154.17403275000004</v>
      </c>
      <c r="D131" s="4">
        <f>IF('WL &amp; Q'!K131="","",'WL &amp; Q'!K131)</f>
        <v>1.6</v>
      </c>
      <c r="E131" s="8">
        <v>3</v>
      </c>
      <c r="F131" s="8">
        <v>4</v>
      </c>
      <c r="G131" s="8">
        <v>6</v>
      </c>
    </row>
    <row r="132" spans="1:7" x14ac:dyDescent="0.3">
      <c r="A132" s="1">
        <f>'WL &amp; Q'!A132</f>
        <v>46237.333333333023</v>
      </c>
      <c r="B132" s="4">
        <f>IF('WL &amp; Q'!I132="","",'WL &amp; Q'!I132)</f>
        <v>2.77</v>
      </c>
      <c r="C132" s="6">
        <f t="shared" si="1"/>
        <v>145.55581874999996</v>
      </c>
      <c r="D132" s="4">
        <f>IF('WL &amp; Q'!K132="","",'WL &amp; Q'!K132)</f>
        <v>5.7</v>
      </c>
      <c r="E132" s="8">
        <v>3</v>
      </c>
      <c r="F132" s="8">
        <v>4</v>
      </c>
      <c r="G132" s="8">
        <v>6</v>
      </c>
    </row>
    <row r="133" spans="1:7" x14ac:dyDescent="0.3">
      <c r="A133" s="1">
        <f>'WL &amp; Q'!A133</f>
        <v>46237.374999999687</v>
      </c>
      <c r="B133" s="4">
        <f>IF('WL &amp; Q'!I133="","",'WL &amp; Q'!I133)</f>
        <v>2.71</v>
      </c>
      <c r="C133" s="6">
        <f t="shared" si="1"/>
        <v>137.76265275000003</v>
      </c>
      <c r="D133" s="4">
        <f>IF('WL &amp; Q'!K133="","",'WL &amp; Q'!K133)</f>
        <v>5</v>
      </c>
      <c r="E133" s="8">
        <v>3</v>
      </c>
      <c r="F133" s="8">
        <v>4</v>
      </c>
      <c r="G133" s="8">
        <v>6</v>
      </c>
    </row>
    <row r="134" spans="1:7" x14ac:dyDescent="0.3">
      <c r="A134" s="1">
        <f>'WL &amp; Q'!A134</f>
        <v>46237.416666666351</v>
      </c>
      <c r="B134" s="4">
        <f>IF('WL &amp; Q'!I134="","",'WL &amp; Q'!I134)</f>
        <v>2.99</v>
      </c>
      <c r="C134" s="6">
        <f t="shared" ref="C134:C197" si="2">IF(B134="","",IF(B134&lt;=2.23,13.015*(B134-0.345)^3.274,114.59*(B134-0.345)^2-419*(B134-0.345)+487.77))</f>
        <v>181.1895047500002</v>
      </c>
      <c r="D134" s="4">
        <f>IF('WL &amp; Q'!K134="","",'WL &amp; Q'!K134)</f>
        <v>16.399999999999999</v>
      </c>
      <c r="E134" s="8">
        <v>3</v>
      </c>
      <c r="F134" s="8">
        <v>4</v>
      </c>
      <c r="G134" s="8">
        <v>6</v>
      </c>
    </row>
    <row r="135" spans="1:7" x14ac:dyDescent="0.3">
      <c r="A135" s="1">
        <f>'WL &amp; Q'!A135</f>
        <v>46237.458333333016</v>
      </c>
      <c r="B135" s="4">
        <f>IF('WL &amp; Q'!I135="","",'WL &amp; Q'!I135)</f>
        <v>5.9</v>
      </c>
      <c r="C135" s="6">
        <f t="shared" si="2"/>
        <v>1696.246084750001</v>
      </c>
      <c r="D135" s="4">
        <f>IF('WL &amp; Q'!K135="","",'WL &amp; Q'!K135)</f>
        <v>65.8</v>
      </c>
      <c r="E135" s="8">
        <v>3</v>
      </c>
      <c r="F135" s="8">
        <v>4</v>
      </c>
      <c r="G135" s="8">
        <v>6</v>
      </c>
    </row>
    <row r="136" spans="1:7" x14ac:dyDescent="0.3">
      <c r="A136" s="1">
        <f>'WL &amp; Q'!A136</f>
        <v>46237.49999999968</v>
      </c>
      <c r="B136" s="4">
        <f>IF('WL &amp; Q'!I136="","",'WL &amp; Q'!I136)</f>
        <v>7.5</v>
      </c>
      <c r="C136" s="6">
        <f t="shared" si="2"/>
        <v>3356.14832475</v>
      </c>
      <c r="D136" s="4">
        <f>IF('WL &amp; Q'!K136="","",'WL &amp; Q'!K136)</f>
        <v>22.9</v>
      </c>
      <c r="E136" s="8">
        <v>3</v>
      </c>
      <c r="F136" s="8">
        <v>4</v>
      </c>
      <c r="G136" s="8">
        <v>6</v>
      </c>
    </row>
    <row r="137" spans="1:7" x14ac:dyDescent="0.3">
      <c r="A137" s="1">
        <f>'WL &amp; Q'!A137</f>
        <v>46237.541666666344</v>
      </c>
      <c r="B137" s="4">
        <f>IF('WL &amp; Q'!I137="","",'WL &amp; Q'!I137)</f>
        <v>7.18</v>
      </c>
      <c r="C137" s="6">
        <f t="shared" si="2"/>
        <v>2977.2318127500007</v>
      </c>
      <c r="D137" s="4">
        <f>IF('WL &amp; Q'!K137="","",'WL &amp; Q'!K137)</f>
        <v>8.6999999999999993</v>
      </c>
      <c r="E137" s="8">
        <v>3</v>
      </c>
      <c r="F137" s="8">
        <v>4</v>
      </c>
      <c r="G137" s="8">
        <v>6</v>
      </c>
    </row>
    <row r="138" spans="1:7" x14ac:dyDescent="0.3">
      <c r="A138" s="1">
        <f>'WL &amp; Q'!A138</f>
        <v>46237.583333333008</v>
      </c>
      <c r="B138" s="4">
        <f>IF('WL &amp; Q'!I138="","",'WL &amp; Q'!I138)</f>
        <v>6.71</v>
      </c>
      <c r="C138" s="6">
        <f t="shared" si="2"/>
        <v>2463.2454527500004</v>
      </c>
      <c r="D138" s="4">
        <f>IF('WL &amp; Q'!K138="","",'WL &amp; Q'!K138)</f>
        <v>4.9000000000000004</v>
      </c>
      <c r="E138" s="8">
        <v>3</v>
      </c>
      <c r="F138" s="8">
        <v>4</v>
      </c>
      <c r="G138" s="8">
        <v>6</v>
      </c>
    </row>
    <row r="139" spans="1:7" x14ac:dyDescent="0.3">
      <c r="A139" s="1">
        <f>'WL &amp; Q'!A139</f>
        <v>46237.624999999673</v>
      </c>
      <c r="B139" s="4">
        <f>IF('WL &amp; Q'!I139="","",'WL &amp; Q'!I139)</f>
        <v>5.33</v>
      </c>
      <c r="C139" s="6">
        <f t="shared" si="2"/>
        <v>1246.64228275</v>
      </c>
      <c r="D139" s="4">
        <f>IF('WL &amp; Q'!K139="","",'WL &amp; Q'!K139)</f>
        <v>1.5</v>
      </c>
      <c r="E139" s="8">
        <v>3</v>
      </c>
      <c r="F139" s="8">
        <v>4</v>
      </c>
      <c r="G139" s="8">
        <v>6</v>
      </c>
    </row>
    <row r="140" spans="1:7" x14ac:dyDescent="0.3">
      <c r="A140" s="1">
        <f>'WL &amp; Q'!A140</f>
        <v>46237.666666666337</v>
      </c>
      <c r="B140" s="4">
        <f>IF('WL &amp; Q'!I140="","",'WL &amp; Q'!I140)</f>
        <v>4.13</v>
      </c>
      <c r="C140" s="6">
        <f t="shared" si="2"/>
        <v>543.49712275000024</v>
      </c>
      <c r="D140" s="4">
        <f>IF('WL &amp; Q'!K140="","",'WL &amp; Q'!K140)</f>
        <v>0.5</v>
      </c>
      <c r="E140" s="8">
        <v>3</v>
      </c>
      <c r="F140" s="8">
        <v>4</v>
      </c>
      <c r="G140" s="8">
        <v>6</v>
      </c>
    </row>
    <row r="141" spans="1:7" x14ac:dyDescent="0.3">
      <c r="A141" s="1">
        <f>'WL &amp; Q'!A141</f>
        <v>46237.708333333001</v>
      </c>
      <c r="B141" s="4">
        <f>IF('WL &amp; Q'!I141="","",'WL &amp; Q'!I141)</f>
        <v>3.5</v>
      </c>
      <c r="C141" s="6">
        <f t="shared" si="2"/>
        <v>306.45672474999992</v>
      </c>
      <c r="D141" s="4">
        <f>IF('WL &amp; Q'!K141="","",'WL &amp; Q'!K141)</f>
        <v>0</v>
      </c>
      <c r="E141" s="8">
        <v>3</v>
      </c>
      <c r="F141" s="8">
        <v>4</v>
      </c>
      <c r="G141" s="8">
        <v>6</v>
      </c>
    </row>
    <row r="142" spans="1:7" x14ac:dyDescent="0.3">
      <c r="A142" s="1">
        <f>'WL &amp; Q'!A142</f>
        <v>46237.749999999665</v>
      </c>
      <c r="B142" s="4">
        <f>IF('WL &amp; Q'!I142="","",'WL &amp; Q'!I142)</f>
        <v>3.3</v>
      </c>
      <c r="C142" s="6">
        <f t="shared" si="2"/>
        <v>250.22774475000006</v>
      </c>
      <c r="D142" s="4">
        <f>IF('WL &amp; Q'!K142="","",'WL &amp; Q'!K142)</f>
        <v>0</v>
      </c>
      <c r="E142" s="8">
        <v>3</v>
      </c>
      <c r="F142" s="8">
        <v>4</v>
      </c>
      <c r="G142" s="8">
        <v>6</v>
      </c>
    </row>
    <row r="143" spans="1:7" x14ac:dyDescent="0.3">
      <c r="A143" s="1">
        <f>'WL &amp; Q'!A143</f>
        <v>46237.79166666633</v>
      </c>
      <c r="B143" s="4">
        <f>IF('WL &amp; Q'!I143="","",'WL &amp; Q'!I143)</f>
        <v>3.06</v>
      </c>
      <c r="C143" s="6">
        <f t="shared" si="2"/>
        <v>194.85367274999987</v>
      </c>
      <c r="D143" s="4">
        <f>IF('WL &amp; Q'!K143="","",'WL &amp; Q'!K143)</f>
        <v>0</v>
      </c>
      <c r="E143" s="8">
        <v>3</v>
      </c>
      <c r="F143" s="8">
        <v>4</v>
      </c>
      <c r="G143" s="8">
        <v>6</v>
      </c>
    </row>
    <row r="144" spans="1:7" x14ac:dyDescent="0.3">
      <c r="A144" s="1">
        <f>'WL &amp; Q'!A144</f>
        <v>46237.833333332994</v>
      </c>
      <c r="B144" s="4">
        <f>IF('WL &amp; Q'!I144="","",'WL &amp; Q'!I144)</f>
        <v>3.15</v>
      </c>
      <c r="C144" s="6">
        <f t="shared" si="2"/>
        <v>214.07198474999996</v>
      </c>
      <c r="D144" s="4">
        <f>IF('WL &amp; Q'!K144="","",'WL &amp; Q'!K144)</f>
        <v>0</v>
      </c>
      <c r="E144" s="8">
        <v>3</v>
      </c>
      <c r="F144" s="8">
        <v>4</v>
      </c>
      <c r="G144" s="8">
        <v>6</v>
      </c>
    </row>
    <row r="145" spans="1:7" x14ac:dyDescent="0.3">
      <c r="A145" s="1">
        <f>'WL &amp; Q'!A145</f>
        <v>46237.874999999658</v>
      </c>
      <c r="B145" s="4">
        <f>IF('WL &amp; Q'!I145="","",'WL &amp; Q'!I145)</f>
        <v>2.91</v>
      </c>
      <c r="C145" s="6">
        <f t="shared" si="2"/>
        <v>166.94839275000004</v>
      </c>
      <c r="D145" s="4">
        <f>IF('WL &amp; Q'!K145="","",'WL &amp; Q'!K145)</f>
        <v>0</v>
      </c>
      <c r="E145" s="8">
        <v>3</v>
      </c>
      <c r="F145" s="8">
        <v>4</v>
      </c>
      <c r="G145" s="8">
        <v>6</v>
      </c>
    </row>
    <row r="146" spans="1:7" x14ac:dyDescent="0.3">
      <c r="A146" s="1">
        <f>'WL &amp; Q'!A146</f>
        <v>46237.916666666322</v>
      </c>
      <c r="B146" s="4">
        <f>IF('WL &amp; Q'!I146="","",'WL &amp; Q'!I146)</f>
        <v>2.79</v>
      </c>
      <c r="C146" s="6">
        <f t="shared" si="2"/>
        <v>148.33688474999997</v>
      </c>
      <c r="D146" s="4">
        <f>IF('WL &amp; Q'!K146="","",'WL &amp; Q'!K146)</f>
        <v>0</v>
      </c>
      <c r="E146" s="8">
        <v>3</v>
      </c>
      <c r="F146" s="8">
        <v>4</v>
      </c>
      <c r="G146" s="8">
        <v>6</v>
      </c>
    </row>
    <row r="147" spans="1:7" x14ac:dyDescent="0.3">
      <c r="A147" s="1">
        <f>'WL &amp; Q'!A147</f>
        <v>46237.958333332987</v>
      </c>
      <c r="B147" s="4">
        <f>IF('WL &amp; Q'!I147="","",'WL &amp; Q'!I147)</f>
        <v>3.08</v>
      </c>
      <c r="C147" s="6">
        <f t="shared" si="2"/>
        <v>198.96398275000001</v>
      </c>
      <c r="D147" s="4">
        <f>IF('WL &amp; Q'!K147="","",'WL &amp; Q'!K147)</f>
        <v>0</v>
      </c>
      <c r="E147" s="8">
        <v>3</v>
      </c>
      <c r="F147" s="8">
        <v>4</v>
      </c>
      <c r="G147" s="8">
        <v>6</v>
      </c>
    </row>
    <row r="148" spans="1:7" x14ac:dyDescent="0.3">
      <c r="A148" s="1">
        <f>'WL &amp; Q'!A148</f>
        <v>46237.999999999651</v>
      </c>
      <c r="B148" s="4">
        <f>IF('WL &amp; Q'!I148="","",'WL &amp; Q'!I148)</f>
        <v>3.05</v>
      </c>
      <c r="C148" s="6">
        <f t="shared" si="2"/>
        <v>192.83289475000004</v>
      </c>
      <c r="D148" s="4">
        <f>IF('WL &amp; Q'!K148="","",'WL &amp; Q'!K148)</f>
        <v>0.9</v>
      </c>
      <c r="E148" s="8">
        <v>3</v>
      </c>
      <c r="F148" s="8">
        <v>4</v>
      </c>
      <c r="G148" s="8">
        <v>6</v>
      </c>
    </row>
    <row r="149" spans="1:7" x14ac:dyDescent="0.3">
      <c r="A149" s="1">
        <f>'WL &amp; Q'!A149</f>
        <v>46238.041666666315</v>
      </c>
      <c r="B149" s="4">
        <f>IF('WL &amp; Q'!I149="","",'WL &amp; Q'!I149)</f>
        <v>2.98</v>
      </c>
      <c r="C149" s="6">
        <f t="shared" si="2"/>
        <v>179.32915275000005</v>
      </c>
      <c r="D149" s="4">
        <f>IF('WL &amp; Q'!K149="","",'WL &amp; Q'!K149)</f>
        <v>0</v>
      </c>
      <c r="E149" s="8">
        <v>3</v>
      </c>
      <c r="F149" s="8">
        <v>4</v>
      </c>
      <c r="G149" s="8">
        <v>6</v>
      </c>
    </row>
    <row r="150" spans="1:7" x14ac:dyDescent="0.3">
      <c r="A150" s="1">
        <f>'WL &amp; Q'!A150</f>
        <v>46238.083333332979</v>
      </c>
      <c r="B150" s="4">
        <f>IF('WL &amp; Q'!I150="","",'WL &amp; Q'!I150)</f>
        <v>2.82</v>
      </c>
      <c r="C150" s="6">
        <f t="shared" si="2"/>
        <v>152.68036874999996</v>
      </c>
      <c r="D150" s="4">
        <f>IF('WL &amp; Q'!K150="","",'WL &amp; Q'!K150)</f>
        <v>0</v>
      </c>
      <c r="E150" s="8">
        <v>3</v>
      </c>
      <c r="F150" s="8">
        <v>4</v>
      </c>
      <c r="G150" s="8">
        <v>6</v>
      </c>
    </row>
    <row r="151" spans="1:7" x14ac:dyDescent="0.3">
      <c r="A151" s="1">
        <f>'WL &amp; Q'!A151</f>
        <v>46238.124999999643</v>
      </c>
      <c r="B151" s="4">
        <f>IF('WL &amp; Q'!I151="","",'WL &amp; Q'!I151)</f>
        <v>2.77</v>
      </c>
      <c r="C151" s="6">
        <f t="shared" si="2"/>
        <v>145.55581874999996</v>
      </c>
      <c r="D151" s="4">
        <f>IF('WL &amp; Q'!K151="","",'WL &amp; Q'!K151)</f>
        <v>0</v>
      </c>
      <c r="E151" s="8">
        <v>3</v>
      </c>
      <c r="F151" s="8">
        <v>4</v>
      </c>
      <c r="G151" s="8">
        <v>6</v>
      </c>
    </row>
    <row r="152" spans="1:7" x14ac:dyDescent="0.3">
      <c r="A152" s="1">
        <f>'WL &amp; Q'!A152</f>
        <v>46238.166666666308</v>
      </c>
      <c r="B152" s="4">
        <f>IF('WL &amp; Q'!I152="","",'WL &amp; Q'!I152)</f>
        <v>2.75</v>
      </c>
      <c r="C152" s="6">
        <f t="shared" si="2"/>
        <v>142.86642475000008</v>
      </c>
      <c r="D152" s="4">
        <f>IF('WL &amp; Q'!K152="","",'WL &amp; Q'!K152)</f>
        <v>0</v>
      </c>
      <c r="E152" s="8">
        <v>3</v>
      </c>
      <c r="F152" s="8">
        <v>4</v>
      </c>
      <c r="G152" s="8">
        <v>6</v>
      </c>
    </row>
    <row r="153" spans="1:7" x14ac:dyDescent="0.3">
      <c r="A153" s="1">
        <f>'WL &amp; Q'!A153</f>
        <v>46238.208333332972</v>
      </c>
      <c r="B153" s="4">
        <f>IF('WL &amp; Q'!I153="","",'WL &amp; Q'!I153)</f>
        <v>2.75</v>
      </c>
      <c r="C153" s="6">
        <f t="shared" si="2"/>
        <v>142.86642475000008</v>
      </c>
      <c r="D153" s="4">
        <f>IF('WL &amp; Q'!K153="","",'WL &amp; Q'!K153)</f>
        <v>10.7</v>
      </c>
      <c r="E153" s="8">
        <v>3</v>
      </c>
      <c r="F153" s="8">
        <v>4</v>
      </c>
      <c r="G153" s="8">
        <v>6</v>
      </c>
    </row>
    <row r="154" spans="1:7" x14ac:dyDescent="0.3">
      <c r="A154" s="1">
        <f>'WL &amp; Q'!A154</f>
        <v>46238.249999999636</v>
      </c>
      <c r="B154" s="4">
        <f>IF('WL &amp; Q'!I154="","",'WL &amp; Q'!I154)</f>
        <v>2.83</v>
      </c>
      <c r="C154" s="6">
        <f t="shared" si="2"/>
        <v>154.17403275000004</v>
      </c>
      <c r="D154" s="4">
        <f>IF('WL &amp; Q'!K154="","",'WL &amp; Q'!K154)</f>
        <v>0</v>
      </c>
      <c r="E154" s="8">
        <v>3</v>
      </c>
      <c r="F154" s="8">
        <v>4</v>
      </c>
      <c r="G154" s="8">
        <v>6</v>
      </c>
    </row>
    <row r="155" spans="1:7" x14ac:dyDescent="0.3">
      <c r="A155" s="1">
        <f>'WL &amp; Q'!A155</f>
        <v>46238.2916666663</v>
      </c>
      <c r="B155" s="4">
        <f>IF('WL &amp; Q'!I155="","",'WL &amp; Q'!I155)</f>
        <v>2.88</v>
      </c>
      <c r="C155" s="6">
        <f t="shared" si="2"/>
        <v>161.98612275000005</v>
      </c>
      <c r="D155" s="4">
        <f>IF('WL &amp; Q'!K155="","",'WL &amp; Q'!K155)</f>
        <v>1.5</v>
      </c>
      <c r="E155" s="8">
        <v>3</v>
      </c>
      <c r="F155" s="8">
        <v>4</v>
      </c>
      <c r="G155" s="8">
        <v>6</v>
      </c>
    </row>
    <row r="156" spans="1:7" x14ac:dyDescent="0.3">
      <c r="A156" s="1">
        <f>'WL &amp; Q'!A156</f>
        <v>46238.333333332965</v>
      </c>
      <c r="B156" s="4">
        <f>IF('WL &amp; Q'!I156="","",'WL &amp; Q'!I156)</f>
        <v>2.88</v>
      </c>
      <c r="C156" s="6">
        <f t="shared" si="2"/>
        <v>161.98612275000005</v>
      </c>
      <c r="D156" s="4">
        <f>IF('WL &amp; Q'!K156="","",'WL &amp; Q'!K156)</f>
        <v>0</v>
      </c>
      <c r="E156" s="8">
        <v>3</v>
      </c>
      <c r="F156" s="8">
        <v>4</v>
      </c>
      <c r="G156" s="8">
        <v>6</v>
      </c>
    </row>
    <row r="157" spans="1:7" x14ac:dyDescent="0.3">
      <c r="A157" s="1">
        <f>'WL &amp; Q'!A157</f>
        <v>46238.374999999629</v>
      </c>
      <c r="B157" s="4">
        <f>IF('WL &amp; Q'!I157="","",'WL &amp; Q'!I157)</f>
        <v>2.98</v>
      </c>
      <c r="C157" s="6">
        <f t="shared" si="2"/>
        <v>179.32915275000005</v>
      </c>
      <c r="D157" s="4">
        <f>IF('WL &amp; Q'!K157="","",'WL &amp; Q'!K157)</f>
        <v>0</v>
      </c>
      <c r="E157" s="8">
        <v>3</v>
      </c>
      <c r="F157" s="8">
        <v>4</v>
      </c>
      <c r="G157" s="8">
        <v>6</v>
      </c>
    </row>
    <row r="158" spans="1:7" x14ac:dyDescent="0.3">
      <c r="A158" s="1">
        <f>'WL &amp; Q'!A158</f>
        <v>46238.416666666293</v>
      </c>
      <c r="B158" s="4">
        <f>IF('WL &amp; Q'!I158="","",'WL &amp; Q'!I158)</f>
        <v>2.98</v>
      </c>
      <c r="C158" s="6">
        <f t="shared" si="2"/>
        <v>179.32915275000005</v>
      </c>
      <c r="D158" s="4">
        <f>IF('WL &amp; Q'!K158="","",'WL &amp; Q'!K158)</f>
        <v>0</v>
      </c>
      <c r="E158" s="8">
        <v>3</v>
      </c>
      <c r="F158" s="8">
        <v>4</v>
      </c>
      <c r="G158" s="8">
        <v>6</v>
      </c>
    </row>
    <row r="159" spans="1:7" x14ac:dyDescent="0.3">
      <c r="A159" s="1">
        <f>'WL &amp; Q'!A159</f>
        <v>46238.458333332957</v>
      </c>
      <c r="B159" s="4">
        <f>IF('WL &amp; Q'!I159="","",'WL &amp; Q'!I159)</f>
        <v>2.5499999999999998</v>
      </c>
      <c r="C159" s="6">
        <f t="shared" si="2"/>
        <v>121.01444475000005</v>
      </c>
      <c r="D159" s="4">
        <f>IF('WL &amp; Q'!K159="","",'WL &amp; Q'!K159)</f>
        <v>0.5</v>
      </c>
      <c r="E159" s="8">
        <v>3</v>
      </c>
      <c r="F159" s="8">
        <v>4</v>
      </c>
      <c r="G159" s="8">
        <v>6</v>
      </c>
    </row>
    <row r="160" spans="1:7" x14ac:dyDescent="0.3">
      <c r="A160" s="1">
        <f>'WL &amp; Q'!A160</f>
        <v>46238.499999999622</v>
      </c>
      <c r="B160" s="4">
        <f>IF('WL &amp; Q'!I160="","",'WL &amp; Q'!I160)</f>
        <v>2.92</v>
      </c>
      <c r="C160" s="6">
        <f t="shared" si="2"/>
        <v>168.64831874999993</v>
      </c>
      <c r="D160" s="4">
        <f>IF('WL &amp; Q'!K160="","",'WL &amp; Q'!K160)</f>
        <v>5</v>
      </c>
      <c r="E160" s="8">
        <v>3</v>
      </c>
      <c r="F160" s="8">
        <v>4</v>
      </c>
      <c r="G160" s="8">
        <v>6</v>
      </c>
    </row>
    <row r="161" spans="1:7" x14ac:dyDescent="0.3">
      <c r="A161" s="1">
        <f>'WL &amp; Q'!A161</f>
        <v>46238.541666666286</v>
      </c>
      <c r="B161" s="4" t="str">
        <f>IF('WL &amp; Q'!I161="","",'WL &amp; Q'!I161)</f>
        <v/>
      </c>
      <c r="C161" s="6" t="str">
        <f t="shared" si="2"/>
        <v/>
      </c>
      <c r="D161" s="4" t="str">
        <f>IF('WL &amp; Q'!K161="","",'WL &amp; Q'!K161)</f>
        <v/>
      </c>
      <c r="E161" s="8">
        <v>3</v>
      </c>
      <c r="F161" s="8">
        <v>4</v>
      </c>
      <c r="G161" s="8">
        <v>6</v>
      </c>
    </row>
    <row r="162" spans="1:7" x14ac:dyDescent="0.3">
      <c r="A162" s="1">
        <f>'WL &amp; Q'!A162</f>
        <v>46238.58333333295</v>
      </c>
      <c r="B162" s="4" t="str">
        <f>IF('WL &amp; Q'!I162="","",'WL &amp; Q'!I162)</f>
        <v/>
      </c>
      <c r="C162" s="6" t="str">
        <f t="shared" si="2"/>
        <v/>
      </c>
      <c r="D162" s="4" t="str">
        <f>IF('WL &amp; Q'!K162="","",'WL &amp; Q'!K162)</f>
        <v/>
      </c>
      <c r="E162" s="8">
        <v>3</v>
      </c>
      <c r="F162" s="8">
        <v>4</v>
      </c>
      <c r="G162" s="8">
        <v>6</v>
      </c>
    </row>
    <row r="163" spans="1:7" x14ac:dyDescent="0.3">
      <c r="A163" s="1">
        <f>'WL &amp; Q'!A163</f>
        <v>46238.624999999614</v>
      </c>
      <c r="B163" s="4" t="str">
        <f>IF('WL &amp; Q'!I163="","",'WL &amp; Q'!I163)</f>
        <v/>
      </c>
      <c r="C163" s="6" t="str">
        <f t="shared" si="2"/>
        <v/>
      </c>
      <c r="D163" s="4" t="str">
        <f>IF('WL &amp; Q'!K163="","",'WL &amp; Q'!K163)</f>
        <v/>
      </c>
      <c r="E163" s="8">
        <v>3</v>
      </c>
      <c r="F163" s="8">
        <v>4</v>
      </c>
      <c r="G163" s="8">
        <v>6</v>
      </c>
    </row>
    <row r="164" spans="1:7" x14ac:dyDescent="0.3">
      <c r="A164" s="1">
        <f>'WL &amp; Q'!A164</f>
        <v>46238.666666666279</v>
      </c>
      <c r="B164" s="4" t="str">
        <f>IF('WL &amp; Q'!I164="","",'WL &amp; Q'!I164)</f>
        <v/>
      </c>
      <c r="C164" s="6" t="str">
        <f t="shared" si="2"/>
        <v/>
      </c>
      <c r="D164" s="4" t="str">
        <f>IF('WL &amp; Q'!K164="","",'WL &amp; Q'!K164)</f>
        <v/>
      </c>
      <c r="E164" s="8">
        <v>3</v>
      </c>
      <c r="F164" s="8">
        <v>4</v>
      </c>
      <c r="G164" s="8">
        <v>6</v>
      </c>
    </row>
    <row r="165" spans="1:7" x14ac:dyDescent="0.3">
      <c r="A165" s="1">
        <f>'WL &amp; Q'!A165</f>
        <v>46238.708333332943</v>
      </c>
      <c r="B165" s="4" t="str">
        <f>IF('WL &amp; Q'!I165="","",'WL &amp; Q'!I165)</f>
        <v/>
      </c>
      <c r="C165" s="6" t="str">
        <f t="shared" si="2"/>
        <v/>
      </c>
      <c r="D165" s="4" t="str">
        <f>IF('WL &amp; Q'!K165="","",'WL &amp; Q'!K165)</f>
        <v/>
      </c>
      <c r="E165" s="8">
        <v>3</v>
      </c>
      <c r="F165" s="8">
        <v>4</v>
      </c>
      <c r="G165" s="8">
        <v>6</v>
      </c>
    </row>
    <row r="166" spans="1:7" x14ac:dyDescent="0.3">
      <c r="A166" s="1">
        <f>'WL &amp; Q'!A166</f>
        <v>46238.749999999607</v>
      </c>
      <c r="B166" s="4" t="str">
        <f>IF('WL &amp; Q'!I166="","",'WL &amp; Q'!I166)</f>
        <v/>
      </c>
      <c r="C166" s="6" t="str">
        <f t="shared" si="2"/>
        <v/>
      </c>
      <c r="D166" s="4" t="str">
        <f>IF('WL &amp; Q'!K166="","",'WL &amp; Q'!K166)</f>
        <v/>
      </c>
      <c r="E166" s="8">
        <v>3</v>
      </c>
      <c r="F166" s="8">
        <v>4</v>
      </c>
      <c r="G166" s="8">
        <v>6</v>
      </c>
    </row>
    <row r="167" spans="1:7" x14ac:dyDescent="0.3">
      <c r="A167" s="1">
        <f>'WL &amp; Q'!A167</f>
        <v>46238.791666666271</v>
      </c>
      <c r="B167" s="4" t="str">
        <f>IF('WL &amp; Q'!I167="","",'WL &amp; Q'!I167)</f>
        <v/>
      </c>
      <c r="C167" s="6" t="str">
        <f t="shared" si="2"/>
        <v/>
      </c>
      <c r="D167" s="4" t="str">
        <f>IF('WL &amp; Q'!K167="","",'WL &amp; Q'!K167)</f>
        <v/>
      </c>
      <c r="E167" s="8">
        <v>3</v>
      </c>
      <c r="F167" s="8">
        <v>4</v>
      </c>
      <c r="G167" s="8">
        <v>6</v>
      </c>
    </row>
    <row r="168" spans="1:7" x14ac:dyDescent="0.3">
      <c r="A168" s="1">
        <f>'WL &amp; Q'!A168</f>
        <v>46238.833333332936</v>
      </c>
      <c r="B168" s="4" t="str">
        <f>IF('WL &amp; Q'!I168="","",'WL &amp; Q'!I168)</f>
        <v/>
      </c>
      <c r="C168" s="6" t="str">
        <f t="shared" si="2"/>
        <v/>
      </c>
      <c r="D168" s="4" t="str">
        <f>IF('WL &amp; Q'!K168="","",'WL &amp; Q'!K168)</f>
        <v/>
      </c>
      <c r="E168" s="8">
        <v>3</v>
      </c>
      <c r="F168" s="8">
        <v>4</v>
      </c>
      <c r="G168" s="8">
        <v>6</v>
      </c>
    </row>
    <row r="169" spans="1:7" x14ac:dyDescent="0.3">
      <c r="A169" s="1">
        <f>'WL &amp; Q'!A169</f>
        <v>46238.8749999996</v>
      </c>
      <c r="B169" s="4" t="str">
        <f>IF('WL &amp; Q'!I169="","",'WL &amp; Q'!I169)</f>
        <v/>
      </c>
      <c r="C169" s="6" t="str">
        <f t="shared" si="2"/>
        <v/>
      </c>
      <c r="D169" s="4" t="str">
        <f>IF('WL &amp; Q'!K169="","",'WL &amp; Q'!K169)</f>
        <v/>
      </c>
      <c r="E169" s="8">
        <v>3</v>
      </c>
      <c r="F169" s="8">
        <v>4</v>
      </c>
      <c r="G169" s="8">
        <v>6</v>
      </c>
    </row>
    <row r="170" spans="1:7" x14ac:dyDescent="0.3">
      <c r="A170" s="1">
        <f>'WL &amp; Q'!A170</f>
        <v>46238.916666666264</v>
      </c>
      <c r="B170" s="4" t="str">
        <f>IF('WL &amp; Q'!I170="","",'WL &amp; Q'!I170)</f>
        <v/>
      </c>
      <c r="C170" s="6" t="str">
        <f t="shared" si="2"/>
        <v/>
      </c>
      <c r="D170" s="4" t="str">
        <f>IF('WL &amp; Q'!K170="","",'WL &amp; Q'!K170)</f>
        <v/>
      </c>
      <c r="E170" s="8">
        <v>3</v>
      </c>
      <c r="F170" s="8">
        <v>4</v>
      </c>
      <c r="G170" s="8">
        <v>6</v>
      </c>
    </row>
    <row r="171" spans="1:7" x14ac:dyDescent="0.3">
      <c r="A171" s="1">
        <f>'WL &amp; Q'!A171</f>
        <v>46238.958333332928</v>
      </c>
      <c r="B171" s="4" t="str">
        <f>IF('WL &amp; Q'!I171="","",'WL &amp; Q'!I171)</f>
        <v/>
      </c>
      <c r="C171" s="6" t="str">
        <f t="shared" si="2"/>
        <v/>
      </c>
      <c r="D171" s="4" t="str">
        <f>IF('WL &amp; Q'!K171="","",'WL &amp; Q'!K171)</f>
        <v/>
      </c>
      <c r="E171" s="8">
        <v>3</v>
      </c>
      <c r="F171" s="8">
        <v>4</v>
      </c>
      <c r="G171" s="8">
        <v>6</v>
      </c>
    </row>
    <row r="172" spans="1:7" x14ac:dyDescent="0.3">
      <c r="A172" s="1">
        <f>'WL &amp; Q'!A172</f>
        <v>46238.999999999593</v>
      </c>
      <c r="B172" s="4" t="str">
        <f>IF('WL &amp; Q'!I172="","",'WL &amp; Q'!I172)</f>
        <v/>
      </c>
      <c r="C172" s="6" t="str">
        <f t="shared" si="2"/>
        <v/>
      </c>
      <c r="D172" s="4" t="str">
        <f>IF('WL &amp; Q'!K172="","",'WL &amp; Q'!K172)</f>
        <v/>
      </c>
      <c r="E172" s="8">
        <v>3</v>
      </c>
      <c r="F172" s="8">
        <v>4</v>
      </c>
      <c r="G172" s="8">
        <v>6</v>
      </c>
    </row>
    <row r="173" spans="1:7" x14ac:dyDescent="0.3">
      <c r="A173" s="1">
        <f>'WL &amp; Q'!A173</f>
        <v>46239.041666666257</v>
      </c>
      <c r="B173" s="4" t="str">
        <f>IF('WL &amp; Q'!I173="","",'WL &amp; Q'!I173)</f>
        <v/>
      </c>
      <c r="C173" s="6" t="str">
        <f t="shared" si="2"/>
        <v/>
      </c>
      <c r="D173" s="4" t="str">
        <f>IF('WL &amp; Q'!K173="","",'WL &amp; Q'!K173)</f>
        <v/>
      </c>
      <c r="E173" s="8">
        <v>3</v>
      </c>
      <c r="F173" s="8">
        <v>4</v>
      </c>
      <c r="G173" s="8">
        <v>6</v>
      </c>
    </row>
    <row r="174" spans="1:7" x14ac:dyDescent="0.3">
      <c r="A174" s="1">
        <f>'WL &amp; Q'!A174</f>
        <v>46239.083333332921</v>
      </c>
      <c r="B174" s="4" t="str">
        <f>IF('WL &amp; Q'!I174="","",'WL &amp; Q'!I174)</f>
        <v/>
      </c>
      <c r="C174" s="6" t="str">
        <f t="shared" si="2"/>
        <v/>
      </c>
      <c r="D174" s="4" t="str">
        <f>IF('WL &amp; Q'!K174="","",'WL &amp; Q'!K174)</f>
        <v/>
      </c>
      <c r="E174" s="8">
        <v>3</v>
      </c>
      <c r="F174" s="8">
        <v>4</v>
      </c>
      <c r="G174" s="8">
        <v>6</v>
      </c>
    </row>
    <row r="175" spans="1:7" x14ac:dyDescent="0.3">
      <c r="A175" s="1">
        <f>'WL &amp; Q'!A175</f>
        <v>46239.124999999585</v>
      </c>
      <c r="B175" s="4" t="str">
        <f>IF('WL &amp; Q'!I175="","",'WL &amp; Q'!I175)</f>
        <v/>
      </c>
      <c r="C175" s="6" t="str">
        <f t="shared" si="2"/>
        <v/>
      </c>
      <c r="D175" s="4" t="str">
        <f>IF('WL &amp; Q'!K175="","",'WL &amp; Q'!K175)</f>
        <v/>
      </c>
      <c r="E175" s="8">
        <v>3</v>
      </c>
      <c r="F175" s="8">
        <v>4</v>
      </c>
      <c r="G175" s="8">
        <v>6</v>
      </c>
    </row>
    <row r="176" spans="1:7" x14ac:dyDescent="0.3">
      <c r="A176" s="1">
        <f>'WL &amp; Q'!A176</f>
        <v>46239.16666666625</v>
      </c>
      <c r="B176" s="4" t="str">
        <f>IF('WL &amp; Q'!I176="","",'WL &amp; Q'!I176)</f>
        <v/>
      </c>
      <c r="C176" s="6" t="str">
        <f t="shared" si="2"/>
        <v/>
      </c>
      <c r="D176" s="4" t="str">
        <f>IF('WL &amp; Q'!K176="","",'WL &amp; Q'!K176)</f>
        <v/>
      </c>
      <c r="E176" s="8">
        <v>3</v>
      </c>
      <c r="F176" s="8">
        <v>4</v>
      </c>
      <c r="G176" s="8">
        <v>6</v>
      </c>
    </row>
    <row r="177" spans="1:7" x14ac:dyDescent="0.3">
      <c r="A177" s="1">
        <f>'WL &amp; Q'!A177</f>
        <v>46239.208333332914</v>
      </c>
      <c r="B177" s="4" t="str">
        <f>IF('WL &amp; Q'!I177="","",'WL &amp; Q'!I177)</f>
        <v/>
      </c>
      <c r="C177" s="6" t="str">
        <f t="shared" si="2"/>
        <v/>
      </c>
      <c r="D177" s="4" t="str">
        <f>IF('WL &amp; Q'!K177="","",'WL &amp; Q'!K177)</f>
        <v/>
      </c>
      <c r="E177" s="8">
        <v>3</v>
      </c>
      <c r="F177" s="8">
        <v>4</v>
      </c>
      <c r="G177" s="8">
        <v>6</v>
      </c>
    </row>
    <row r="178" spans="1:7" x14ac:dyDescent="0.3">
      <c r="A178" s="1">
        <f>'WL &amp; Q'!A178</f>
        <v>46239.249999999578</v>
      </c>
      <c r="B178" s="4" t="str">
        <f>IF('WL &amp; Q'!I178="","",'WL &amp; Q'!I178)</f>
        <v/>
      </c>
      <c r="C178" s="6" t="str">
        <f t="shared" si="2"/>
        <v/>
      </c>
      <c r="D178" s="4" t="str">
        <f>IF('WL &amp; Q'!K178="","",'WL &amp; Q'!K178)</f>
        <v/>
      </c>
      <c r="E178" s="8">
        <v>3</v>
      </c>
      <c r="F178" s="8">
        <v>4</v>
      </c>
      <c r="G178" s="8">
        <v>6</v>
      </c>
    </row>
    <row r="179" spans="1:7" x14ac:dyDescent="0.3">
      <c r="A179" s="1">
        <f>'WL &amp; Q'!A179</f>
        <v>46239.291666666242</v>
      </c>
      <c r="B179" s="4" t="str">
        <f>IF('WL &amp; Q'!I179="","",'WL &amp; Q'!I179)</f>
        <v/>
      </c>
      <c r="C179" s="6" t="str">
        <f t="shared" si="2"/>
        <v/>
      </c>
      <c r="D179" s="4" t="str">
        <f>IF('WL &amp; Q'!K179="","",'WL &amp; Q'!K179)</f>
        <v/>
      </c>
      <c r="E179" s="8">
        <v>3</v>
      </c>
      <c r="F179" s="8">
        <v>4</v>
      </c>
      <c r="G179" s="8">
        <v>6</v>
      </c>
    </row>
    <row r="180" spans="1:7" x14ac:dyDescent="0.3">
      <c r="A180" s="1">
        <f>'WL &amp; Q'!A180</f>
        <v>46239.333333332906</v>
      </c>
      <c r="B180" s="4" t="str">
        <f>IF('WL &amp; Q'!I180="","",'WL &amp; Q'!I180)</f>
        <v/>
      </c>
      <c r="C180" s="6" t="str">
        <f t="shared" si="2"/>
        <v/>
      </c>
      <c r="D180" s="4" t="str">
        <f>IF('WL &amp; Q'!K180="","",'WL &amp; Q'!K180)</f>
        <v/>
      </c>
      <c r="E180" s="8">
        <v>3</v>
      </c>
      <c r="F180" s="8">
        <v>4</v>
      </c>
      <c r="G180" s="8">
        <v>6</v>
      </c>
    </row>
    <row r="181" spans="1:7" x14ac:dyDescent="0.3">
      <c r="A181" s="1">
        <f>'WL &amp; Q'!A181</f>
        <v>46239.374999999571</v>
      </c>
      <c r="B181" s="4" t="str">
        <f>IF('WL &amp; Q'!I181="","",'WL &amp; Q'!I181)</f>
        <v/>
      </c>
      <c r="C181" s="6" t="str">
        <f t="shared" si="2"/>
        <v/>
      </c>
      <c r="D181" s="4" t="str">
        <f>IF('WL &amp; Q'!K181="","",'WL &amp; Q'!K181)</f>
        <v/>
      </c>
      <c r="E181" s="8">
        <v>3</v>
      </c>
      <c r="F181" s="8">
        <v>4</v>
      </c>
      <c r="G181" s="8">
        <v>6</v>
      </c>
    </row>
    <row r="182" spans="1:7" x14ac:dyDescent="0.3">
      <c r="A182" s="1">
        <f>'WL &amp; Q'!A182</f>
        <v>46239.416666666235</v>
      </c>
      <c r="B182" s="4" t="str">
        <f>IF('WL &amp; Q'!I182="","",'WL &amp; Q'!I182)</f>
        <v/>
      </c>
      <c r="C182" s="6" t="str">
        <f t="shared" si="2"/>
        <v/>
      </c>
      <c r="D182" s="4" t="str">
        <f>IF('WL &amp; Q'!K182="","",'WL &amp; Q'!K182)</f>
        <v/>
      </c>
      <c r="E182" s="8">
        <v>3</v>
      </c>
      <c r="F182" s="8">
        <v>4</v>
      </c>
      <c r="G182" s="8">
        <v>6</v>
      </c>
    </row>
    <row r="183" spans="1:7" x14ac:dyDescent="0.3">
      <c r="A183" s="1">
        <f>'WL &amp; Q'!A183</f>
        <v>46239.458333332899</v>
      </c>
      <c r="B183" s="4" t="str">
        <f>IF('WL &amp; Q'!I183="","",'WL &amp; Q'!I183)</f>
        <v/>
      </c>
      <c r="C183" s="6" t="str">
        <f t="shared" si="2"/>
        <v/>
      </c>
      <c r="D183" s="4" t="str">
        <f>IF('WL &amp; Q'!K183="","",'WL &amp; Q'!K183)</f>
        <v/>
      </c>
      <c r="E183" s="8">
        <v>3</v>
      </c>
      <c r="F183" s="8">
        <v>4</v>
      </c>
      <c r="G183" s="8">
        <v>6</v>
      </c>
    </row>
    <row r="184" spans="1:7" x14ac:dyDescent="0.3">
      <c r="A184" s="1">
        <f>'WL &amp; Q'!A184</f>
        <v>46239.499999999563</v>
      </c>
      <c r="B184" s="4" t="str">
        <f>IF('WL &amp; Q'!I184="","",'WL &amp; Q'!I184)</f>
        <v/>
      </c>
      <c r="C184" s="6" t="str">
        <f t="shared" si="2"/>
        <v/>
      </c>
      <c r="D184" s="4" t="str">
        <f>IF('WL &amp; Q'!K184="","",'WL &amp; Q'!K184)</f>
        <v/>
      </c>
      <c r="E184" s="8">
        <v>3</v>
      </c>
      <c r="F184" s="8">
        <v>4</v>
      </c>
      <c r="G184" s="8">
        <v>6</v>
      </c>
    </row>
    <row r="185" spans="1:7" x14ac:dyDescent="0.3">
      <c r="A185" s="1">
        <f>'WL &amp; Q'!A185</f>
        <v>46239.541666666228</v>
      </c>
      <c r="B185" s="4" t="str">
        <f>IF('WL &amp; Q'!I185="","",'WL &amp; Q'!I185)</f>
        <v/>
      </c>
      <c r="C185" s="6" t="str">
        <f t="shared" si="2"/>
        <v/>
      </c>
      <c r="D185" s="4" t="str">
        <f>IF('WL &amp; Q'!K185="","",'WL &amp; Q'!K185)</f>
        <v/>
      </c>
      <c r="E185" s="8">
        <v>3</v>
      </c>
      <c r="F185" s="8">
        <v>4</v>
      </c>
      <c r="G185" s="8">
        <v>6</v>
      </c>
    </row>
    <row r="186" spans="1:7" x14ac:dyDescent="0.3">
      <c r="A186" s="1">
        <f>'WL &amp; Q'!A186</f>
        <v>46239.583333332892</v>
      </c>
      <c r="B186" s="4" t="str">
        <f>IF('WL &amp; Q'!I186="","",'WL &amp; Q'!I186)</f>
        <v/>
      </c>
      <c r="C186" s="6" t="str">
        <f t="shared" si="2"/>
        <v/>
      </c>
      <c r="D186" s="4" t="str">
        <f>IF('WL &amp; Q'!K186="","",'WL &amp; Q'!K186)</f>
        <v/>
      </c>
      <c r="E186" s="8">
        <v>3</v>
      </c>
      <c r="F186" s="8">
        <v>4</v>
      </c>
      <c r="G186" s="8">
        <v>6</v>
      </c>
    </row>
    <row r="187" spans="1:7" x14ac:dyDescent="0.3">
      <c r="A187" s="1">
        <f>'WL &amp; Q'!A187</f>
        <v>46239.624999999556</v>
      </c>
      <c r="B187" s="4" t="str">
        <f>IF('WL &amp; Q'!I187="","",'WL &amp; Q'!I187)</f>
        <v/>
      </c>
      <c r="C187" s="6" t="str">
        <f t="shared" si="2"/>
        <v/>
      </c>
      <c r="D187" s="4" t="str">
        <f>IF('WL &amp; Q'!K187="","",'WL &amp; Q'!K187)</f>
        <v/>
      </c>
      <c r="E187" s="8">
        <v>3</v>
      </c>
      <c r="F187" s="8">
        <v>4</v>
      </c>
      <c r="G187" s="8">
        <v>6</v>
      </c>
    </row>
    <row r="188" spans="1:7" x14ac:dyDescent="0.3">
      <c r="A188" s="1">
        <f>'WL &amp; Q'!A188</f>
        <v>46239.66666666622</v>
      </c>
      <c r="B188" s="4" t="str">
        <f>IF('WL &amp; Q'!I188="","",'WL &amp; Q'!I188)</f>
        <v/>
      </c>
      <c r="C188" s="6" t="str">
        <f t="shared" si="2"/>
        <v/>
      </c>
      <c r="D188" s="4" t="str">
        <f>IF('WL &amp; Q'!K188="","",'WL &amp; Q'!K188)</f>
        <v/>
      </c>
      <c r="E188" s="8">
        <v>3</v>
      </c>
      <c r="F188" s="8">
        <v>4</v>
      </c>
      <c r="G188" s="8">
        <v>6</v>
      </c>
    </row>
    <row r="189" spans="1:7" x14ac:dyDescent="0.3">
      <c r="A189" s="1">
        <f>'WL &amp; Q'!A189</f>
        <v>46239.708333332885</v>
      </c>
      <c r="B189" s="4" t="str">
        <f>IF('WL &amp; Q'!I189="","",'WL &amp; Q'!I189)</f>
        <v/>
      </c>
      <c r="C189" s="6" t="str">
        <f t="shared" si="2"/>
        <v/>
      </c>
      <c r="D189" s="4" t="str">
        <f>IF('WL &amp; Q'!K189="","",'WL &amp; Q'!K189)</f>
        <v/>
      </c>
      <c r="E189" s="8">
        <v>3</v>
      </c>
      <c r="F189" s="8">
        <v>4</v>
      </c>
      <c r="G189" s="8">
        <v>6</v>
      </c>
    </row>
    <row r="190" spans="1:7" x14ac:dyDescent="0.3">
      <c r="A190" s="1">
        <f>'WL &amp; Q'!A190</f>
        <v>46239.749999999549</v>
      </c>
      <c r="B190" s="4" t="str">
        <f>IF('WL &amp; Q'!I190="","",'WL &amp; Q'!I190)</f>
        <v/>
      </c>
      <c r="C190" s="6" t="str">
        <f t="shared" si="2"/>
        <v/>
      </c>
      <c r="D190" s="4" t="str">
        <f>IF('WL &amp; Q'!K190="","",'WL &amp; Q'!K190)</f>
        <v/>
      </c>
      <c r="E190" s="8">
        <v>3</v>
      </c>
      <c r="F190" s="8">
        <v>4</v>
      </c>
      <c r="G190" s="8">
        <v>6</v>
      </c>
    </row>
    <row r="191" spans="1:7" x14ac:dyDescent="0.3">
      <c r="A191" s="1">
        <f>'WL &amp; Q'!A191</f>
        <v>46239.791666666213</v>
      </c>
      <c r="B191" s="4" t="str">
        <f>IF('WL &amp; Q'!I191="","",'WL &amp; Q'!I191)</f>
        <v/>
      </c>
      <c r="C191" s="6" t="str">
        <f t="shared" si="2"/>
        <v/>
      </c>
      <c r="D191" s="4" t="str">
        <f>IF('WL &amp; Q'!K191="","",'WL &amp; Q'!K191)</f>
        <v/>
      </c>
      <c r="E191" s="8">
        <v>3</v>
      </c>
      <c r="F191" s="8">
        <v>4</v>
      </c>
      <c r="G191" s="8">
        <v>6</v>
      </c>
    </row>
    <row r="192" spans="1:7" x14ac:dyDescent="0.3">
      <c r="A192" s="1">
        <f>'WL &amp; Q'!A192</f>
        <v>46239.833333332877</v>
      </c>
      <c r="B192" s="4" t="str">
        <f>IF('WL &amp; Q'!I192="","",'WL &amp; Q'!I192)</f>
        <v/>
      </c>
      <c r="C192" s="6" t="str">
        <f t="shared" si="2"/>
        <v/>
      </c>
      <c r="D192" s="4" t="str">
        <f>IF('WL &amp; Q'!K192="","",'WL &amp; Q'!K192)</f>
        <v/>
      </c>
      <c r="E192" s="8">
        <v>3</v>
      </c>
      <c r="F192" s="8">
        <v>4</v>
      </c>
      <c r="G192" s="8">
        <v>6</v>
      </c>
    </row>
    <row r="193" spans="1:7" x14ac:dyDescent="0.3">
      <c r="A193" s="1">
        <f>'WL &amp; Q'!A193</f>
        <v>46239.874999999542</v>
      </c>
      <c r="B193" s="4" t="str">
        <f>IF('WL &amp; Q'!I193="","",'WL &amp; Q'!I193)</f>
        <v/>
      </c>
      <c r="C193" s="6" t="str">
        <f t="shared" si="2"/>
        <v/>
      </c>
      <c r="D193" s="4" t="str">
        <f>IF('WL &amp; Q'!K193="","",'WL &amp; Q'!K193)</f>
        <v/>
      </c>
      <c r="E193" s="8">
        <v>3</v>
      </c>
      <c r="F193" s="8">
        <v>4</v>
      </c>
      <c r="G193" s="8">
        <v>6</v>
      </c>
    </row>
    <row r="194" spans="1:7" x14ac:dyDescent="0.3">
      <c r="A194" s="1">
        <f>'WL &amp; Q'!A194</f>
        <v>46239.916666666206</v>
      </c>
      <c r="B194" s="4" t="str">
        <f>IF('WL &amp; Q'!I194="","",'WL &amp; Q'!I194)</f>
        <v/>
      </c>
      <c r="C194" s="6" t="str">
        <f t="shared" si="2"/>
        <v/>
      </c>
      <c r="D194" s="4" t="str">
        <f>IF('WL &amp; Q'!K194="","",'WL &amp; Q'!K194)</f>
        <v/>
      </c>
      <c r="E194" s="8">
        <v>3</v>
      </c>
      <c r="F194" s="8">
        <v>4</v>
      </c>
      <c r="G194" s="8">
        <v>6</v>
      </c>
    </row>
    <row r="195" spans="1:7" x14ac:dyDescent="0.3">
      <c r="A195" s="1">
        <f>'WL &amp; Q'!A195</f>
        <v>46239.95833333287</v>
      </c>
      <c r="B195" s="4" t="str">
        <f>IF('WL &amp; Q'!I195="","",'WL &amp; Q'!I195)</f>
        <v/>
      </c>
      <c r="C195" s="6" t="str">
        <f t="shared" si="2"/>
        <v/>
      </c>
      <c r="D195" s="4" t="str">
        <f>IF('WL &amp; Q'!K195="","",'WL &amp; Q'!K195)</f>
        <v/>
      </c>
      <c r="E195" s="8">
        <v>3</v>
      </c>
      <c r="F195" s="8">
        <v>4</v>
      </c>
      <c r="G195" s="8">
        <v>6</v>
      </c>
    </row>
    <row r="196" spans="1:7" x14ac:dyDescent="0.3">
      <c r="A196" s="1">
        <f>'WL &amp; Q'!A196</f>
        <v>46239.999999999534</v>
      </c>
      <c r="B196" s="4" t="str">
        <f>IF('WL &amp; Q'!I196="","",'WL &amp; Q'!I196)</f>
        <v/>
      </c>
      <c r="C196" s="6" t="str">
        <f t="shared" si="2"/>
        <v/>
      </c>
      <c r="D196" s="4" t="str">
        <f>IF('WL &amp; Q'!K196="","",'WL &amp; Q'!K196)</f>
        <v/>
      </c>
      <c r="E196" s="8">
        <v>3</v>
      </c>
      <c r="F196" s="8">
        <v>4</v>
      </c>
      <c r="G196" s="8">
        <v>6</v>
      </c>
    </row>
    <row r="197" spans="1:7" x14ac:dyDescent="0.3">
      <c r="A197" s="1">
        <f>'WL &amp; Q'!A197</f>
        <v>46240.041666666199</v>
      </c>
      <c r="B197" s="4" t="str">
        <f>IF('WL &amp; Q'!I197="","",'WL &amp; Q'!I197)</f>
        <v/>
      </c>
      <c r="C197" s="6" t="str">
        <f t="shared" si="2"/>
        <v/>
      </c>
      <c r="D197" s="4" t="str">
        <f>IF('WL &amp; Q'!K197="","",'WL &amp; Q'!K197)</f>
        <v/>
      </c>
      <c r="E197" s="8">
        <v>3</v>
      </c>
      <c r="F197" s="8">
        <v>4</v>
      </c>
      <c r="G197" s="8">
        <v>6</v>
      </c>
    </row>
    <row r="198" spans="1:7" x14ac:dyDescent="0.3">
      <c r="A198" s="1">
        <f>'WL &amp; Q'!A198</f>
        <v>46240.083333332863</v>
      </c>
      <c r="B198" s="4" t="str">
        <f>IF('WL &amp; Q'!I198="","",'WL &amp; Q'!I198)</f>
        <v/>
      </c>
      <c r="C198" s="6" t="str">
        <f t="shared" ref="C198:C261" si="3">IF(B198="","",IF(B198&lt;=2.23,13.015*(B198-0.345)^3.274,114.59*(B198-0.345)^2-419*(B198-0.345)+487.77))</f>
        <v/>
      </c>
      <c r="D198" s="4" t="str">
        <f>IF('WL &amp; Q'!K198="","",'WL &amp; Q'!K198)</f>
        <v/>
      </c>
      <c r="E198" s="8">
        <v>3</v>
      </c>
      <c r="F198" s="8">
        <v>4</v>
      </c>
      <c r="G198" s="8">
        <v>6</v>
      </c>
    </row>
    <row r="199" spans="1:7" x14ac:dyDescent="0.3">
      <c r="A199" s="1">
        <f>'WL &amp; Q'!A199</f>
        <v>46240.124999999527</v>
      </c>
      <c r="B199" s="4" t="str">
        <f>IF('WL &amp; Q'!I199="","",'WL &amp; Q'!I199)</f>
        <v/>
      </c>
      <c r="C199" s="6" t="str">
        <f t="shared" si="3"/>
        <v/>
      </c>
      <c r="D199" s="4" t="str">
        <f>IF('WL &amp; Q'!K199="","",'WL &amp; Q'!K199)</f>
        <v/>
      </c>
      <c r="E199" s="8">
        <v>3</v>
      </c>
      <c r="F199" s="8">
        <v>4</v>
      </c>
      <c r="G199" s="8">
        <v>6</v>
      </c>
    </row>
    <row r="200" spans="1:7" x14ac:dyDescent="0.3">
      <c r="A200" s="1">
        <f>'WL &amp; Q'!A200</f>
        <v>46240.166666666191</v>
      </c>
      <c r="B200" s="4" t="str">
        <f>IF('WL &amp; Q'!I200="","",'WL &amp; Q'!I200)</f>
        <v/>
      </c>
      <c r="C200" s="6" t="str">
        <f t="shared" si="3"/>
        <v/>
      </c>
      <c r="D200" s="4" t="str">
        <f>IF('WL &amp; Q'!K200="","",'WL &amp; Q'!K200)</f>
        <v/>
      </c>
      <c r="E200" s="8">
        <v>3</v>
      </c>
      <c r="F200" s="8">
        <v>4</v>
      </c>
      <c r="G200" s="8">
        <v>6</v>
      </c>
    </row>
    <row r="201" spans="1:7" x14ac:dyDescent="0.3">
      <c r="A201" s="1">
        <f>'WL &amp; Q'!A201</f>
        <v>46240.208333332856</v>
      </c>
      <c r="B201" s="4" t="str">
        <f>IF('WL &amp; Q'!I201="","",'WL &amp; Q'!I201)</f>
        <v/>
      </c>
      <c r="C201" s="6" t="str">
        <f t="shared" si="3"/>
        <v/>
      </c>
      <c r="D201" s="4" t="str">
        <f>IF('WL &amp; Q'!K201="","",'WL &amp; Q'!K201)</f>
        <v/>
      </c>
      <c r="E201" s="8">
        <v>3</v>
      </c>
      <c r="F201" s="8">
        <v>4</v>
      </c>
      <c r="G201" s="8">
        <v>6</v>
      </c>
    </row>
    <row r="202" spans="1:7" x14ac:dyDescent="0.3">
      <c r="A202" s="1">
        <f>'WL &amp; Q'!A202</f>
        <v>46240.24999999952</v>
      </c>
      <c r="B202" s="4" t="str">
        <f>IF('WL &amp; Q'!I202="","",'WL &amp; Q'!I202)</f>
        <v/>
      </c>
      <c r="C202" s="6" t="str">
        <f t="shared" si="3"/>
        <v/>
      </c>
      <c r="D202" s="4" t="str">
        <f>IF('WL &amp; Q'!K202="","",'WL &amp; Q'!K202)</f>
        <v/>
      </c>
      <c r="E202" s="8">
        <v>3</v>
      </c>
      <c r="F202" s="8">
        <v>4</v>
      </c>
      <c r="G202" s="8">
        <v>6</v>
      </c>
    </row>
    <row r="203" spans="1:7" x14ac:dyDescent="0.3">
      <c r="A203" s="1">
        <f>'WL &amp; Q'!A203</f>
        <v>46240.291666666184</v>
      </c>
      <c r="B203" s="4" t="str">
        <f>IF('WL &amp; Q'!I203="","",'WL &amp; Q'!I203)</f>
        <v/>
      </c>
      <c r="C203" s="6" t="str">
        <f t="shared" si="3"/>
        <v/>
      </c>
      <c r="D203" s="4" t="str">
        <f>IF('WL &amp; Q'!K203="","",'WL &amp; Q'!K203)</f>
        <v/>
      </c>
      <c r="E203" s="8">
        <v>3</v>
      </c>
      <c r="F203" s="8">
        <v>4</v>
      </c>
      <c r="G203" s="8">
        <v>6</v>
      </c>
    </row>
    <row r="204" spans="1:7" x14ac:dyDescent="0.3">
      <c r="A204" s="1">
        <f>'WL &amp; Q'!A204</f>
        <v>46240.333333332848</v>
      </c>
      <c r="B204" s="4" t="str">
        <f>IF('WL &amp; Q'!I204="","",'WL &amp; Q'!I204)</f>
        <v/>
      </c>
      <c r="C204" s="6" t="str">
        <f t="shared" si="3"/>
        <v/>
      </c>
      <c r="D204" s="4" t="str">
        <f>IF('WL &amp; Q'!K204="","",'WL &amp; Q'!K204)</f>
        <v/>
      </c>
      <c r="E204" s="8">
        <v>3</v>
      </c>
      <c r="F204" s="8">
        <v>4</v>
      </c>
      <c r="G204" s="8">
        <v>6</v>
      </c>
    </row>
    <row r="205" spans="1:7" x14ac:dyDescent="0.3">
      <c r="A205" s="1">
        <f>'WL &amp; Q'!A205</f>
        <v>46240.374999999513</v>
      </c>
      <c r="B205" s="4" t="str">
        <f>IF('WL &amp; Q'!I205="","",'WL &amp; Q'!I205)</f>
        <v/>
      </c>
      <c r="C205" s="6" t="str">
        <f t="shared" si="3"/>
        <v/>
      </c>
      <c r="D205" s="4" t="str">
        <f>IF('WL &amp; Q'!K205="","",'WL &amp; Q'!K205)</f>
        <v/>
      </c>
      <c r="E205" s="8">
        <v>3</v>
      </c>
      <c r="F205" s="8">
        <v>4</v>
      </c>
      <c r="G205" s="8">
        <v>6</v>
      </c>
    </row>
    <row r="206" spans="1:7" x14ac:dyDescent="0.3">
      <c r="A206" s="1">
        <f>'WL &amp; Q'!A206</f>
        <v>46240.416666666177</v>
      </c>
      <c r="B206" s="4" t="str">
        <f>IF('WL &amp; Q'!I206="","",'WL &amp; Q'!I206)</f>
        <v/>
      </c>
      <c r="C206" s="6" t="str">
        <f t="shared" si="3"/>
        <v/>
      </c>
      <c r="D206" s="4" t="str">
        <f>IF('WL &amp; Q'!K206="","",'WL &amp; Q'!K206)</f>
        <v/>
      </c>
      <c r="E206" s="8">
        <v>3</v>
      </c>
      <c r="F206" s="8">
        <v>4</v>
      </c>
      <c r="G206" s="8">
        <v>6</v>
      </c>
    </row>
    <row r="207" spans="1:7" x14ac:dyDescent="0.3">
      <c r="A207" s="1">
        <f>'WL &amp; Q'!A207</f>
        <v>46240.458333332841</v>
      </c>
      <c r="B207" s="4" t="str">
        <f>IF('WL &amp; Q'!I207="","",'WL &amp; Q'!I207)</f>
        <v/>
      </c>
      <c r="C207" s="6" t="str">
        <f t="shared" si="3"/>
        <v/>
      </c>
      <c r="D207" s="4" t="str">
        <f>IF('WL &amp; Q'!K207="","",'WL &amp; Q'!K207)</f>
        <v/>
      </c>
      <c r="E207" s="8">
        <v>3</v>
      </c>
      <c r="F207" s="8">
        <v>4</v>
      </c>
      <c r="G207" s="8">
        <v>6</v>
      </c>
    </row>
    <row r="208" spans="1:7" x14ac:dyDescent="0.3">
      <c r="A208" s="1">
        <f>'WL &amp; Q'!A208</f>
        <v>46240.499999999505</v>
      </c>
      <c r="B208" s="4" t="str">
        <f>IF('WL &amp; Q'!I208="","",'WL &amp; Q'!I208)</f>
        <v/>
      </c>
      <c r="C208" s="6" t="str">
        <f t="shared" si="3"/>
        <v/>
      </c>
      <c r="D208" s="4" t="str">
        <f>IF('WL &amp; Q'!K208="","",'WL &amp; Q'!K208)</f>
        <v/>
      </c>
      <c r="E208" s="8">
        <v>3</v>
      </c>
      <c r="F208" s="8">
        <v>4</v>
      </c>
      <c r="G208" s="8">
        <v>6</v>
      </c>
    </row>
    <row r="209" spans="1:7" x14ac:dyDescent="0.3">
      <c r="A209" s="1">
        <f>'WL &amp; Q'!A209</f>
        <v>46240.541666666169</v>
      </c>
      <c r="B209" s="4" t="str">
        <f>IF('WL &amp; Q'!I209="","",'WL &amp; Q'!I209)</f>
        <v/>
      </c>
      <c r="C209" s="6" t="str">
        <f t="shared" si="3"/>
        <v/>
      </c>
      <c r="D209" s="4" t="str">
        <f>IF('WL &amp; Q'!K209="","",'WL &amp; Q'!K209)</f>
        <v/>
      </c>
      <c r="E209" s="8">
        <v>3</v>
      </c>
      <c r="F209" s="8">
        <v>4</v>
      </c>
      <c r="G209" s="8">
        <v>6</v>
      </c>
    </row>
    <row r="210" spans="1:7" x14ac:dyDescent="0.3">
      <c r="A210" s="1">
        <f>'WL &amp; Q'!A210</f>
        <v>46240.583333332834</v>
      </c>
      <c r="B210" s="4" t="str">
        <f>IF('WL &amp; Q'!I210="","",'WL &amp; Q'!I210)</f>
        <v/>
      </c>
      <c r="C210" s="6" t="str">
        <f t="shared" si="3"/>
        <v/>
      </c>
      <c r="D210" s="4" t="str">
        <f>IF('WL &amp; Q'!K210="","",'WL &amp; Q'!K210)</f>
        <v/>
      </c>
      <c r="E210" s="8">
        <v>3</v>
      </c>
      <c r="F210" s="8">
        <v>4</v>
      </c>
      <c r="G210" s="8">
        <v>6</v>
      </c>
    </row>
    <row r="211" spans="1:7" x14ac:dyDescent="0.3">
      <c r="A211" s="1">
        <f>'WL &amp; Q'!A211</f>
        <v>46240.624999999498</v>
      </c>
      <c r="B211" s="4" t="str">
        <f>IF('WL &amp; Q'!I211="","",'WL &amp; Q'!I211)</f>
        <v/>
      </c>
      <c r="C211" s="6" t="str">
        <f t="shared" si="3"/>
        <v/>
      </c>
      <c r="D211" s="4" t="str">
        <f>IF('WL &amp; Q'!K211="","",'WL &amp; Q'!K211)</f>
        <v/>
      </c>
      <c r="E211" s="8">
        <v>3</v>
      </c>
      <c r="F211" s="8">
        <v>4</v>
      </c>
      <c r="G211" s="8">
        <v>6</v>
      </c>
    </row>
    <row r="212" spans="1:7" x14ac:dyDescent="0.3">
      <c r="A212" s="1">
        <f>'WL &amp; Q'!A212</f>
        <v>46240.666666666162</v>
      </c>
      <c r="B212" s="4" t="str">
        <f>IF('WL &amp; Q'!I212="","",'WL &amp; Q'!I212)</f>
        <v/>
      </c>
      <c r="C212" s="6" t="str">
        <f t="shared" si="3"/>
        <v/>
      </c>
      <c r="D212" s="4" t="str">
        <f>IF('WL &amp; Q'!K212="","",'WL &amp; Q'!K212)</f>
        <v/>
      </c>
      <c r="E212" s="8">
        <v>3</v>
      </c>
      <c r="F212" s="8">
        <v>4</v>
      </c>
      <c r="G212" s="8">
        <v>6</v>
      </c>
    </row>
    <row r="213" spans="1:7" x14ac:dyDescent="0.3">
      <c r="A213" s="1">
        <f>'WL &amp; Q'!A213</f>
        <v>46240.708333332826</v>
      </c>
      <c r="B213" s="4" t="str">
        <f>IF('WL &amp; Q'!I213="","",'WL &amp; Q'!I213)</f>
        <v/>
      </c>
      <c r="C213" s="6" t="str">
        <f t="shared" si="3"/>
        <v/>
      </c>
      <c r="D213" s="4" t="str">
        <f>IF('WL &amp; Q'!K213="","",'WL &amp; Q'!K213)</f>
        <v/>
      </c>
      <c r="E213" s="8">
        <v>3</v>
      </c>
      <c r="F213" s="8">
        <v>4</v>
      </c>
      <c r="G213" s="8">
        <v>6</v>
      </c>
    </row>
    <row r="214" spans="1:7" x14ac:dyDescent="0.3">
      <c r="A214" s="1">
        <f>'WL &amp; Q'!A214</f>
        <v>46240.749999999491</v>
      </c>
      <c r="B214" s="4" t="str">
        <f>IF('WL &amp; Q'!I214="","",'WL &amp; Q'!I214)</f>
        <v/>
      </c>
      <c r="C214" s="6" t="str">
        <f t="shared" si="3"/>
        <v/>
      </c>
      <c r="D214" s="4" t="str">
        <f>IF('WL &amp; Q'!K214="","",'WL &amp; Q'!K214)</f>
        <v/>
      </c>
      <c r="E214" s="8">
        <v>3</v>
      </c>
      <c r="F214" s="8">
        <v>4</v>
      </c>
      <c r="G214" s="8">
        <v>6</v>
      </c>
    </row>
    <row r="215" spans="1:7" x14ac:dyDescent="0.3">
      <c r="A215" s="1">
        <f>'WL &amp; Q'!A215</f>
        <v>46240.791666666155</v>
      </c>
      <c r="B215" s="4" t="str">
        <f>IF('WL &amp; Q'!I215="","",'WL &amp; Q'!I215)</f>
        <v/>
      </c>
      <c r="C215" s="6" t="str">
        <f t="shared" si="3"/>
        <v/>
      </c>
      <c r="D215" s="4" t="str">
        <f>IF('WL &amp; Q'!K215="","",'WL &amp; Q'!K215)</f>
        <v/>
      </c>
      <c r="E215" s="8">
        <v>3</v>
      </c>
      <c r="F215" s="8">
        <v>4</v>
      </c>
      <c r="G215" s="8">
        <v>6</v>
      </c>
    </row>
    <row r="216" spans="1:7" x14ac:dyDescent="0.3">
      <c r="A216" s="1">
        <f>'WL &amp; Q'!A216</f>
        <v>46240.833333332819</v>
      </c>
      <c r="B216" s="4" t="str">
        <f>IF('WL &amp; Q'!I216="","",'WL &amp; Q'!I216)</f>
        <v/>
      </c>
      <c r="C216" s="6" t="str">
        <f t="shared" si="3"/>
        <v/>
      </c>
      <c r="D216" s="4" t="str">
        <f>IF('WL &amp; Q'!K216="","",'WL &amp; Q'!K216)</f>
        <v/>
      </c>
      <c r="E216" s="8">
        <v>3</v>
      </c>
      <c r="F216" s="8">
        <v>4</v>
      </c>
      <c r="G216" s="8">
        <v>6</v>
      </c>
    </row>
    <row r="217" spans="1:7" x14ac:dyDescent="0.3">
      <c r="A217" s="1">
        <f>'WL &amp; Q'!A217</f>
        <v>46240.874999999483</v>
      </c>
      <c r="B217" s="4" t="str">
        <f>IF('WL &amp; Q'!I217="","",'WL &amp; Q'!I217)</f>
        <v/>
      </c>
      <c r="C217" s="6" t="str">
        <f t="shared" si="3"/>
        <v/>
      </c>
      <c r="D217" s="4" t="str">
        <f>IF('WL &amp; Q'!K217="","",'WL &amp; Q'!K217)</f>
        <v/>
      </c>
      <c r="E217" s="8">
        <v>3</v>
      </c>
      <c r="F217" s="8">
        <v>4</v>
      </c>
      <c r="G217" s="8">
        <v>6</v>
      </c>
    </row>
    <row r="218" spans="1:7" x14ac:dyDescent="0.3">
      <c r="A218" s="1">
        <f>'WL &amp; Q'!A218</f>
        <v>46240.916666666148</v>
      </c>
      <c r="B218" s="4" t="str">
        <f>IF('WL &amp; Q'!I218="","",'WL &amp; Q'!I218)</f>
        <v/>
      </c>
      <c r="C218" s="6" t="str">
        <f t="shared" si="3"/>
        <v/>
      </c>
      <c r="D218" s="4" t="str">
        <f>IF('WL &amp; Q'!K218="","",'WL &amp; Q'!K218)</f>
        <v/>
      </c>
      <c r="E218" s="8">
        <v>3</v>
      </c>
      <c r="F218" s="8">
        <v>4</v>
      </c>
      <c r="G218" s="8">
        <v>6</v>
      </c>
    </row>
    <row r="219" spans="1:7" x14ac:dyDescent="0.3">
      <c r="A219" s="1">
        <f>'WL &amp; Q'!A219</f>
        <v>46240.958333332812</v>
      </c>
      <c r="B219" s="4" t="str">
        <f>IF('WL &amp; Q'!I219="","",'WL &amp; Q'!I219)</f>
        <v/>
      </c>
      <c r="C219" s="6" t="str">
        <f t="shared" si="3"/>
        <v/>
      </c>
      <c r="D219" s="4" t="str">
        <f>IF('WL &amp; Q'!K219="","",'WL &amp; Q'!K219)</f>
        <v/>
      </c>
      <c r="E219" s="8">
        <v>3</v>
      </c>
      <c r="F219" s="8">
        <v>4</v>
      </c>
      <c r="G219" s="8">
        <v>6</v>
      </c>
    </row>
    <row r="220" spans="1:7" x14ac:dyDescent="0.3">
      <c r="A220" s="1">
        <f>'WL &amp; Q'!A220</f>
        <v>46240.999999999476</v>
      </c>
      <c r="B220" s="4" t="str">
        <f>IF('WL &amp; Q'!I220="","",'WL &amp; Q'!I220)</f>
        <v/>
      </c>
      <c r="C220" s="6" t="str">
        <f t="shared" si="3"/>
        <v/>
      </c>
      <c r="D220" s="4" t="str">
        <f>IF('WL &amp; Q'!K220="","",'WL &amp; Q'!K220)</f>
        <v/>
      </c>
      <c r="E220" s="8">
        <v>3</v>
      </c>
      <c r="F220" s="8">
        <v>4</v>
      </c>
      <c r="G220" s="8">
        <v>6</v>
      </c>
    </row>
    <row r="221" spans="1:7" x14ac:dyDescent="0.3">
      <c r="A221" s="1">
        <f>'WL &amp; Q'!A221</f>
        <v>46241.04166666614</v>
      </c>
      <c r="B221" s="4" t="str">
        <f>IF('WL &amp; Q'!I221="","",'WL &amp; Q'!I221)</f>
        <v/>
      </c>
      <c r="C221" s="6" t="str">
        <f t="shared" si="3"/>
        <v/>
      </c>
      <c r="D221" s="4" t="str">
        <f>IF('WL &amp; Q'!K221="","",'WL &amp; Q'!K221)</f>
        <v/>
      </c>
      <c r="E221" s="8">
        <v>3</v>
      </c>
      <c r="F221" s="8">
        <v>4</v>
      </c>
      <c r="G221" s="8">
        <v>6</v>
      </c>
    </row>
    <row r="222" spans="1:7" x14ac:dyDescent="0.3">
      <c r="A222" s="1">
        <f>'WL &amp; Q'!A222</f>
        <v>46241.083333332805</v>
      </c>
      <c r="B222" s="4" t="str">
        <f>IF('WL &amp; Q'!I222="","",'WL &amp; Q'!I222)</f>
        <v/>
      </c>
      <c r="C222" s="6" t="str">
        <f t="shared" si="3"/>
        <v/>
      </c>
      <c r="D222" s="4" t="str">
        <f>IF('WL &amp; Q'!K222="","",'WL &amp; Q'!K222)</f>
        <v/>
      </c>
      <c r="E222" s="8">
        <v>3</v>
      </c>
      <c r="F222" s="8">
        <v>4</v>
      </c>
      <c r="G222" s="8">
        <v>6</v>
      </c>
    </row>
    <row r="223" spans="1:7" x14ac:dyDescent="0.3">
      <c r="A223" s="1">
        <f>'WL &amp; Q'!A223</f>
        <v>46241.124999999469</v>
      </c>
      <c r="B223" s="4" t="str">
        <f>IF('WL &amp; Q'!I223="","",'WL &amp; Q'!I223)</f>
        <v/>
      </c>
      <c r="C223" s="6" t="str">
        <f t="shared" si="3"/>
        <v/>
      </c>
      <c r="D223" s="4" t="str">
        <f>IF('WL &amp; Q'!K223="","",'WL &amp; Q'!K223)</f>
        <v/>
      </c>
      <c r="E223" s="8">
        <v>3</v>
      </c>
      <c r="F223" s="8">
        <v>4</v>
      </c>
      <c r="G223" s="8">
        <v>6</v>
      </c>
    </row>
    <row r="224" spans="1:7" x14ac:dyDescent="0.3">
      <c r="A224" s="1">
        <f>'WL &amp; Q'!A224</f>
        <v>46241.166666666133</v>
      </c>
      <c r="B224" s="4" t="str">
        <f>IF('WL &amp; Q'!I224="","",'WL &amp; Q'!I224)</f>
        <v/>
      </c>
      <c r="C224" s="6" t="str">
        <f t="shared" si="3"/>
        <v/>
      </c>
      <c r="D224" s="4" t="str">
        <f>IF('WL &amp; Q'!K224="","",'WL &amp; Q'!K224)</f>
        <v/>
      </c>
      <c r="E224" s="8">
        <v>3</v>
      </c>
      <c r="F224" s="8">
        <v>4</v>
      </c>
      <c r="G224" s="8">
        <v>6</v>
      </c>
    </row>
    <row r="225" spans="1:7" x14ac:dyDescent="0.3">
      <c r="A225" s="1">
        <f>'WL &amp; Q'!A225</f>
        <v>46241.208333332797</v>
      </c>
      <c r="B225" s="4" t="str">
        <f>IF('WL &amp; Q'!I225="","",'WL &amp; Q'!I225)</f>
        <v/>
      </c>
      <c r="C225" s="6" t="str">
        <f t="shared" si="3"/>
        <v/>
      </c>
      <c r="D225" s="4" t="str">
        <f>IF('WL &amp; Q'!K225="","",'WL &amp; Q'!K225)</f>
        <v/>
      </c>
      <c r="E225" s="8">
        <v>3</v>
      </c>
      <c r="F225" s="8">
        <v>4</v>
      </c>
      <c r="G225" s="8">
        <v>6</v>
      </c>
    </row>
    <row r="226" spans="1:7" x14ac:dyDescent="0.3">
      <c r="A226" s="1">
        <f>'WL &amp; Q'!A226</f>
        <v>46241.249999999462</v>
      </c>
      <c r="B226" s="4" t="str">
        <f>IF('WL &amp; Q'!I226="","",'WL &amp; Q'!I226)</f>
        <v/>
      </c>
      <c r="C226" s="6" t="str">
        <f t="shared" si="3"/>
        <v/>
      </c>
      <c r="D226" s="4" t="str">
        <f>IF('WL &amp; Q'!K226="","",'WL &amp; Q'!K226)</f>
        <v/>
      </c>
      <c r="E226" s="8">
        <v>3</v>
      </c>
      <c r="F226" s="8">
        <v>4</v>
      </c>
      <c r="G226" s="8">
        <v>6</v>
      </c>
    </row>
    <row r="227" spans="1:7" x14ac:dyDescent="0.3">
      <c r="A227" s="1">
        <f>'WL &amp; Q'!A227</f>
        <v>46241.291666666126</v>
      </c>
      <c r="B227" s="4" t="str">
        <f>IF('WL &amp; Q'!I227="","",'WL &amp; Q'!I227)</f>
        <v/>
      </c>
      <c r="C227" s="6" t="str">
        <f t="shared" si="3"/>
        <v/>
      </c>
      <c r="D227" s="4" t="str">
        <f>IF('WL &amp; Q'!K227="","",'WL &amp; Q'!K227)</f>
        <v/>
      </c>
      <c r="E227" s="8">
        <v>3</v>
      </c>
      <c r="F227" s="8">
        <v>4</v>
      </c>
      <c r="G227" s="8">
        <v>6</v>
      </c>
    </row>
    <row r="228" spans="1:7" x14ac:dyDescent="0.3">
      <c r="A228" s="1">
        <f>'WL &amp; Q'!A228</f>
        <v>46241.33333333279</v>
      </c>
      <c r="B228" s="4" t="str">
        <f>IF('WL &amp; Q'!I228="","",'WL &amp; Q'!I228)</f>
        <v/>
      </c>
      <c r="C228" s="6" t="str">
        <f t="shared" si="3"/>
        <v/>
      </c>
      <c r="D228" s="4" t="str">
        <f>IF('WL &amp; Q'!K228="","",'WL &amp; Q'!K228)</f>
        <v/>
      </c>
      <c r="E228" s="8">
        <v>3</v>
      </c>
      <c r="F228" s="8">
        <v>4</v>
      </c>
      <c r="G228" s="8">
        <v>6</v>
      </c>
    </row>
    <row r="229" spans="1:7" x14ac:dyDescent="0.3">
      <c r="A229" s="1">
        <f>'WL &amp; Q'!A229</f>
        <v>46241.374999999454</v>
      </c>
      <c r="B229" s="4" t="str">
        <f>IF('WL &amp; Q'!I229="","",'WL &amp; Q'!I229)</f>
        <v/>
      </c>
      <c r="C229" s="6" t="str">
        <f t="shared" si="3"/>
        <v/>
      </c>
      <c r="D229" s="4" t="str">
        <f>IF('WL &amp; Q'!K229="","",'WL &amp; Q'!K229)</f>
        <v/>
      </c>
      <c r="E229" s="8">
        <v>3</v>
      </c>
      <c r="F229" s="8">
        <v>4</v>
      </c>
      <c r="G229" s="8">
        <v>6</v>
      </c>
    </row>
    <row r="230" spans="1:7" x14ac:dyDescent="0.3">
      <c r="A230" s="1">
        <f>'WL &amp; Q'!A230</f>
        <v>46241.416666666119</v>
      </c>
      <c r="B230" s="4" t="str">
        <f>IF('WL &amp; Q'!I230="","",'WL &amp; Q'!I230)</f>
        <v/>
      </c>
      <c r="C230" s="6" t="str">
        <f t="shared" si="3"/>
        <v/>
      </c>
      <c r="D230" s="4" t="str">
        <f>IF('WL &amp; Q'!K230="","",'WL &amp; Q'!K230)</f>
        <v/>
      </c>
      <c r="E230" s="8">
        <v>3</v>
      </c>
      <c r="F230" s="8">
        <v>4</v>
      </c>
      <c r="G230" s="8">
        <v>6</v>
      </c>
    </row>
    <row r="231" spans="1:7" x14ac:dyDescent="0.3">
      <c r="A231" s="1">
        <f>'WL &amp; Q'!A231</f>
        <v>46241.458333332783</v>
      </c>
      <c r="B231" s="4" t="str">
        <f>IF('WL &amp; Q'!I231="","",'WL &amp; Q'!I231)</f>
        <v/>
      </c>
      <c r="C231" s="6" t="str">
        <f t="shared" si="3"/>
        <v/>
      </c>
      <c r="D231" s="4" t="str">
        <f>IF('WL &amp; Q'!K231="","",'WL &amp; Q'!K231)</f>
        <v/>
      </c>
      <c r="E231" s="8">
        <v>3</v>
      </c>
      <c r="F231" s="8">
        <v>4</v>
      </c>
      <c r="G231" s="8">
        <v>6</v>
      </c>
    </row>
    <row r="232" spans="1:7" x14ac:dyDescent="0.3">
      <c r="A232" s="1">
        <f>'WL &amp; Q'!A232</f>
        <v>46241.499999999447</v>
      </c>
      <c r="B232" s="4" t="str">
        <f>IF('WL &amp; Q'!I232="","",'WL &amp; Q'!I232)</f>
        <v/>
      </c>
      <c r="C232" s="6" t="str">
        <f t="shared" si="3"/>
        <v/>
      </c>
      <c r="D232" s="4" t="str">
        <f>IF('WL &amp; Q'!K232="","",'WL &amp; Q'!K232)</f>
        <v/>
      </c>
      <c r="E232" s="8">
        <v>3</v>
      </c>
      <c r="F232" s="8">
        <v>4</v>
      </c>
      <c r="G232" s="8">
        <v>6</v>
      </c>
    </row>
    <row r="233" spans="1:7" x14ac:dyDescent="0.3">
      <c r="A233" s="1">
        <f>'WL &amp; Q'!A233</f>
        <v>46241.541666666111</v>
      </c>
      <c r="B233" s="4" t="str">
        <f>IF('WL &amp; Q'!I233="","",'WL &amp; Q'!I233)</f>
        <v/>
      </c>
      <c r="C233" s="6" t="str">
        <f t="shared" si="3"/>
        <v/>
      </c>
      <c r="D233" s="4" t="str">
        <f>IF('WL &amp; Q'!K233="","",'WL &amp; Q'!K233)</f>
        <v/>
      </c>
      <c r="E233" s="8">
        <v>3</v>
      </c>
      <c r="F233" s="8">
        <v>4</v>
      </c>
      <c r="G233" s="8">
        <v>6</v>
      </c>
    </row>
    <row r="234" spans="1:7" x14ac:dyDescent="0.3">
      <c r="A234" s="1">
        <f>'WL &amp; Q'!A234</f>
        <v>46241.583333332776</v>
      </c>
      <c r="B234" s="4" t="str">
        <f>IF('WL &amp; Q'!I234="","",'WL &amp; Q'!I234)</f>
        <v/>
      </c>
      <c r="C234" s="6" t="str">
        <f t="shared" si="3"/>
        <v/>
      </c>
      <c r="D234" s="4" t="str">
        <f>IF('WL &amp; Q'!K234="","",'WL &amp; Q'!K234)</f>
        <v/>
      </c>
      <c r="E234" s="8">
        <v>3</v>
      </c>
      <c r="F234" s="8">
        <v>4</v>
      </c>
      <c r="G234" s="8">
        <v>6</v>
      </c>
    </row>
    <row r="235" spans="1:7" x14ac:dyDescent="0.3">
      <c r="A235" s="1">
        <f>'WL &amp; Q'!A235</f>
        <v>46241.62499999944</v>
      </c>
      <c r="B235" s="4" t="str">
        <f>IF('WL &amp; Q'!I235="","",'WL &amp; Q'!I235)</f>
        <v/>
      </c>
      <c r="C235" s="6" t="str">
        <f t="shared" si="3"/>
        <v/>
      </c>
      <c r="D235" s="4" t="str">
        <f>IF('WL &amp; Q'!K235="","",'WL &amp; Q'!K235)</f>
        <v/>
      </c>
      <c r="E235" s="8">
        <v>3</v>
      </c>
      <c r="F235" s="8">
        <v>4</v>
      </c>
      <c r="G235" s="8">
        <v>6</v>
      </c>
    </row>
    <row r="236" spans="1:7" x14ac:dyDescent="0.3">
      <c r="A236" s="1">
        <f>'WL &amp; Q'!A236</f>
        <v>46241.666666666104</v>
      </c>
      <c r="B236" s="4" t="str">
        <f>IF('WL &amp; Q'!I236="","",'WL &amp; Q'!I236)</f>
        <v/>
      </c>
      <c r="C236" s="6" t="str">
        <f t="shared" si="3"/>
        <v/>
      </c>
      <c r="D236" s="4" t="str">
        <f>IF('WL &amp; Q'!K236="","",'WL &amp; Q'!K236)</f>
        <v/>
      </c>
      <c r="E236" s="8">
        <v>3</v>
      </c>
      <c r="F236" s="8">
        <v>4</v>
      </c>
      <c r="G236" s="8">
        <v>6</v>
      </c>
    </row>
    <row r="237" spans="1:7" x14ac:dyDescent="0.3">
      <c r="A237" s="1">
        <f>'WL &amp; Q'!A237</f>
        <v>46241.708333332768</v>
      </c>
      <c r="B237" s="4" t="str">
        <f>IF('WL &amp; Q'!I237="","",'WL &amp; Q'!I237)</f>
        <v/>
      </c>
      <c r="C237" s="6" t="str">
        <f t="shared" si="3"/>
        <v/>
      </c>
      <c r="D237" s="4" t="str">
        <f>IF('WL &amp; Q'!K237="","",'WL &amp; Q'!K237)</f>
        <v/>
      </c>
      <c r="E237" s="8">
        <v>3</v>
      </c>
      <c r="F237" s="8">
        <v>4</v>
      </c>
      <c r="G237" s="8">
        <v>6</v>
      </c>
    </row>
    <row r="238" spans="1:7" x14ac:dyDescent="0.3">
      <c r="A238" s="1">
        <f>'WL &amp; Q'!A238</f>
        <v>46241.749999999432</v>
      </c>
      <c r="B238" s="4" t="str">
        <f>IF('WL &amp; Q'!I238="","",'WL &amp; Q'!I238)</f>
        <v/>
      </c>
      <c r="C238" s="6" t="str">
        <f t="shared" si="3"/>
        <v/>
      </c>
      <c r="D238" s="4" t="str">
        <f>IF('WL &amp; Q'!K238="","",'WL &amp; Q'!K238)</f>
        <v/>
      </c>
      <c r="E238" s="8">
        <v>3</v>
      </c>
      <c r="F238" s="8">
        <v>4</v>
      </c>
      <c r="G238" s="8">
        <v>6</v>
      </c>
    </row>
    <row r="239" spans="1:7" x14ac:dyDescent="0.3">
      <c r="A239" s="1">
        <f>'WL &amp; Q'!A239</f>
        <v>46241.791666666097</v>
      </c>
      <c r="B239" s="4" t="str">
        <f>IF('WL &amp; Q'!I239="","",'WL &amp; Q'!I239)</f>
        <v/>
      </c>
      <c r="C239" s="6" t="str">
        <f t="shared" si="3"/>
        <v/>
      </c>
      <c r="D239" s="4" t="str">
        <f>IF('WL &amp; Q'!K239="","",'WL &amp; Q'!K239)</f>
        <v/>
      </c>
      <c r="E239" s="8">
        <v>3</v>
      </c>
      <c r="F239" s="8">
        <v>4</v>
      </c>
      <c r="G239" s="8">
        <v>6</v>
      </c>
    </row>
    <row r="240" spans="1:7" x14ac:dyDescent="0.3">
      <c r="A240" s="1">
        <f>'WL &amp; Q'!A240</f>
        <v>46241.833333332761</v>
      </c>
      <c r="B240" s="4" t="str">
        <f>IF('WL &amp; Q'!I240="","",'WL &amp; Q'!I240)</f>
        <v/>
      </c>
      <c r="C240" s="6" t="str">
        <f t="shared" si="3"/>
        <v/>
      </c>
      <c r="D240" s="4" t="str">
        <f>IF('WL &amp; Q'!K240="","",'WL &amp; Q'!K240)</f>
        <v/>
      </c>
      <c r="E240" s="8">
        <v>3</v>
      </c>
      <c r="F240" s="8">
        <v>4</v>
      </c>
      <c r="G240" s="8">
        <v>6</v>
      </c>
    </row>
    <row r="241" spans="1:7" x14ac:dyDescent="0.3">
      <c r="A241" s="1">
        <f>'WL &amp; Q'!A241</f>
        <v>46241.874999999425</v>
      </c>
      <c r="B241" s="4" t="str">
        <f>IF('WL &amp; Q'!I241="","",'WL &amp; Q'!I241)</f>
        <v/>
      </c>
      <c r="C241" s="6" t="str">
        <f t="shared" si="3"/>
        <v/>
      </c>
      <c r="D241" s="4" t="str">
        <f>IF('WL &amp; Q'!K241="","",'WL &amp; Q'!K241)</f>
        <v/>
      </c>
      <c r="E241" s="8">
        <v>3</v>
      </c>
      <c r="F241" s="8">
        <v>4</v>
      </c>
      <c r="G241" s="8">
        <v>6</v>
      </c>
    </row>
    <row r="242" spans="1:7" x14ac:dyDescent="0.3">
      <c r="A242" s="1">
        <f>'WL &amp; Q'!A242</f>
        <v>46241.916666666089</v>
      </c>
      <c r="B242" s="4" t="str">
        <f>IF('WL &amp; Q'!I242="","",'WL &amp; Q'!I242)</f>
        <v/>
      </c>
      <c r="C242" s="6" t="str">
        <f t="shared" si="3"/>
        <v/>
      </c>
      <c r="D242" s="4" t="str">
        <f>IF('WL &amp; Q'!K242="","",'WL &amp; Q'!K242)</f>
        <v/>
      </c>
      <c r="E242" s="8">
        <v>3</v>
      </c>
      <c r="F242" s="8">
        <v>4</v>
      </c>
      <c r="G242" s="8">
        <v>6</v>
      </c>
    </row>
    <row r="243" spans="1:7" x14ac:dyDescent="0.3">
      <c r="A243" s="1">
        <f>'WL &amp; Q'!A243</f>
        <v>46241.958333332754</v>
      </c>
      <c r="B243" s="4" t="str">
        <f>IF('WL &amp; Q'!I243="","",'WL &amp; Q'!I243)</f>
        <v/>
      </c>
      <c r="C243" s="6" t="str">
        <f t="shared" si="3"/>
        <v/>
      </c>
      <c r="D243" s="4" t="str">
        <f>IF('WL &amp; Q'!K243="","",'WL &amp; Q'!K243)</f>
        <v/>
      </c>
      <c r="E243" s="8">
        <v>3</v>
      </c>
      <c r="F243" s="8">
        <v>4</v>
      </c>
      <c r="G243" s="8">
        <v>6</v>
      </c>
    </row>
    <row r="244" spans="1:7" x14ac:dyDescent="0.3">
      <c r="A244" s="1">
        <f>'WL &amp; Q'!A244</f>
        <v>46241.999999999418</v>
      </c>
      <c r="B244" s="4" t="str">
        <f>IF('WL &amp; Q'!I244="","",'WL &amp; Q'!I244)</f>
        <v/>
      </c>
      <c r="C244" s="6" t="str">
        <f t="shared" si="3"/>
        <v/>
      </c>
      <c r="D244" s="4" t="str">
        <f>IF('WL &amp; Q'!K244="","",'WL &amp; Q'!K244)</f>
        <v/>
      </c>
      <c r="E244" s="8">
        <v>3</v>
      </c>
      <c r="F244" s="8">
        <v>4</v>
      </c>
      <c r="G244" s="8">
        <v>6</v>
      </c>
    </row>
    <row r="245" spans="1:7" x14ac:dyDescent="0.3">
      <c r="A245" s="1">
        <f>'WL &amp; Q'!A245</f>
        <v>46242.041666666082</v>
      </c>
      <c r="B245" s="4" t="str">
        <f>IF('WL &amp; Q'!I245="","",'WL &amp; Q'!I245)</f>
        <v/>
      </c>
      <c r="C245" s="6" t="str">
        <f t="shared" si="3"/>
        <v/>
      </c>
      <c r="D245" s="4" t="str">
        <f>IF('WL &amp; Q'!K245="","",'WL &amp; Q'!K245)</f>
        <v/>
      </c>
      <c r="E245" s="8">
        <v>3</v>
      </c>
      <c r="F245" s="8">
        <v>4</v>
      </c>
      <c r="G245" s="8">
        <v>6</v>
      </c>
    </row>
    <row r="246" spans="1:7" x14ac:dyDescent="0.3">
      <c r="A246" s="1">
        <f>'WL &amp; Q'!A246</f>
        <v>46242.083333332746</v>
      </c>
      <c r="B246" s="4" t="str">
        <f>IF('WL &amp; Q'!I246="","",'WL &amp; Q'!I246)</f>
        <v/>
      </c>
      <c r="C246" s="6" t="str">
        <f t="shared" si="3"/>
        <v/>
      </c>
      <c r="D246" s="4" t="str">
        <f>IF('WL &amp; Q'!K246="","",'WL &amp; Q'!K246)</f>
        <v/>
      </c>
      <c r="E246" s="8">
        <v>3</v>
      </c>
      <c r="F246" s="8">
        <v>4</v>
      </c>
      <c r="G246" s="8">
        <v>6</v>
      </c>
    </row>
    <row r="247" spans="1:7" x14ac:dyDescent="0.3">
      <c r="A247" s="1">
        <f>'WL &amp; Q'!A247</f>
        <v>46242.124999999411</v>
      </c>
      <c r="B247" s="4" t="str">
        <f>IF('WL &amp; Q'!I247="","",'WL &amp; Q'!I247)</f>
        <v/>
      </c>
      <c r="C247" s="6" t="str">
        <f t="shared" si="3"/>
        <v/>
      </c>
      <c r="D247" s="4" t="str">
        <f>IF('WL &amp; Q'!K247="","",'WL &amp; Q'!K247)</f>
        <v/>
      </c>
      <c r="E247" s="8">
        <v>3</v>
      </c>
      <c r="F247" s="8">
        <v>4</v>
      </c>
      <c r="G247" s="8">
        <v>6</v>
      </c>
    </row>
    <row r="248" spans="1:7" x14ac:dyDescent="0.3">
      <c r="A248" s="1">
        <f>'WL &amp; Q'!A248</f>
        <v>46242.166666666075</v>
      </c>
      <c r="B248" s="4" t="str">
        <f>IF('WL &amp; Q'!I248="","",'WL &amp; Q'!I248)</f>
        <v/>
      </c>
      <c r="C248" s="6" t="str">
        <f t="shared" si="3"/>
        <v/>
      </c>
      <c r="D248" s="4" t="str">
        <f>IF('WL &amp; Q'!K248="","",'WL &amp; Q'!K248)</f>
        <v/>
      </c>
      <c r="E248" s="8">
        <v>3</v>
      </c>
      <c r="F248" s="8">
        <v>4</v>
      </c>
      <c r="G248" s="8">
        <v>6</v>
      </c>
    </row>
    <row r="249" spans="1:7" x14ac:dyDescent="0.3">
      <c r="A249" s="1">
        <f>'WL &amp; Q'!A249</f>
        <v>46242.208333332739</v>
      </c>
      <c r="B249" s="4" t="str">
        <f>IF('WL &amp; Q'!I249="","",'WL &amp; Q'!I249)</f>
        <v/>
      </c>
      <c r="C249" s="6" t="str">
        <f t="shared" si="3"/>
        <v/>
      </c>
      <c r="D249" s="4" t="str">
        <f>IF('WL &amp; Q'!K249="","",'WL &amp; Q'!K249)</f>
        <v/>
      </c>
      <c r="E249" s="8">
        <v>3</v>
      </c>
      <c r="F249" s="8">
        <v>4</v>
      </c>
      <c r="G249" s="8">
        <v>6</v>
      </c>
    </row>
    <row r="250" spans="1:7" x14ac:dyDescent="0.3">
      <c r="A250" s="1">
        <f>'WL &amp; Q'!A250</f>
        <v>46242.249999999403</v>
      </c>
      <c r="B250" s="4" t="str">
        <f>IF('WL &amp; Q'!I250="","",'WL &amp; Q'!I250)</f>
        <v/>
      </c>
      <c r="C250" s="6" t="str">
        <f t="shared" si="3"/>
        <v/>
      </c>
      <c r="D250" s="4" t="str">
        <f>IF('WL &amp; Q'!K250="","",'WL &amp; Q'!K250)</f>
        <v/>
      </c>
      <c r="E250" s="8">
        <v>3</v>
      </c>
      <c r="F250" s="8">
        <v>4</v>
      </c>
      <c r="G250" s="8">
        <v>6</v>
      </c>
    </row>
    <row r="251" spans="1:7" x14ac:dyDescent="0.3">
      <c r="A251" s="1">
        <f>'WL &amp; Q'!A251</f>
        <v>46242.291666666068</v>
      </c>
      <c r="B251" s="4" t="str">
        <f>IF('WL &amp; Q'!I251="","",'WL &amp; Q'!I251)</f>
        <v/>
      </c>
      <c r="C251" s="6" t="str">
        <f t="shared" si="3"/>
        <v/>
      </c>
      <c r="D251" s="4" t="str">
        <f>IF('WL &amp; Q'!K251="","",'WL &amp; Q'!K251)</f>
        <v/>
      </c>
      <c r="E251" s="8">
        <v>3</v>
      </c>
      <c r="F251" s="8">
        <v>4</v>
      </c>
      <c r="G251" s="8">
        <v>6</v>
      </c>
    </row>
    <row r="252" spans="1:7" x14ac:dyDescent="0.3">
      <c r="A252" s="1">
        <f>'WL &amp; Q'!A252</f>
        <v>46242.333333332732</v>
      </c>
      <c r="B252" s="4" t="str">
        <f>IF('WL &amp; Q'!I252="","",'WL &amp; Q'!I252)</f>
        <v/>
      </c>
      <c r="C252" s="6" t="str">
        <f t="shared" si="3"/>
        <v/>
      </c>
      <c r="D252" s="4" t="str">
        <f>IF('WL &amp; Q'!K252="","",'WL &amp; Q'!K252)</f>
        <v/>
      </c>
      <c r="E252" s="8">
        <v>3</v>
      </c>
      <c r="F252" s="8">
        <v>4</v>
      </c>
      <c r="G252" s="8">
        <v>6</v>
      </c>
    </row>
    <row r="253" spans="1:7" x14ac:dyDescent="0.3">
      <c r="A253" s="1">
        <f>'WL &amp; Q'!A253</f>
        <v>46242.374999999396</v>
      </c>
      <c r="B253" s="4" t="str">
        <f>IF('WL &amp; Q'!I253="","",'WL &amp; Q'!I253)</f>
        <v/>
      </c>
      <c r="C253" s="6" t="str">
        <f t="shared" si="3"/>
        <v/>
      </c>
      <c r="D253" s="4" t="str">
        <f>IF('WL &amp; Q'!K253="","",'WL &amp; Q'!K253)</f>
        <v/>
      </c>
      <c r="E253" s="8">
        <v>3</v>
      </c>
      <c r="F253" s="8">
        <v>4</v>
      </c>
      <c r="G253" s="8">
        <v>6</v>
      </c>
    </row>
    <row r="254" spans="1:7" x14ac:dyDescent="0.3">
      <c r="A254" s="1">
        <f>'WL &amp; Q'!A254</f>
        <v>46242.41666666606</v>
      </c>
      <c r="B254" s="4" t="str">
        <f>IF('WL &amp; Q'!I254="","",'WL &amp; Q'!I254)</f>
        <v/>
      </c>
      <c r="C254" s="6" t="str">
        <f t="shared" si="3"/>
        <v/>
      </c>
      <c r="D254" s="4" t="str">
        <f>IF('WL &amp; Q'!K254="","",'WL &amp; Q'!K254)</f>
        <v/>
      </c>
      <c r="E254" s="8">
        <v>3</v>
      </c>
      <c r="F254" s="8">
        <v>4</v>
      </c>
      <c r="G254" s="8">
        <v>6</v>
      </c>
    </row>
    <row r="255" spans="1:7" x14ac:dyDescent="0.3">
      <c r="A255" s="1">
        <f>'WL &amp; Q'!A255</f>
        <v>46242.458333332725</v>
      </c>
      <c r="B255" s="4" t="str">
        <f>IF('WL &amp; Q'!I255="","",'WL &amp; Q'!I255)</f>
        <v/>
      </c>
      <c r="C255" s="6" t="str">
        <f t="shared" si="3"/>
        <v/>
      </c>
      <c r="D255" s="4" t="str">
        <f>IF('WL &amp; Q'!K255="","",'WL &amp; Q'!K255)</f>
        <v/>
      </c>
      <c r="E255" s="8">
        <v>3</v>
      </c>
      <c r="F255" s="8">
        <v>4</v>
      </c>
      <c r="G255" s="8">
        <v>6</v>
      </c>
    </row>
    <row r="256" spans="1:7" x14ac:dyDescent="0.3">
      <c r="A256" s="1">
        <f>'WL &amp; Q'!A256</f>
        <v>46242.499999999389</v>
      </c>
      <c r="B256" s="4" t="str">
        <f>IF('WL &amp; Q'!I256="","",'WL &amp; Q'!I256)</f>
        <v/>
      </c>
      <c r="C256" s="6" t="str">
        <f t="shared" si="3"/>
        <v/>
      </c>
      <c r="D256" s="4" t="str">
        <f>IF('WL &amp; Q'!K256="","",'WL &amp; Q'!K256)</f>
        <v/>
      </c>
      <c r="E256" s="8">
        <v>3</v>
      </c>
      <c r="F256" s="8">
        <v>4</v>
      </c>
      <c r="G256" s="8">
        <v>6</v>
      </c>
    </row>
    <row r="257" spans="1:7" x14ac:dyDescent="0.3">
      <c r="A257" s="1">
        <f>'WL &amp; Q'!A257</f>
        <v>46242.541666666053</v>
      </c>
      <c r="B257" s="4" t="str">
        <f>IF('WL &amp; Q'!I257="","",'WL &amp; Q'!I257)</f>
        <v/>
      </c>
      <c r="C257" s="6" t="str">
        <f t="shared" si="3"/>
        <v/>
      </c>
      <c r="D257" s="4" t="str">
        <f>IF('WL &amp; Q'!K257="","",'WL &amp; Q'!K257)</f>
        <v/>
      </c>
      <c r="E257" s="8">
        <v>3</v>
      </c>
      <c r="F257" s="8">
        <v>4</v>
      </c>
      <c r="G257" s="8">
        <v>6</v>
      </c>
    </row>
    <row r="258" spans="1:7" x14ac:dyDescent="0.3">
      <c r="A258" s="1">
        <f>'WL &amp; Q'!A258</f>
        <v>46242.583333332717</v>
      </c>
      <c r="B258" s="4" t="str">
        <f>IF('WL &amp; Q'!I258="","",'WL &amp; Q'!I258)</f>
        <v/>
      </c>
      <c r="C258" s="6" t="str">
        <f t="shared" si="3"/>
        <v/>
      </c>
      <c r="D258" s="4" t="str">
        <f>IF('WL &amp; Q'!K258="","",'WL &amp; Q'!K258)</f>
        <v/>
      </c>
      <c r="E258" s="8">
        <v>3</v>
      </c>
      <c r="F258" s="8">
        <v>4</v>
      </c>
      <c r="G258" s="8">
        <v>6</v>
      </c>
    </row>
    <row r="259" spans="1:7" x14ac:dyDescent="0.3">
      <c r="A259" s="1">
        <f>'WL &amp; Q'!A259</f>
        <v>46242.624999999382</v>
      </c>
      <c r="B259" s="4" t="str">
        <f>IF('WL &amp; Q'!I259="","",'WL &amp; Q'!I259)</f>
        <v/>
      </c>
      <c r="C259" s="6" t="str">
        <f t="shared" si="3"/>
        <v/>
      </c>
      <c r="D259" s="4" t="str">
        <f>IF('WL &amp; Q'!K259="","",'WL &amp; Q'!K259)</f>
        <v/>
      </c>
      <c r="E259" s="8">
        <v>3</v>
      </c>
      <c r="F259" s="8">
        <v>4</v>
      </c>
      <c r="G259" s="8">
        <v>6</v>
      </c>
    </row>
    <row r="260" spans="1:7" x14ac:dyDescent="0.3">
      <c r="A260" s="1">
        <f>'WL &amp; Q'!A260</f>
        <v>46242.666666666046</v>
      </c>
      <c r="B260" s="4" t="str">
        <f>IF('WL &amp; Q'!I260="","",'WL &amp; Q'!I260)</f>
        <v/>
      </c>
      <c r="C260" s="6" t="str">
        <f t="shared" si="3"/>
        <v/>
      </c>
      <c r="D260" s="4" t="str">
        <f>IF('WL &amp; Q'!K260="","",'WL &amp; Q'!K260)</f>
        <v/>
      </c>
      <c r="E260" s="8">
        <v>3</v>
      </c>
      <c r="F260" s="8">
        <v>4</v>
      </c>
      <c r="G260" s="8">
        <v>6</v>
      </c>
    </row>
    <row r="261" spans="1:7" x14ac:dyDescent="0.3">
      <c r="A261" s="1">
        <f>'WL &amp; Q'!A261</f>
        <v>46242.70833333271</v>
      </c>
      <c r="B261" s="4" t="str">
        <f>IF('WL &amp; Q'!I261="","",'WL &amp; Q'!I261)</f>
        <v/>
      </c>
      <c r="C261" s="6" t="str">
        <f t="shared" si="3"/>
        <v/>
      </c>
      <c r="D261" s="4" t="str">
        <f>IF('WL &amp; Q'!K261="","",'WL &amp; Q'!K261)</f>
        <v/>
      </c>
      <c r="E261" s="8">
        <v>3</v>
      </c>
      <c r="F261" s="8">
        <v>4</v>
      </c>
      <c r="G261" s="8">
        <v>6</v>
      </c>
    </row>
    <row r="262" spans="1:7" x14ac:dyDescent="0.3">
      <c r="A262" s="1">
        <f>'WL &amp; Q'!A262</f>
        <v>46242.749999999374</v>
      </c>
      <c r="B262" s="4" t="str">
        <f>IF('WL &amp; Q'!I262="","",'WL &amp; Q'!I262)</f>
        <v/>
      </c>
      <c r="C262" s="6" t="str">
        <f t="shared" ref="C262:C268" si="4">IF(B262="","",IF(B262&lt;=2.23,13.015*(B262-0.345)^3.274,114.59*(B262-0.345)^2-419*(B262-0.345)+487.77))</f>
        <v/>
      </c>
      <c r="D262" s="4" t="str">
        <f>IF('WL &amp; Q'!K262="","",'WL &amp; Q'!K262)</f>
        <v/>
      </c>
      <c r="E262" s="8">
        <v>3</v>
      </c>
      <c r="F262" s="8">
        <v>4</v>
      </c>
      <c r="G262" s="8">
        <v>6</v>
      </c>
    </row>
    <row r="263" spans="1:7" x14ac:dyDescent="0.3">
      <c r="A263" s="1">
        <f>'WL &amp; Q'!A263</f>
        <v>46242.791666666039</v>
      </c>
      <c r="B263" s="4" t="str">
        <f>IF('WL &amp; Q'!I263="","",'WL &amp; Q'!I263)</f>
        <v/>
      </c>
      <c r="C263" s="6" t="str">
        <f t="shared" si="4"/>
        <v/>
      </c>
      <c r="D263" s="4" t="str">
        <f>IF('WL &amp; Q'!K263="","",'WL &amp; Q'!K263)</f>
        <v/>
      </c>
      <c r="E263" s="8">
        <v>3</v>
      </c>
      <c r="F263" s="8">
        <v>4</v>
      </c>
      <c r="G263" s="8">
        <v>6</v>
      </c>
    </row>
    <row r="264" spans="1:7" x14ac:dyDescent="0.3">
      <c r="A264" s="1">
        <f>'WL &amp; Q'!A264</f>
        <v>46242.833333332703</v>
      </c>
      <c r="B264" s="4" t="str">
        <f>IF('WL &amp; Q'!I264="","",'WL &amp; Q'!I264)</f>
        <v/>
      </c>
      <c r="C264" s="6" t="str">
        <f t="shared" si="4"/>
        <v/>
      </c>
      <c r="D264" s="4" t="str">
        <f>IF('WL &amp; Q'!K264="","",'WL &amp; Q'!K264)</f>
        <v/>
      </c>
      <c r="E264" s="8">
        <v>3</v>
      </c>
      <c r="F264" s="8">
        <v>4</v>
      </c>
      <c r="G264" s="8">
        <v>6</v>
      </c>
    </row>
    <row r="265" spans="1:7" x14ac:dyDescent="0.3">
      <c r="A265" s="1">
        <f>'WL &amp; Q'!A265</f>
        <v>46242.874999999367</v>
      </c>
      <c r="B265" s="4" t="str">
        <f>IF('WL &amp; Q'!I265="","",'WL &amp; Q'!I265)</f>
        <v/>
      </c>
      <c r="C265" s="6" t="str">
        <f t="shared" si="4"/>
        <v/>
      </c>
      <c r="D265" s="4" t="str">
        <f>IF('WL &amp; Q'!K265="","",'WL &amp; Q'!K265)</f>
        <v/>
      </c>
      <c r="E265" s="8">
        <v>3</v>
      </c>
      <c r="F265" s="8">
        <v>4</v>
      </c>
      <c r="G265" s="8">
        <v>6</v>
      </c>
    </row>
    <row r="266" spans="1:7" x14ac:dyDescent="0.3">
      <c r="A266" s="1">
        <f>'WL &amp; Q'!A266</f>
        <v>46242.916666666031</v>
      </c>
      <c r="B266" s="4" t="str">
        <f>IF('WL &amp; Q'!I266="","",'WL &amp; Q'!I266)</f>
        <v/>
      </c>
      <c r="C266" s="6" t="str">
        <f t="shared" si="4"/>
        <v/>
      </c>
      <c r="D266" s="4" t="str">
        <f>IF('WL &amp; Q'!K266="","",'WL &amp; Q'!K266)</f>
        <v/>
      </c>
      <c r="E266" s="8">
        <v>3</v>
      </c>
      <c r="F266" s="8">
        <v>4</v>
      </c>
      <c r="G266" s="8">
        <v>6</v>
      </c>
    </row>
    <row r="267" spans="1:7" x14ac:dyDescent="0.3">
      <c r="A267" s="1">
        <f>'WL &amp; Q'!A267</f>
        <v>46242.958333332695</v>
      </c>
      <c r="B267" s="4" t="str">
        <f>IF('WL &amp; Q'!I267="","",'WL &amp; Q'!I267)</f>
        <v/>
      </c>
      <c r="C267" s="6" t="str">
        <f t="shared" si="4"/>
        <v/>
      </c>
      <c r="D267" s="4" t="str">
        <f>IF('WL &amp; Q'!K267="","",'WL &amp; Q'!K267)</f>
        <v/>
      </c>
      <c r="E267" s="8">
        <v>3</v>
      </c>
      <c r="F267" s="8">
        <v>4</v>
      </c>
      <c r="G267" s="8">
        <v>6</v>
      </c>
    </row>
    <row r="268" spans="1:7" x14ac:dyDescent="0.3">
      <c r="A268" s="1">
        <f>'WL &amp; Q'!A268</f>
        <v>46242.99999999936</v>
      </c>
      <c r="B268" s="4" t="str">
        <f>IF('WL &amp; Q'!I268="","",'WL &amp; Q'!I268)</f>
        <v/>
      </c>
      <c r="C268" s="6" t="str">
        <f t="shared" si="4"/>
        <v/>
      </c>
      <c r="D268" s="4" t="str">
        <f>IF('WL &amp; Q'!K268="","",'WL &amp; Q'!K268)</f>
        <v/>
      </c>
      <c r="E268" s="8">
        <v>3</v>
      </c>
      <c r="F268" s="8">
        <v>4</v>
      </c>
      <c r="G268" s="8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5F5D-B3B7-40A0-9E1E-1F8E4FC17687}">
  <dimension ref="A1:Q268"/>
  <sheetViews>
    <sheetView workbookViewId="0">
      <selection activeCell="J31" sqref="J31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4</v>
      </c>
      <c r="C2" s="11"/>
      <c r="I2" s="18" t="s">
        <v>24</v>
      </c>
      <c r="J2" s="17" t="s">
        <v>20</v>
      </c>
      <c r="K2" s="17" t="s">
        <v>21</v>
      </c>
      <c r="L2" s="17" t="s">
        <v>22</v>
      </c>
      <c r="M2" s="17" t="s">
        <v>23</v>
      </c>
    </row>
    <row r="3" spans="1:17" x14ac:dyDescent="0.3">
      <c r="A3" s="11"/>
      <c r="C3" s="11"/>
      <c r="I3" s="18">
        <v>0</v>
      </c>
      <c r="J3" s="19">
        <f>Hanwella!J3</f>
        <v>46235.3125</v>
      </c>
      <c r="K3" s="19">
        <f>Hanwella!K3</f>
        <v>46237.479166666664</v>
      </c>
      <c r="L3" s="19">
        <f>Hanwella!L3</f>
        <v>46237.5625</v>
      </c>
      <c r="M3" s="19">
        <f>Hanwella!M3</f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8</v>
      </c>
      <c r="J4" s="19">
        <f>Hanwella!J4</f>
        <v>46235.3125</v>
      </c>
      <c r="K4" s="19">
        <f>Hanwella!K4</f>
        <v>46237.479166666664</v>
      </c>
      <c r="L4" s="19">
        <f>Hanwella!L4</f>
        <v>46237.5625</v>
      </c>
      <c r="M4" s="19">
        <f>Hanwella!M4</f>
        <v>46237.645833333336</v>
      </c>
      <c r="Q4" s="20"/>
    </row>
    <row r="5" spans="1:17" x14ac:dyDescent="0.3">
      <c r="A5" s="1">
        <f>'WL &amp; Q'!A5</f>
        <v>46232.041666666664</v>
      </c>
      <c r="B5" s="4">
        <f>IF('WL &amp; Q'!L5="","",'WL &amp; Q'!L5)</f>
        <v>0.3</v>
      </c>
      <c r="C5" s="6">
        <f t="shared" ref="C5:C69" si="0">IF(B5="","",IF((B5)&gt;2,8.9271*((B5)^2)+9.2434*(B5)-1.6791,14.51*(((B5)-0.1)^1.846)))</f>
        <v>0.74365034615895032</v>
      </c>
      <c r="D5" s="4">
        <f>IF('WL &amp; Q'!N5="","",'WL &amp; Q'!N5)</f>
        <v>0</v>
      </c>
      <c r="E5" s="8">
        <v>3</v>
      </c>
      <c r="F5" s="8">
        <v>3.4</v>
      </c>
      <c r="G5" s="8">
        <v>5</v>
      </c>
      <c r="K5" s="1"/>
      <c r="Q5" s="20"/>
    </row>
    <row r="6" spans="1:17" x14ac:dyDescent="0.3">
      <c r="A6" s="1">
        <f>'WL &amp; Q'!A6</f>
        <v>46232.083333333328</v>
      </c>
      <c r="B6" s="4">
        <f>IF('WL &amp; Q'!L6="","",'WL &amp; Q'!L6)</f>
        <v>0.27</v>
      </c>
      <c r="C6" s="6">
        <f t="shared" si="0"/>
        <v>0.55090424811277949</v>
      </c>
      <c r="D6" s="4">
        <f>IF('WL &amp; Q'!N6="","",'WL &amp; Q'!N6)</f>
        <v>2.8</v>
      </c>
      <c r="E6" s="8">
        <v>3</v>
      </c>
      <c r="F6" s="8">
        <v>3.4</v>
      </c>
      <c r="G6" s="8">
        <v>5</v>
      </c>
      <c r="K6" s="1"/>
      <c r="M6" s="1"/>
    </row>
    <row r="7" spans="1:17" x14ac:dyDescent="0.3">
      <c r="A7" s="1">
        <f>'WL &amp; Q'!A7</f>
        <v>46232.124999999993</v>
      </c>
      <c r="B7" s="4">
        <f>IF('WL &amp; Q'!L7="","",'WL &amp; Q'!L7)</f>
        <v>0.24</v>
      </c>
      <c r="C7" s="6">
        <f t="shared" si="0"/>
        <v>0.38496368802210973</v>
      </c>
      <c r="D7" s="4">
        <f>IF('WL &amp; Q'!N7="","",'WL &amp; Q'!N7)</f>
        <v>0</v>
      </c>
      <c r="E7" s="8">
        <v>3</v>
      </c>
      <c r="F7" s="8">
        <v>3.4</v>
      </c>
      <c r="G7" s="8">
        <v>5</v>
      </c>
    </row>
    <row r="8" spans="1:17" x14ac:dyDescent="0.3">
      <c r="A8" s="1">
        <f>'WL &amp; Q'!A8</f>
        <v>46232.166666666657</v>
      </c>
      <c r="B8" s="4">
        <f>IF('WL &amp; Q'!L8="","",'WL &amp; Q'!L8)</f>
        <v>0.22</v>
      </c>
      <c r="C8" s="6">
        <f t="shared" si="0"/>
        <v>0.28962496388385889</v>
      </c>
      <c r="D8" s="4">
        <f>IF('WL &amp; Q'!N8="","",'WL &amp; Q'!N8)</f>
        <v>0</v>
      </c>
      <c r="E8" s="8">
        <v>3</v>
      </c>
      <c r="F8" s="8">
        <v>3.4</v>
      </c>
      <c r="G8" s="8">
        <v>5</v>
      </c>
    </row>
    <row r="9" spans="1:17" x14ac:dyDescent="0.3">
      <c r="A9" s="1">
        <f>'WL &amp; Q'!A9</f>
        <v>46232.208333333321</v>
      </c>
      <c r="B9" s="4">
        <f>IF('WL &amp; Q'!L9="","",'WL &amp; Q'!L9)</f>
        <v>0.22</v>
      </c>
      <c r="C9" s="6">
        <f t="shared" si="0"/>
        <v>0.28962496388385889</v>
      </c>
      <c r="D9" s="4">
        <f>IF('WL &amp; Q'!N9="","",'WL &amp; Q'!N9)</f>
        <v>0</v>
      </c>
      <c r="E9" s="8">
        <v>3</v>
      </c>
      <c r="F9" s="8">
        <v>3.4</v>
      </c>
      <c r="G9" s="8">
        <v>5</v>
      </c>
    </row>
    <row r="10" spans="1:17" x14ac:dyDescent="0.3">
      <c r="A10" s="1">
        <f>'WL &amp; Q'!A10</f>
        <v>46232.249999999985</v>
      </c>
      <c r="B10" s="4">
        <f>IF('WL &amp; Q'!L10="","",'WL &amp; Q'!L10)</f>
        <v>0.21</v>
      </c>
      <c r="C10" s="6">
        <f t="shared" si="0"/>
        <v>0.2466484037974217</v>
      </c>
      <c r="D10" s="4">
        <f>IF('WL &amp; Q'!N10="","",'WL &amp; Q'!N10)</f>
        <v>0</v>
      </c>
      <c r="E10" s="8">
        <v>3</v>
      </c>
      <c r="F10" s="8">
        <v>3.4</v>
      </c>
      <c r="G10" s="8">
        <v>5</v>
      </c>
    </row>
    <row r="11" spans="1:17" x14ac:dyDescent="0.3">
      <c r="A11" s="1">
        <f>'WL &amp; Q'!A11</f>
        <v>46232.29166666665</v>
      </c>
      <c r="B11" s="4">
        <f>IF('WL &amp; Q'!L11="","",'WL &amp; Q'!L11)</f>
        <v>0.21</v>
      </c>
      <c r="C11" s="6">
        <f t="shared" si="0"/>
        <v>0.2466484037974217</v>
      </c>
      <c r="D11" s="4">
        <f>IF('WL &amp; Q'!N11="","",'WL &amp; Q'!N11)</f>
        <v>1.1000000000000001</v>
      </c>
      <c r="E11" s="8">
        <v>3</v>
      </c>
      <c r="F11" s="8">
        <v>3.4</v>
      </c>
      <c r="G11" s="8">
        <v>5</v>
      </c>
    </row>
    <row r="12" spans="1:17" x14ac:dyDescent="0.3">
      <c r="A12" s="1">
        <f>'WL &amp; Q'!A12</f>
        <v>46232.333333333314</v>
      </c>
      <c r="B12" s="4">
        <f>IF('WL &amp; Q'!L12="","",'WL &amp; Q'!L12)</f>
        <v>0.2</v>
      </c>
      <c r="C12" s="6">
        <f t="shared" si="0"/>
        <v>0.20685566183167753</v>
      </c>
      <c r="D12" s="4">
        <f>IF('WL &amp; Q'!N12="","",'WL &amp; Q'!N12)</f>
        <v>0</v>
      </c>
      <c r="E12" s="8">
        <v>3</v>
      </c>
      <c r="F12" s="8">
        <v>3.4</v>
      </c>
      <c r="G12" s="8">
        <v>5</v>
      </c>
    </row>
    <row r="13" spans="1:17" x14ac:dyDescent="0.3">
      <c r="A13" s="1">
        <f>'WL &amp; Q'!A13</f>
        <v>46232.374999999978</v>
      </c>
      <c r="B13" s="4">
        <f>IF('WL &amp; Q'!L13="","",'WL &amp; Q'!L13)</f>
        <v>0.2</v>
      </c>
      <c r="C13" s="6">
        <f t="shared" si="0"/>
        <v>0.20685566183167753</v>
      </c>
      <c r="D13" s="4">
        <f>IF('WL &amp; Q'!N13="","",'WL &amp; Q'!N13)</f>
        <v>0</v>
      </c>
      <c r="E13" s="8">
        <v>3</v>
      </c>
      <c r="F13" s="8">
        <v>3.4</v>
      </c>
      <c r="G13" s="8">
        <v>5</v>
      </c>
    </row>
    <row r="14" spans="1:17" x14ac:dyDescent="0.3">
      <c r="A14" s="1">
        <f>'WL &amp; Q'!A14</f>
        <v>46232.416666666642</v>
      </c>
      <c r="B14" s="4">
        <f>IF('WL &amp; Q'!L14="","",'WL &amp; Q'!L14)</f>
        <v>0.2</v>
      </c>
      <c r="C14" s="6">
        <f t="shared" si="0"/>
        <v>0.20685566183167753</v>
      </c>
      <c r="D14" s="4">
        <f>IF('WL &amp; Q'!N14="","",'WL &amp; Q'!N14)</f>
        <v>0</v>
      </c>
      <c r="E14" s="8">
        <v>3</v>
      </c>
      <c r="F14" s="8">
        <v>3.4</v>
      </c>
      <c r="G14" s="8">
        <v>5</v>
      </c>
    </row>
    <row r="15" spans="1:17" x14ac:dyDescent="0.3">
      <c r="A15" s="1">
        <f>'WL &amp; Q'!A15</f>
        <v>46232.458333333307</v>
      </c>
      <c r="B15" s="4">
        <f>IF('WL &amp; Q'!L15="","",'WL &amp; Q'!L15)</f>
        <v>0.2</v>
      </c>
      <c r="C15" s="6">
        <f t="shared" si="0"/>
        <v>0.20685566183167753</v>
      </c>
      <c r="D15" s="4">
        <f>IF('WL &amp; Q'!N15="","",'WL &amp; Q'!N15)</f>
        <v>0</v>
      </c>
      <c r="E15" s="8">
        <v>3</v>
      </c>
      <c r="F15" s="8">
        <v>3.4</v>
      </c>
      <c r="G15" s="8">
        <v>5</v>
      </c>
    </row>
    <row r="16" spans="1:17" x14ac:dyDescent="0.3">
      <c r="A16" s="1">
        <f>'WL &amp; Q'!A16</f>
        <v>46232.499999999971</v>
      </c>
      <c r="B16" s="4">
        <f>IF('WL &amp; Q'!L16="","",'WL &amp; Q'!L16)</f>
        <v>0.2</v>
      </c>
      <c r="C16" s="6">
        <f t="shared" si="0"/>
        <v>0.20685566183167753</v>
      </c>
      <c r="D16" s="4">
        <f>IF('WL &amp; Q'!N16="","",'WL &amp; Q'!N16)</f>
        <v>0</v>
      </c>
      <c r="E16" s="8">
        <v>3</v>
      </c>
      <c r="F16" s="8">
        <v>3.4</v>
      </c>
      <c r="G16" s="8">
        <v>5</v>
      </c>
    </row>
    <row r="17" spans="1:7" x14ac:dyDescent="0.3">
      <c r="A17" s="1">
        <f>'WL &amp; Q'!A17</f>
        <v>46232.541666666635</v>
      </c>
      <c r="B17" s="4">
        <f>IF('WL &amp; Q'!L17="","",'WL &amp; Q'!L17)</f>
        <v>0.2</v>
      </c>
      <c r="C17" s="6">
        <f t="shared" si="0"/>
        <v>0.20685566183167753</v>
      </c>
      <c r="D17" s="4">
        <f>IF('WL &amp; Q'!N17="","",'WL &amp; Q'!N17)</f>
        <v>0</v>
      </c>
      <c r="E17" s="8">
        <v>3</v>
      </c>
      <c r="F17" s="8">
        <v>3.4</v>
      </c>
      <c r="G17" s="8">
        <v>5</v>
      </c>
    </row>
    <row r="18" spans="1:7" x14ac:dyDescent="0.3">
      <c r="A18" s="1">
        <f>'WL &amp; Q'!A18</f>
        <v>46232.583333333299</v>
      </c>
      <c r="B18" s="4">
        <f>IF('WL &amp; Q'!L18="","",'WL &amp; Q'!L18)</f>
        <v>0.2</v>
      </c>
      <c r="C18" s="6">
        <f t="shared" si="0"/>
        <v>0.20685566183167753</v>
      </c>
      <c r="D18" s="4">
        <f>IF('WL &amp; Q'!N18="","",'WL &amp; Q'!N18)</f>
        <v>0</v>
      </c>
      <c r="E18" s="8">
        <v>3</v>
      </c>
      <c r="F18" s="8">
        <v>3.4</v>
      </c>
      <c r="G18" s="8">
        <v>5</v>
      </c>
    </row>
    <row r="19" spans="1:7" x14ac:dyDescent="0.3">
      <c r="A19" s="1">
        <f>'WL &amp; Q'!A19</f>
        <v>46232.624999999964</v>
      </c>
      <c r="B19" s="4">
        <f>IF('WL &amp; Q'!L19="","",'WL &amp; Q'!L19)</f>
        <v>0.2</v>
      </c>
      <c r="C19" s="6">
        <f t="shared" si="0"/>
        <v>0.20685566183167753</v>
      </c>
      <c r="D19" s="4">
        <f>IF('WL &amp; Q'!N19="","",'WL &amp; Q'!N19)</f>
        <v>0</v>
      </c>
      <c r="E19" s="8">
        <v>3</v>
      </c>
      <c r="F19" s="8">
        <v>3.4</v>
      </c>
      <c r="G19" s="8">
        <v>5</v>
      </c>
    </row>
    <row r="20" spans="1:7" x14ac:dyDescent="0.3">
      <c r="A20" s="1">
        <f>'WL &amp; Q'!A20</f>
        <v>46232.666666666628</v>
      </c>
      <c r="B20" s="4">
        <f>IF('WL &amp; Q'!L20="","",'WL &amp; Q'!L20)</f>
        <v>0.2</v>
      </c>
      <c r="C20" s="6">
        <f t="shared" si="0"/>
        <v>0.20685566183167753</v>
      </c>
      <c r="D20" s="4">
        <f>IF('WL &amp; Q'!N20="","",'WL &amp; Q'!N20)</f>
        <v>0</v>
      </c>
      <c r="E20" s="8">
        <v>3</v>
      </c>
      <c r="F20" s="8">
        <v>3.4</v>
      </c>
      <c r="G20" s="8">
        <v>5</v>
      </c>
    </row>
    <row r="21" spans="1:7" x14ac:dyDescent="0.3">
      <c r="A21" s="1">
        <f>'WL &amp; Q'!A21</f>
        <v>46232.708333333292</v>
      </c>
      <c r="B21" s="4">
        <f>IF('WL &amp; Q'!L21="","",'WL &amp; Q'!L21)</f>
        <v>0.2</v>
      </c>
      <c r="C21" s="6">
        <f t="shared" si="0"/>
        <v>0.20685566183167753</v>
      </c>
      <c r="D21" s="4">
        <f>IF('WL &amp; Q'!N21="","",'WL &amp; Q'!N21)</f>
        <v>0</v>
      </c>
      <c r="E21" s="8">
        <v>3</v>
      </c>
      <c r="F21" s="8">
        <v>3.4</v>
      </c>
      <c r="G21" s="8">
        <v>5</v>
      </c>
    </row>
    <row r="22" spans="1:7" x14ac:dyDescent="0.3">
      <c r="A22" s="1">
        <f>'WL &amp; Q'!A22</f>
        <v>46232.749999999956</v>
      </c>
      <c r="B22" s="4">
        <f>IF('WL &amp; Q'!L22="","",'WL &amp; Q'!L22)</f>
        <v>0.2</v>
      </c>
      <c r="C22" s="6">
        <f t="shared" si="0"/>
        <v>0.20685566183167753</v>
      </c>
      <c r="D22" s="4">
        <f>IF('WL &amp; Q'!N22="","",'WL &amp; Q'!N22)</f>
        <v>0</v>
      </c>
      <c r="E22" s="8">
        <v>3</v>
      </c>
      <c r="F22" s="8">
        <v>3.4</v>
      </c>
      <c r="G22" s="8">
        <v>5</v>
      </c>
    </row>
    <row r="23" spans="1:7" x14ac:dyDescent="0.3">
      <c r="A23" s="1">
        <f>'WL &amp; Q'!A23</f>
        <v>46232.791666666621</v>
      </c>
      <c r="B23" s="4">
        <f>IF('WL &amp; Q'!L23="","",'WL &amp; Q'!L23)</f>
        <v>0.2</v>
      </c>
      <c r="C23" s="6">
        <f t="shared" si="0"/>
        <v>0.20685566183167753</v>
      </c>
      <c r="D23" s="4">
        <f>IF('WL &amp; Q'!N23="","",'WL &amp; Q'!N23)</f>
        <v>0</v>
      </c>
      <c r="E23" s="8">
        <v>3</v>
      </c>
      <c r="F23" s="8">
        <v>3.4</v>
      </c>
      <c r="G23" s="8">
        <v>5</v>
      </c>
    </row>
    <row r="24" spans="1:7" x14ac:dyDescent="0.3">
      <c r="A24" s="1">
        <f>'WL &amp; Q'!A24</f>
        <v>46232.833333333285</v>
      </c>
      <c r="B24" s="4">
        <f>IF('WL &amp; Q'!L24="","",'WL &amp; Q'!L24)</f>
        <v>0.2</v>
      </c>
      <c r="C24" s="6">
        <f t="shared" si="0"/>
        <v>0.20685566183167753</v>
      </c>
      <c r="D24" s="4">
        <f>IF('WL &amp; Q'!N24="","",'WL &amp; Q'!N24)</f>
        <v>0</v>
      </c>
      <c r="E24" s="8">
        <v>3</v>
      </c>
      <c r="F24" s="8">
        <v>3.4</v>
      </c>
      <c r="G24" s="8">
        <v>5</v>
      </c>
    </row>
    <row r="25" spans="1:7" x14ac:dyDescent="0.3">
      <c r="A25" s="1">
        <f>'WL &amp; Q'!A25</f>
        <v>46232.874999999949</v>
      </c>
      <c r="B25" s="4">
        <f>IF('WL &amp; Q'!L25="","",'WL &amp; Q'!L25)</f>
        <v>0.32</v>
      </c>
      <c r="C25" s="6">
        <f t="shared" si="0"/>
        <v>0.88670606953344155</v>
      </c>
      <c r="D25" s="4">
        <f>IF('WL &amp; Q'!N25="","",'WL &amp; Q'!N25)</f>
        <v>0</v>
      </c>
      <c r="E25" s="8">
        <v>3</v>
      </c>
      <c r="F25" s="8">
        <v>3.4</v>
      </c>
      <c r="G25" s="8">
        <v>5</v>
      </c>
    </row>
    <row r="26" spans="1:7" x14ac:dyDescent="0.3">
      <c r="A26" s="1">
        <f>'WL &amp; Q'!A26</f>
        <v>46232.916666666613</v>
      </c>
      <c r="B26" s="4">
        <f>IF('WL &amp; Q'!L26="","",'WL &amp; Q'!L26)</f>
        <v>0.39</v>
      </c>
      <c r="C26" s="6">
        <f t="shared" si="0"/>
        <v>1.4765702587318628</v>
      </c>
      <c r="D26" s="4">
        <f>IF('WL &amp; Q'!N26="","",'WL &amp; Q'!N26)</f>
        <v>0</v>
      </c>
      <c r="E26" s="8">
        <v>3</v>
      </c>
      <c r="F26" s="8">
        <v>3.4</v>
      </c>
      <c r="G26" s="8">
        <v>5</v>
      </c>
    </row>
    <row r="27" spans="1:7" x14ac:dyDescent="0.3">
      <c r="A27" s="1">
        <f>'WL &amp; Q'!A27</f>
        <v>46232.958333333278</v>
      </c>
      <c r="B27" s="4">
        <f>IF('WL &amp; Q'!L27="","",'WL &amp; Q'!L27)</f>
        <v>0.42</v>
      </c>
      <c r="C27" s="6">
        <f t="shared" si="0"/>
        <v>1.770819404983436</v>
      </c>
      <c r="D27" s="4">
        <f>IF('WL &amp; Q'!N27="","",'WL &amp; Q'!N27)</f>
        <v>0</v>
      </c>
      <c r="E27" s="8">
        <v>3</v>
      </c>
      <c r="F27" s="8">
        <v>3.4</v>
      </c>
      <c r="G27" s="8">
        <v>5</v>
      </c>
    </row>
    <row r="28" spans="1:7" x14ac:dyDescent="0.3">
      <c r="A28" s="1">
        <f>'WL &amp; Q'!A28</f>
        <v>46232.999999999942</v>
      </c>
      <c r="B28" s="4">
        <f>IF('WL &amp; Q'!L28="","",'WL &amp; Q'!L28)</f>
        <v>0.41</v>
      </c>
      <c r="C28" s="6">
        <f t="shared" si="0"/>
        <v>1.6700177966385283</v>
      </c>
      <c r="D28" s="4">
        <f>IF('WL &amp; Q'!N28="","",'WL &amp; Q'!N28)</f>
        <v>0</v>
      </c>
      <c r="E28" s="8">
        <v>3</v>
      </c>
      <c r="F28" s="8">
        <v>3.4</v>
      </c>
      <c r="G28" s="8">
        <v>5</v>
      </c>
    </row>
    <row r="29" spans="1:7" x14ac:dyDescent="0.3">
      <c r="A29" s="1">
        <f>'WL &amp; Q'!A29</f>
        <v>46233.041666666606</v>
      </c>
      <c r="B29" s="4">
        <f>IF('WL &amp; Q'!L29="","",'WL &amp; Q'!L29)</f>
        <v>0.4</v>
      </c>
      <c r="C29" s="6">
        <f t="shared" si="0"/>
        <v>1.5719301671856853</v>
      </c>
      <c r="D29" s="4">
        <f>IF('WL &amp; Q'!N29="","",'WL &amp; Q'!N29)</f>
        <v>0</v>
      </c>
      <c r="E29" s="8">
        <v>3</v>
      </c>
      <c r="F29" s="8">
        <v>3.4</v>
      </c>
      <c r="G29" s="8">
        <v>5</v>
      </c>
    </row>
    <row r="30" spans="1:7" x14ac:dyDescent="0.3">
      <c r="A30" s="1">
        <f>'WL &amp; Q'!A30</f>
        <v>46233.08333333327</v>
      </c>
      <c r="B30" s="4">
        <f>IF('WL &amp; Q'!L30="","",'WL &amp; Q'!L30)</f>
        <v>0.35</v>
      </c>
      <c r="C30" s="6">
        <f t="shared" si="0"/>
        <v>1.1227024450032077</v>
      </c>
      <c r="D30" s="4">
        <f>IF('WL &amp; Q'!N30="","",'WL &amp; Q'!N30)</f>
        <v>0</v>
      </c>
      <c r="E30" s="8">
        <v>3</v>
      </c>
      <c r="F30" s="8">
        <v>3.4</v>
      </c>
      <c r="G30" s="8">
        <v>5</v>
      </c>
    </row>
    <row r="31" spans="1:7" x14ac:dyDescent="0.3">
      <c r="A31" s="1">
        <f>'WL &amp; Q'!A31</f>
        <v>46233.124999999935</v>
      </c>
      <c r="B31" s="4">
        <f>IF('WL &amp; Q'!L31="","",'WL &amp; Q'!L31)</f>
        <v>0.33</v>
      </c>
      <c r="C31" s="6">
        <f t="shared" si="0"/>
        <v>0.96253603570002277</v>
      </c>
      <c r="D31" s="4">
        <f>IF('WL &amp; Q'!N31="","",'WL &amp; Q'!N31)</f>
        <v>0</v>
      </c>
      <c r="E31" s="8">
        <v>3</v>
      </c>
      <c r="F31" s="8">
        <v>3.4</v>
      </c>
      <c r="G31" s="8">
        <v>5</v>
      </c>
    </row>
    <row r="32" spans="1:7" x14ac:dyDescent="0.3">
      <c r="A32" s="1">
        <f>'WL &amp; Q'!A32</f>
        <v>46233.166666666599</v>
      </c>
      <c r="B32" s="4">
        <f>IF('WL &amp; Q'!L32="","",'WL &amp; Q'!L32)</f>
        <v>0.3</v>
      </c>
      <c r="C32" s="6">
        <f t="shared" si="0"/>
        <v>0.74365034615895032</v>
      </c>
      <c r="D32" s="4">
        <f>IF('WL &amp; Q'!N32="","",'WL &amp; Q'!N32)</f>
        <v>0</v>
      </c>
      <c r="E32" s="8">
        <v>3</v>
      </c>
      <c r="F32" s="8">
        <v>3.4</v>
      </c>
      <c r="G32" s="8">
        <v>5</v>
      </c>
    </row>
    <row r="33" spans="1:7" x14ac:dyDescent="0.3">
      <c r="A33" s="1">
        <f>'WL &amp; Q'!A33</f>
        <v>46233.208333333263</v>
      </c>
      <c r="B33" s="4">
        <f>IF('WL &amp; Q'!L33="","",'WL &amp; Q'!L33)</f>
        <v>0.28000000000000003</v>
      </c>
      <c r="C33" s="6">
        <f t="shared" si="0"/>
        <v>0.61221005308560861</v>
      </c>
      <c r="D33" s="4">
        <f>IF('WL &amp; Q'!N33="","",'WL &amp; Q'!N33)</f>
        <v>0</v>
      </c>
      <c r="E33" s="8">
        <v>3</v>
      </c>
      <c r="F33" s="8">
        <v>3.4</v>
      </c>
      <c r="G33" s="8">
        <v>5</v>
      </c>
    </row>
    <row r="34" spans="1:7" x14ac:dyDescent="0.3">
      <c r="A34" s="1">
        <f>'WL &amp; Q'!A34</f>
        <v>46233.249999999927</v>
      </c>
      <c r="B34" s="4">
        <f>IF('WL &amp; Q'!L34="","",'WL &amp; Q'!L34)</f>
        <v>0.25</v>
      </c>
      <c r="C34" s="6">
        <f t="shared" si="0"/>
        <v>0.43725207251752263</v>
      </c>
      <c r="D34" s="4">
        <f>IF('WL &amp; Q'!N34="","",'WL &amp; Q'!N34)</f>
        <v>0</v>
      </c>
      <c r="E34" s="8">
        <v>3</v>
      </c>
      <c r="F34" s="8">
        <v>3.4</v>
      </c>
      <c r="G34" s="8">
        <v>5</v>
      </c>
    </row>
    <row r="35" spans="1:7" x14ac:dyDescent="0.3">
      <c r="A35" s="1">
        <f>'WL &amp; Q'!A35</f>
        <v>46233.291666666591</v>
      </c>
      <c r="B35" s="4">
        <f>IF('WL &amp; Q'!L35="","",'WL &amp; Q'!L35)</f>
        <v>0.21</v>
      </c>
      <c r="C35" s="6">
        <f t="shared" si="0"/>
        <v>0.2466484037974217</v>
      </c>
      <c r="D35" s="4">
        <f>IF('WL &amp; Q'!N35="","",'WL &amp; Q'!N35)</f>
        <v>0</v>
      </c>
      <c r="E35" s="8">
        <v>3</v>
      </c>
      <c r="F35" s="8">
        <v>3.4</v>
      </c>
      <c r="G35" s="8">
        <v>5</v>
      </c>
    </row>
    <row r="36" spans="1:7" x14ac:dyDescent="0.3">
      <c r="A36" s="1">
        <f>'WL &amp; Q'!A36</f>
        <v>46233.333333333256</v>
      </c>
      <c r="B36" s="4">
        <f>IF('WL &amp; Q'!L36="","",'WL &amp; Q'!L36)</f>
        <v>0.21</v>
      </c>
      <c r="C36" s="6">
        <f t="shared" si="0"/>
        <v>0.2466484037974217</v>
      </c>
      <c r="D36" s="4">
        <f>IF('WL &amp; Q'!N36="","",'WL &amp; Q'!N36)</f>
        <v>0</v>
      </c>
      <c r="E36" s="8">
        <v>3</v>
      </c>
      <c r="F36" s="8">
        <v>3.4</v>
      </c>
      <c r="G36" s="8">
        <v>5</v>
      </c>
    </row>
    <row r="37" spans="1:7" x14ac:dyDescent="0.3">
      <c r="A37" s="1">
        <f>'WL &amp; Q'!A37</f>
        <v>46233.37499999992</v>
      </c>
      <c r="B37" s="4">
        <f>IF('WL &amp; Q'!L37="","",'WL &amp; Q'!L37)</f>
        <v>0.21</v>
      </c>
      <c r="C37" s="6">
        <f t="shared" si="0"/>
        <v>0.2466484037974217</v>
      </c>
      <c r="D37" s="4">
        <f>IF('WL &amp; Q'!N37="","",'WL &amp; Q'!N37)</f>
        <v>0</v>
      </c>
      <c r="E37" s="8">
        <v>3</v>
      </c>
      <c r="F37" s="8">
        <v>3.4</v>
      </c>
      <c r="G37" s="8">
        <v>5</v>
      </c>
    </row>
    <row r="38" spans="1:7" x14ac:dyDescent="0.3">
      <c r="A38" s="1">
        <f>'WL &amp; Q'!A38</f>
        <v>46233.416666666584</v>
      </c>
      <c r="B38" s="4">
        <f>IF('WL &amp; Q'!L38="","",'WL &amp; Q'!L38)</f>
        <v>0.2</v>
      </c>
      <c r="C38" s="6">
        <f t="shared" si="0"/>
        <v>0.20685566183167753</v>
      </c>
      <c r="D38" s="4">
        <f>IF('WL &amp; Q'!N38="","",'WL &amp; Q'!N38)</f>
        <v>0.8</v>
      </c>
      <c r="E38" s="8">
        <v>3</v>
      </c>
      <c r="F38" s="8">
        <v>3.4</v>
      </c>
      <c r="G38" s="8">
        <v>5</v>
      </c>
    </row>
    <row r="39" spans="1:7" x14ac:dyDescent="0.3">
      <c r="A39" s="1">
        <f>'WL &amp; Q'!A39</f>
        <v>46233.458333333248</v>
      </c>
      <c r="B39" s="4">
        <f>IF('WL &amp; Q'!L39="","",'WL &amp; Q'!L39)</f>
        <v>0.2</v>
      </c>
      <c r="C39" s="6">
        <f t="shared" si="0"/>
        <v>0.20685566183167753</v>
      </c>
      <c r="D39" s="4">
        <f>IF('WL &amp; Q'!N39="","",'WL &amp; Q'!N39)</f>
        <v>0</v>
      </c>
      <c r="E39" s="8">
        <v>3</v>
      </c>
      <c r="F39" s="8">
        <v>3.4</v>
      </c>
      <c r="G39" s="8">
        <v>5</v>
      </c>
    </row>
    <row r="40" spans="1:7" x14ac:dyDescent="0.3">
      <c r="A40" s="1">
        <f>'WL &amp; Q'!A40</f>
        <v>46233.499999999913</v>
      </c>
      <c r="B40" s="4">
        <f>IF('WL &amp; Q'!L40="","",'WL &amp; Q'!L40)</f>
        <v>0.2</v>
      </c>
      <c r="C40" s="6">
        <f t="shared" si="0"/>
        <v>0.20685566183167753</v>
      </c>
      <c r="D40" s="4">
        <f>IF('WL &amp; Q'!N40="","",'WL &amp; Q'!N40)</f>
        <v>0</v>
      </c>
      <c r="E40" s="8">
        <v>3</v>
      </c>
      <c r="F40" s="8">
        <v>3.4</v>
      </c>
      <c r="G40" s="8">
        <v>5</v>
      </c>
    </row>
    <row r="41" spans="1:7" x14ac:dyDescent="0.3">
      <c r="A41" s="1">
        <f>'WL &amp; Q'!A41</f>
        <v>46233.541666666577</v>
      </c>
      <c r="B41" s="4">
        <f>IF('WL &amp; Q'!L41="","",'WL &amp; Q'!L41)</f>
        <v>0.2</v>
      </c>
      <c r="C41" s="6">
        <f t="shared" si="0"/>
        <v>0.20685566183167753</v>
      </c>
      <c r="D41" s="4">
        <f>IF('WL &amp; Q'!N41="","",'WL &amp; Q'!N41)</f>
        <v>0</v>
      </c>
      <c r="E41" s="8">
        <v>3</v>
      </c>
      <c r="F41" s="8">
        <v>3.4</v>
      </c>
      <c r="G41" s="8">
        <v>5</v>
      </c>
    </row>
    <row r="42" spans="1:7" x14ac:dyDescent="0.3">
      <c r="A42" s="1">
        <f>'WL &amp; Q'!A42</f>
        <v>46233.583333333241</v>
      </c>
      <c r="B42" s="4">
        <f>IF('WL &amp; Q'!L42="","",'WL &amp; Q'!L42)</f>
        <v>0.2</v>
      </c>
      <c r="C42" s="6">
        <f t="shared" si="0"/>
        <v>0.20685566183167753</v>
      </c>
      <c r="D42" s="4">
        <f>IF('WL &amp; Q'!N42="","",'WL &amp; Q'!N42)</f>
        <v>0</v>
      </c>
      <c r="E42" s="8">
        <v>3</v>
      </c>
      <c r="F42" s="8">
        <v>3.4</v>
      </c>
      <c r="G42" s="8">
        <v>5</v>
      </c>
    </row>
    <row r="43" spans="1:7" x14ac:dyDescent="0.3">
      <c r="A43" s="1">
        <f>'WL &amp; Q'!A43</f>
        <v>46233.624999999905</v>
      </c>
      <c r="B43" s="4">
        <f>IF('WL &amp; Q'!L43="","",'WL &amp; Q'!L43)</f>
        <v>0.2</v>
      </c>
      <c r="C43" s="6">
        <f t="shared" si="0"/>
        <v>0.20685566183167753</v>
      </c>
      <c r="D43" s="4">
        <f>IF('WL &amp; Q'!N43="","",'WL &amp; Q'!N43)</f>
        <v>0</v>
      </c>
      <c r="E43" s="8">
        <v>3</v>
      </c>
      <c r="F43" s="8">
        <v>3.4</v>
      </c>
      <c r="G43" s="8">
        <v>5</v>
      </c>
    </row>
    <row r="44" spans="1:7" x14ac:dyDescent="0.3">
      <c r="A44" s="1">
        <f>'WL &amp; Q'!A44</f>
        <v>46233.66666666657</v>
      </c>
      <c r="B44" s="4">
        <f>IF('WL &amp; Q'!L44="","",'WL &amp; Q'!L44)</f>
        <v>0.2</v>
      </c>
      <c r="C44" s="6">
        <f t="shared" si="0"/>
        <v>0.20685566183167753</v>
      </c>
      <c r="D44" s="4">
        <f>IF('WL &amp; Q'!N44="","",'WL &amp; Q'!N44)</f>
        <v>0</v>
      </c>
      <c r="E44" s="8">
        <v>3</v>
      </c>
      <c r="F44" s="8">
        <v>3.4</v>
      </c>
      <c r="G44" s="8">
        <v>5</v>
      </c>
    </row>
    <row r="45" spans="1:7" x14ac:dyDescent="0.3">
      <c r="A45" s="1">
        <f>'WL &amp; Q'!A45</f>
        <v>46233.708333333234</v>
      </c>
      <c r="B45" s="4">
        <f>IF('WL &amp; Q'!L45="","",'WL &amp; Q'!L45)</f>
        <v>0.31</v>
      </c>
      <c r="C45" s="6">
        <f t="shared" si="0"/>
        <v>0.81373731297056251</v>
      </c>
      <c r="D45" s="4">
        <f>IF('WL &amp; Q'!N45="","",'WL &amp; Q'!N45)</f>
        <v>0</v>
      </c>
      <c r="E45" s="8">
        <v>3</v>
      </c>
      <c r="F45" s="8">
        <v>3.4</v>
      </c>
      <c r="G45" s="8">
        <v>5</v>
      </c>
    </row>
    <row r="46" spans="1:7" x14ac:dyDescent="0.3">
      <c r="A46" s="1">
        <f>'WL &amp; Q'!A46</f>
        <v>46233.749999999898</v>
      </c>
      <c r="B46" s="4">
        <f>IF('WL &amp; Q'!L46="","",'WL &amp; Q'!L46)</f>
        <v>0.4</v>
      </c>
      <c r="C46" s="6">
        <f t="shared" si="0"/>
        <v>1.5719301671856853</v>
      </c>
      <c r="D46" s="4">
        <f>IF('WL &amp; Q'!N46="","",'WL &amp; Q'!N46)</f>
        <v>0</v>
      </c>
      <c r="E46" s="8">
        <v>3</v>
      </c>
      <c r="F46" s="8">
        <v>3.4</v>
      </c>
      <c r="G46" s="8">
        <v>5</v>
      </c>
    </row>
    <row r="47" spans="1:7" x14ac:dyDescent="0.3">
      <c r="A47" s="1">
        <f>'WL &amp; Q'!A47</f>
        <v>46233.791666666562</v>
      </c>
      <c r="B47" s="4">
        <f>IF('WL &amp; Q'!L47="","",'WL &amp; Q'!L47)</f>
        <v>0.39</v>
      </c>
      <c r="C47" s="6">
        <f t="shared" si="0"/>
        <v>1.4765702587318628</v>
      </c>
      <c r="D47" s="4">
        <f>IF('WL &amp; Q'!N47="","",'WL &amp; Q'!N47)</f>
        <v>0</v>
      </c>
      <c r="E47" s="8">
        <v>3</v>
      </c>
      <c r="F47" s="8">
        <v>3.4</v>
      </c>
      <c r="G47" s="8">
        <v>5</v>
      </c>
    </row>
    <row r="48" spans="1:7" x14ac:dyDescent="0.3">
      <c r="A48" s="1">
        <f>'WL &amp; Q'!A48</f>
        <v>46233.833333333227</v>
      </c>
      <c r="B48" s="4">
        <f>IF('WL &amp; Q'!L48="","",'WL &amp; Q'!L48)</f>
        <v>0.39</v>
      </c>
      <c r="C48" s="6">
        <f t="shared" si="0"/>
        <v>1.4765702587318628</v>
      </c>
      <c r="D48" s="4">
        <f>IF('WL &amp; Q'!N48="","",'WL &amp; Q'!N48)</f>
        <v>0</v>
      </c>
      <c r="E48" s="8">
        <v>3</v>
      </c>
      <c r="F48" s="8">
        <v>3.4</v>
      </c>
      <c r="G48" s="8">
        <v>5</v>
      </c>
    </row>
    <row r="49" spans="1:7" x14ac:dyDescent="0.3">
      <c r="A49" s="1">
        <f>'WL &amp; Q'!A49</f>
        <v>46233.874999999891</v>
      </c>
      <c r="B49" s="4">
        <f>IF('WL &amp; Q'!L49="","",'WL &amp; Q'!L49)</f>
        <v>0.37</v>
      </c>
      <c r="C49" s="6">
        <f t="shared" si="0"/>
        <v>1.2940913106143044</v>
      </c>
      <c r="D49" s="4">
        <f>IF('WL &amp; Q'!N49="","",'WL &amp; Q'!N49)</f>
        <v>0.3</v>
      </c>
      <c r="E49" s="8">
        <v>3</v>
      </c>
      <c r="F49" s="8">
        <v>3.4</v>
      </c>
      <c r="G49" s="8">
        <v>5</v>
      </c>
    </row>
    <row r="50" spans="1:7" x14ac:dyDescent="0.3">
      <c r="A50" s="1">
        <f>'WL &amp; Q'!A50</f>
        <v>46233.916666666555</v>
      </c>
      <c r="B50" s="4">
        <f>IF('WL &amp; Q'!L50="","",'WL &amp; Q'!L50)</f>
        <v>0.35</v>
      </c>
      <c r="C50" s="6">
        <f t="shared" si="0"/>
        <v>1.1227024450032077</v>
      </c>
      <c r="D50" s="4">
        <f>IF('WL &amp; Q'!N50="","",'WL &amp; Q'!N50)</f>
        <v>0</v>
      </c>
      <c r="E50" s="8">
        <v>3</v>
      </c>
      <c r="F50" s="8">
        <v>3.4</v>
      </c>
      <c r="G50" s="8">
        <v>5</v>
      </c>
    </row>
    <row r="51" spans="1:7" x14ac:dyDescent="0.3">
      <c r="A51" s="1">
        <f>'WL &amp; Q'!A51</f>
        <v>46233.958333333219</v>
      </c>
      <c r="B51" s="4">
        <f>IF('WL &amp; Q'!L51="","",'WL &amp; Q'!L51)</f>
        <v>0.33</v>
      </c>
      <c r="C51" s="6">
        <f t="shared" si="0"/>
        <v>0.96253603570002277</v>
      </c>
      <c r="D51" s="4">
        <f>IF('WL &amp; Q'!N51="","",'WL &amp; Q'!N51)</f>
        <v>0</v>
      </c>
      <c r="E51" s="8">
        <v>3</v>
      </c>
      <c r="F51" s="8">
        <v>3.4</v>
      </c>
      <c r="G51" s="8">
        <v>5</v>
      </c>
    </row>
    <row r="52" spans="1:7" x14ac:dyDescent="0.3">
      <c r="A52" s="1">
        <f>'WL &amp; Q'!A52</f>
        <v>46233.999999999884</v>
      </c>
      <c r="B52" s="4">
        <f>IF('WL &amp; Q'!L52="","",'WL &amp; Q'!L52)</f>
        <v>0.28000000000000003</v>
      </c>
      <c r="C52" s="6">
        <f t="shared" si="0"/>
        <v>0.61221005308560861</v>
      </c>
      <c r="D52" s="4">
        <f>IF('WL &amp; Q'!N52="","",'WL &amp; Q'!N52)</f>
        <v>0</v>
      </c>
      <c r="E52" s="8">
        <v>3</v>
      </c>
      <c r="F52" s="8">
        <v>3.4</v>
      </c>
      <c r="G52" s="8">
        <v>5</v>
      </c>
    </row>
    <row r="53" spans="1:7" x14ac:dyDescent="0.3">
      <c r="A53" s="1">
        <f>'WL &amp; Q'!A53</f>
        <v>46234.041666666548</v>
      </c>
      <c r="B53" s="4">
        <f>IF('WL &amp; Q'!L53="","",'WL &amp; Q'!L53)</f>
        <v>0.26</v>
      </c>
      <c r="C53" s="6">
        <f t="shared" si="0"/>
        <v>0.49257560612219609</v>
      </c>
      <c r="D53" s="4">
        <f>IF('WL &amp; Q'!N53="","",'WL &amp; Q'!N53)</f>
        <v>0</v>
      </c>
      <c r="E53" s="8">
        <v>3</v>
      </c>
      <c r="F53" s="8">
        <v>3.4</v>
      </c>
      <c r="G53" s="8">
        <v>5</v>
      </c>
    </row>
    <row r="54" spans="1:7" x14ac:dyDescent="0.3">
      <c r="A54" s="1">
        <f>'WL &amp; Q'!A54</f>
        <v>46234.083333333212</v>
      </c>
      <c r="B54" s="4">
        <f>IF('WL &amp; Q'!L54="","",'WL &amp; Q'!L54)</f>
        <v>0.24</v>
      </c>
      <c r="C54" s="6">
        <f t="shared" si="0"/>
        <v>0.38496368802210973</v>
      </c>
      <c r="D54" s="4">
        <f>IF('WL &amp; Q'!N54="","",'WL &amp; Q'!N54)</f>
        <v>0</v>
      </c>
      <c r="E54" s="8">
        <v>3</v>
      </c>
      <c r="F54" s="8">
        <v>3.4</v>
      </c>
      <c r="G54" s="8">
        <v>5</v>
      </c>
    </row>
    <row r="55" spans="1:7" x14ac:dyDescent="0.3">
      <c r="A55" s="1">
        <f>'WL &amp; Q'!A55</f>
        <v>46234.124999999876</v>
      </c>
      <c r="B55" s="4">
        <f>IF('WL &amp; Q'!L55="","",'WL &amp; Q'!L55)</f>
        <v>0.22</v>
      </c>
      <c r="C55" s="6">
        <f t="shared" si="0"/>
        <v>0.28962496388385889</v>
      </c>
      <c r="D55" s="4">
        <f>IF('WL &amp; Q'!N55="","",'WL &amp; Q'!N55)</f>
        <v>0</v>
      </c>
      <c r="E55" s="8">
        <v>3</v>
      </c>
      <c r="F55" s="8">
        <v>3.4</v>
      </c>
      <c r="G55" s="8">
        <v>5</v>
      </c>
    </row>
    <row r="56" spans="1:7" x14ac:dyDescent="0.3">
      <c r="A56" s="1">
        <f>'WL &amp; Q'!A56</f>
        <v>46234.166666666541</v>
      </c>
      <c r="B56" s="4">
        <f>IF('WL &amp; Q'!L56="","",'WL &amp; Q'!L56)</f>
        <v>0.22</v>
      </c>
      <c r="C56" s="6">
        <f t="shared" si="0"/>
        <v>0.28962496388385889</v>
      </c>
      <c r="D56" s="4">
        <f>IF('WL &amp; Q'!N56="","",'WL &amp; Q'!N56)</f>
        <v>0</v>
      </c>
      <c r="E56" s="8">
        <v>3</v>
      </c>
      <c r="F56" s="8">
        <v>3.4</v>
      </c>
      <c r="G56" s="8">
        <v>5</v>
      </c>
    </row>
    <row r="57" spans="1:7" x14ac:dyDescent="0.3">
      <c r="A57" s="1">
        <f>'WL &amp; Q'!A57</f>
        <v>46234.208333333205</v>
      </c>
      <c r="B57" s="4">
        <f>IF('WL &amp; Q'!L57="","",'WL &amp; Q'!L57)</f>
        <v>0.22</v>
      </c>
      <c r="C57" s="6">
        <f t="shared" si="0"/>
        <v>0.28962496388385889</v>
      </c>
      <c r="D57" s="4">
        <f>IF('WL &amp; Q'!N57="","",'WL &amp; Q'!N57)</f>
        <v>0</v>
      </c>
      <c r="E57" s="8">
        <v>3</v>
      </c>
      <c r="F57" s="8">
        <v>3.4</v>
      </c>
      <c r="G57" s="8">
        <v>5</v>
      </c>
    </row>
    <row r="58" spans="1:7" x14ac:dyDescent="0.3">
      <c r="A58" s="1">
        <f>'WL &amp; Q'!A58</f>
        <v>46234.249999999869</v>
      </c>
      <c r="B58" s="4">
        <f>IF('WL &amp; Q'!L58="","",'WL &amp; Q'!L58)</f>
        <v>0.22</v>
      </c>
      <c r="C58" s="6">
        <f t="shared" si="0"/>
        <v>0.28962496388385889</v>
      </c>
      <c r="D58" s="4">
        <f>IF('WL &amp; Q'!N58="","",'WL &amp; Q'!N58)</f>
        <v>3.4</v>
      </c>
      <c r="E58" s="8">
        <v>3</v>
      </c>
      <c r="F58" s="8">
        <v>3.4</v>
      </c>
      <c r="G58" s="8">
        <v>5</v>
      </c>
    </row>
    <row r="59" spans="1:7" x14ac:dyDescent="0.3">
      <c r="A59" s="1">
        <f>'WL &amp; Q'!A59</f>
        <v>46234.291666666533</v>
      </c>
      <c r="B59" s="4">
        <f>IF('WL &amp; Q'!L59="","",'WL &amp; Q'!L59)</f>
        <v>0.22</v>
      </c>
      <c r="C59" s="6">
        <f t="shared" si="0"/>
        <v>0.28962496388385889</v>
      </c>
      <c r="D59" s="4">
        <f>IF('WL &amp; Q'!N59="","",'WL &amp; Q'!N59)</f>
        <v>0</v>
      </c>
      <c r="E59" s="8">
        <v>3</v>
      </c>
      <c r="F59" s="8">
        <v>3.4</v>
      </c>
      <c r="G59" s="8">
        <v>5</v>
      </c>
    </row>
    <row r="60" spans="1:7" x14ac:dyDescent="0.3">
      <c r="A60" s="1">
        <f>'WL &amp; Q'!A60</f>
        <v>46234.333333333198</v>
      </c>
      <c r="B60" s="4">
        <f>IF('WL &amp; Q'!L60="","",'WL &amp; Q'!L60)</f>
        <v>0.2</v>
      </c>
      <c r="C60" s="6">
        <f t="shared" si="0"/>
        <v>0.20685566183167753</v>
      </c>
      <c r="D60" s="4">
        <f>IF('WL &amp; Q'!N60="","",'WL &amp; Q'!N60)</f>
        <v>0</v>
      </c>
      <c r="E60" s="8">
        <v>3</v>
      </c>
      <c r="F60" s="8">
        <v>3.4</v>
      </c>
      <c r="G60" s="8">
        <v>5</v>
      </c>
    </row>
    <row r="61" spans="1:7" x14ac:dyDescent="0.3">
      <c r="A61" s="1">
        <f>'WL &amp; Q'!A61</f>
        <v>46234.374999999862</v>
      </c>
      <c r="B61" s="4">
        <f>IF('WL &amp; Q'!L61="","",'WL &amp; Q'!L61)</f>
        <v>0.21</v>
      </c>
      <c r="C61" s="6">
        <f t="shared" si="0"/>
        <v>0.2466484037974217</v>
      </c>
      <c r="D61" s="4">
        <f>IF('WL &amp; Q'!N61="","",'WL &amp; Q'!N61)</f>
        <v>0</v>
      </c>
      <c r="E61" s="8">
        <v>3</v>
      </c>
      <c r="F61" s="8">
        <v>3.4</v>
      </c>
      <c r="G61" s="8">
        <v>5</v>
      </c>
    </row>
    <row r="62" spans="1:7" x14ac:dyDescent="0.3">
      <c r="A62" s="1">
        <f>'WL &amp; Q'!A62</f>
        <v>46234.416666666526</v>
      </c>
      <c r="B62" s="4">
        <f>IF('WL &amp; Q'!L62="","",'WL &amp; Q'!L62)</f>
        <v>0.21</v>
      </c>
      <c r="C62" s="6">
        <f t="shared" si="0"/>
        <v>0.2466484037974217</v>
      </c>
      <c r="D62" s="4">
        <f>IF('WL &amp; Q'!N62="","",'WL &amp; Q'!N62)</f>
        <v>0</v>
      </c>
      <c r="E62" s="8">
        <v>3</v>
      </c>
      <c r="F62" s="8">
        <v>3.4</v>
      </c>
      <c r="G62" s="8">
        <v>5</v>
      </c>
    </row>
    <row r="63" spans="1:7" x14ac:dyDescent="0.3">
      <c r="A63" s="1">
        <f>'WL &amp; Q'!A63</f>
        <v>46234.45833333319</v>
      </c>
      <c r="B63" s="4">
        <f>IF('WL &amp; Q'!L63="","",'WL &amp; Q'!L63)</f>
        <v>0.22</v>
      </c>
      <c r="C63" s="6">
        <f t="shared" si="0"/>
        <v>0.28962496388385889</v>
      </c>
      <c r="D63" s="4">
        <f>IF('WL &amp; Q'!N63="","",'WL &amp; Q'!N63)</f>
        <v>1.4</v>
      </c>
      <c r="E63" s="8">
        <v>3</v>
      </c>
      <c r="F63" s="8">
        <v>3.4</v>
      </c>
      <c r="G63" s="8">
        <v>5</v>
      </c>
    </row>
    <row r="64" spans="1:7" x14ac:dyDescent="0.3">
      <c r="A64" s="1">
        <f>'WL &amp; Q'!A64</f>
        <v>46234.499999999854</v>
      </c>
      <c r="B64" s="4">
        <f>IF('WL &amp; Q'!L64="","",'WL &amp; Q'!L64)</f>
        <v>0.22</v>
      </c>
      <c r="C64" s="6">
        <f t="shared" si="0"/>
        <v>0.28962496388385889</v>
      </c>
      <c r="D64" s="4">
        <f>IF('WL &amp; Q'!N64="","",'WL &amp; Q'!N64)</f>
        <v>0</v>
      </c>
      <c r="E64" s="8">
        <v>3</v>
      </c>
      <c r="F64" s="8">
        <v>3.4</v>
      </c>
      <c r="G64" s="8">
        <v>5</v>
      </c>
    </row>
    <row r="65" spans="1:7" x14ac:dyDescent="0.3">
      <c r="A65" s="1">
        <f>'WL &amp; Q'!A65</f>
        <v>46234.541666666519</v>
      </c>
      <c r="B65" s="4">
        <f>IF('WL &amp; Q'!L65="","",'WL &amp; Q'!L65)</f>
        <v>0.38</v>
      </c>
      <c r="C65" s="6">
        <f t="shared" si="0"/>
        <v>1.3839523526758419</v>
      </c>
      <c r="D65" s="4">
        <f>IF('WL &amp; Q'!N65="","",'WL &amp; Q'!N65)</f>
        <v>0</v>
      </c>
      <c r="E65" s="8">
        <v>3</v>
      </c>
      <c r="F65" s="8">
        <v>3.4</v>
      </c>
      <c r="G65" s="8">
        <v>5</v>
      </c>
    </row>
    <row r="66" spans="1:7" x14ac:dyDescent="0.3">
      <c r="A66" s="1">
        <f>'WL &amp; Q'!A66</f>
        <v>46234.583333333183</v>
      </c>
      <c r="B66" s="4">
        <f>IF('WL &amp; Q'!L66="","",'WL &amp; Q'!L66)</f>
        <v>0.44</v>
      </c>
      <c r="C66" s="6">
        <f t="shared" si="0"/>
        <v>1.9805120690526208</v>
      </c>
      <c r="D66" s="4">
        <f>IF('WL &amp; Q'!N66="","",'WL &amp; Q'!N66)</f>
        <v>0</v>
      </c>
      <c r="E66" s="8">
        <v>3</v>
      </c>
      <c r="F66" s="8">
        <v>3.4</v>
      </c>
      <c r="G66" s="8">
        <v>5</v>
      </c>
    </row>
    <row r="67" spans="1:7" x14ac:dyDescent="0.3">
      <c r="A67" s="1">
        <f>'WL &amp; Q'!A67</f>
        <v>46234.624999999847</v>
      </c>
      <c r="B67" s="4">
        <f>IF('WL &amp; Q'!L67="","",'WL &amp; Q'!L67)</f>
        <v>0.44</v>
      </c>
      <c r="C67" s="6">
        <f t="shared" si="0"/>
        <v>1.9805120690526208</v>
      </c>
      <c r="D67" s="4">
        <f>IF('WL &amp; Q'!N67="","",'WL &amp; Q'!N67)</f>
        <v>0</v>
      </c>
      <c r="E67" s="8">
        <v>3</v>
      </c>
      <c r="F67" s="8">
        <v>3.4</v>
      </c>
      <c r="G67" s="8">
        <v>5</v>
      </c>
    </row>
    <row r="68" spans="1:7" x14ac:dyDescent="0.3">
      <c r="A68" s="1">
        <f>'WL &amp; Q'!A68</f>
        <v>46234.666666666511</v>
      </c>
      <c r="B68" s="4">
        <f>IF('WL &amp; Q'!L68="","",'WL &amp; Q'!L68)</f>
        <v>0.42</v>
      </c>
      <c r="C68" s="6">
        <f t="shared" si="0"/>
        <v>1.770819404983436</v>
      </c>
      <c r="D68" s="4">
        <f>IF('WL &amp; Q'!N68="","",'WL &amp; Q'!N68)</f>
        <v>0</v>
      </c>
      <c r="E68" s="8">
        <v>3</v>
      </c>
      <c r="F68" s="8">
        <v>3.4</v>
      </c>
      <c r="G68" s="8">
        <v>5</v>
      </c>
    </row>
    <row r="69" spans="1:7" x14ac:dyDescent="0.3">
      <c r="A69" s="1">
        <f>'WL &amp; Q'!A69</f>
        <v>46234.708333333176</v>
      </c>
      <c r="B69" s="4">
        <f>IF('WL &amp; Q'!L69="","",'WL &amp; Q'!L69)</f>
        <v>0.38</v>
      </c>
      <c r="C69" s="6">
        <f t="shared" si="0"/>
        <v>1.3839523526758419</v>
      </c>
      <c r="D69" s="4">
        <f>IF('WL &amp; Q'!N69="","",'WL &amp; Q'!N69)</f>
        <v>0</v>
      </c>
      <c r="E69" s="8">
        <v>3</v>
      </c>
      <c r="F69" s="8">
        <v>3.4</v>
      </c>
      <c r="G69" s="8">
        <v>5</v>
      </c>
    </row>
    <row r="70" spans="1:7" x14ac:dyDescent="0.3">
      <c r="A70" s="1">
        <f>'WL &amp; Q'!A70</f>
        <v>46234.74999999984</v>
      </c>
      <c r="B70" s="4">
        <f>IF('WL &amp; Q'!L70="","",'WL &amp; Q'!L70)</f>
        <v>0.36</v>
      </c>
      <c r="C70" s="6">
        <f t="shared" ref="C70:C133" si="1">IF(B70="","",IF((B70)&gt;2,8.9271*((B70)^2)+9.2434*(B70)-1.6791,14.51*(((B70)-0.1)^1.846)))</f>
        <v>1.2070026199584938</v>
      </c>
      <c r="D70" s="4">
        <f>IF('WL &amp; Q'!N70="","",'WL &amp; Q'!N70)</f>
        <v>5</v>
      </c>
      <c r="E70" s="8">
        <v>3</v>
      </c>
      <c r="F70" s="8">
        <v>3.4</v>
      </c>
      <c r="G70" s="8">
        <v>5</v>
      </c>
    </row>
    <row r="71" spans="1:7" x14ac:dyDescent="0.3">
      <c r="A71" s="1">
        <f>'WL &amp; Q'!A71</f>
        <v>46234.791666666504</v>
      </c>
      <c r="B71" s="4">
        <f>IF('WL &amp; Q'!L71="","",'WL &amp; Q'!L71)</f>
        <v>0.35</v>
      </c>
      <c r="C71" s="6">
        <f t="shared" si="1"/>
        <v>1.1227024450032077</v>
      </c>
      <c r="D71" s="4">
        <f>IF('WL &amp; Q'!N71="","",'WL &amp; Q'!N71)</f>
        <v>0</v>
      </c>
      <c r="E71" s="8">
        <v>3</v>
      </c>
      <c r="F71" s="8">
        <v>3.4</v>
      </c>
      <c r="G71" s="8">
        <v>5</v>
      </c>
    </row>
    <row r="72" spans="1:7" x14ac:dyDescent="0.3">
      <c r="A72" s="1">
        <f>'WL &amp; Q'!A72</f>
        <v>46234.833333333168</v>
      </c>
      <c r="B72" s="4">
        <f>IF('WL &amp; Q'!L72="","",'WL &amp; Q'!L72)</f>
        <v>0.36</v>
      </c>
      <c r="C72" s="6">
        <f t="shared" si="1"/>
        <v>1.2070026199584938</v>
      </c>
      <c r="D72" s="4">
        <f>IF('WL &amp; Q'!N72="","",'WL &amp; Q'!N72)</f>
        <v>0</v>
      </c>
      <c r="E72" s="8">
        <v>3</v>
      </c>
      <c r="F72" s="8">
        <v>3.4</v>
      </c>
      <c r="G72" s="8">
        <v>5</v>
      </c>
    </row>
    <row r="73" spans="1:7" x14ac:dyDescent="0.3">
      <c r="A73" s="1">
        <f>'WL &amp; Q'!A73</f>
        <v>46234.874999999833</v>
      </c>
      <c r="B73" s="4">
        <f>IF('WL &amp; Q'!L73="","",'WL &amp; Q'!L73)</f>
        <v>0.38</v>
      </c>
      <c r="C73" s="6">
        <f t="shared" si="1"/>
        <v>1.3839523526758419</v>
      </c>
      <c r="D73" s="4">
        <f>IF('WL &amp; Q'!N73="","",'WL &amp; Q'!N73)</f>
        <v>2</v>
      </c>
      <c r="E73" s="8">
        <v>3</v>
      </c>
      <c r="F73" s="8">
        <v>3.4</v>
      </c>
      <c r="G73" s="8">
        <v>5</v>
      </c>
    </row>
    <row r="74" spans="1:7" x14ac:dyDescent="0.3">
      <c r="A74" s="1">
        <f>'WL &amp; Q'!A74</f>
        <v>46234.916666666497</v>
      </c>
      <c r="B74" s="4">
        <f>IF('WL &amp; Q'!L74="","",'WL &amp; Q'!L74)</f>
        <v>0.45</v>
      </c>
      <c r="C74" s="6">
        <f t="shared" si="1"/>
        <v>2.0893780230756476</v>
      </c>
      <c r="D74" s="4">
        <f>IF('WL &amp; Q'!N74="","",'WL &amp; Q'!N74)</f>
        <v>15.4</v>
      </c>
      <c r="E74" s="8">
        <v>3</v>
      </c>
      <c r="F74" s="8">
        <v>3.4</v>
      </c>
      <c r="G74" s="8">
        <v>5</v>
      </c>
    </row>
    <row r="75" spans="1:7" x14ac:dyDescent="0.3">
      <c r="A75" s="1">
        <f>'WL &amp; Q'!A75</f>
        <v>46234.958333333161</v>
      </c>
      <c r="B75" s="4">
        <f>IF('WL &amp; Q'!L75="","",'WL &amp; Q'!L75)</f>
        <v>0.42</v>
      </c>
      <c r="C75" s="6">
        <f t="shared" si="1"/>
        <v>1.770819404983436</v>
      </c>
      <c r="D75" s="4">
        <f>IF('WL &amp; Q'!N75="","",'WL &amp; Q'!N75)</f>
        <v>6.4</v>
      </c>
      <c r="E75" s="8">
        <v>3</v>
      </c>
      <c r="F75" s="8">
        <v>3.4</v>
      </c>
      <c r="G75" s="8">
        <v>5</v>
      </c>
    </row>
    <row r="76" spans="1:7" x14ac:dyDescent="0.3">
      <c r="A76" s="1">
        <f>'WL &amp; Q'!A76</f>
        <v>46234.999999999825</v>
      </c>
      <c r="B76" s="4">
        <f>IF('WL &amp; Q'!L76="","",'WL &amp; Q'!L76)</f>
        <v>0.45</v>
      </c>
      <c r="C76" s="6">
        <f t="shared" si="1"/>
        <v>2.0893780230756476</v>
      </c>
      <c r="D76" s="4">
        <f>IF('WL &amp; Q'!N76="","",'WL &amp; Q'!N76)</f>
        <v>2.2000000000000002</v>
      </c>
      <c r="E76" s="8">
        <v>3</v>
      </c>
      <c r="F76" s="8">
        <v>3.4</v>
      </c>
      <c r="G76" s="8">
        <v>5</v>
      </c>
    </row>
    <row r="77" spans="1:7" x14ac:dyDescent="0.3">
      <c r="A77" s="1">
        <f>'WL &amp; Q'!A77</f>
        <v>46235.04166666649</v>
      </c>
      <c r="B77" s="4">
        <f>IF('WL &amp; Q'!L77="","",'WL &amp; Q'!L77)</f>
        <v>0.5</v>
      </c>
      <c r="C77" s="6">
        <f t="shared" si="1"/>
        <v>2.6734382440656952</v>
      </c>
      <c r="D77" s="4">
        <f>IF('WL &amp; Q'!N77="","",'WL &amp; Q'!N77)</f>
        <v>23</v>
      </c>
      <c r="E77" s="8">
        <v>3</v>
      </c>
      <c r="F77" s="8">
        <v>3.4</v>
      </c>
      <c r="G77" s="8">
        <v>5</v>
      </c>
    </row>
    <row r="78" spans="1:7" x14ac:dyDescent="0.3">
      <c r="A78" s="1">
        <f>'WL &amp; Q'!A78</f>
        <v>46235.083333333154</v>
      </c>
      <c r="B78" s="4">
        <f>IF('WL &amp; Q'!L78="","",'WL &amp; Q'!L78)</f>
        <v>0.7</v>
      </c>
      <c r="C78" s="6">
        <f t="shared" si="1"/>
        <v>5.6511211857306698</v>
      </c>
      <c r="D78" s="4">
        <f>IF('WL &amp; Q'!N78="","",'WL &amp; Q'!N78)</f>
        <v>8.1</v>
      </c>
      <c r="E78" s="8">
        <v>3</v>
      </c>
      <c r="F78" s="8">
        <v>3.4</v>
      </c>
      <c r="G78" s="8">
        <v>5</v>
      </c>
    </row>
    <row r="79" spans="1:7" x14ac:dyDescent="0.3">
      <c r="A79" s="1">
        <f>'WL &amp; Q'!A79</f>
        <v>46235.124999999818</v>
      </c>
      <c r="B79" s="4">
        <f>IF('WL &amp; Q'!L79="","",'WL &amp; Q'!L79)</f>
        <v>0.92</v>
      </c>
      <c r="C79" s="6">
        <f t="shared" si="1"/>
        <v>10.059300545880433</v>
      </c>
      <c r="D79" s="4">
        <f>IF('WL &amp; Q'!N79="","",'WL &amp; Q'!N79)</f>
        <v>2.2000000000000002</v>
      </c>
      <c r="E79" s="8">
        <v>3</v>
      </c>
      <c r="F79" s="8">
        <v>3.4</v>
      </c>
      <c r="G79" s="8">
        <v>5</v>
      </c>
    </row>
    <row r="80" spans="1:7" x14ac:dyDescent="0.3">
      <c r="A80" s="1">
        <f>'WL &amp; Q'!A80</f>
        <v>46235.166666666482</v>
      </c>
      <c r="B80" s="4">
        <f>IF('WL &amp; Q'!L80="","",'WL &amp; Q'!L80)</f>
        <v>2.72</v>
      </c>
      <c r="C80" s="6">
        <f t="shared" si="1"/>
        <v>89.509204640000007</v>
      </c>
      <c r="D80" s="4">
        <f>IF('WL &amp; Q'!N80="","",'WL &amp; Q'!N80)</f>
        <v>0.6</v>
      </c>
      <c r="E80" s="8">
        <v>3</v>
      </c>
      <c r="F80" s="8">
        <v>3.4</v>
      </c>
      <c r="G80" s="8">
        <v>5</v>
      </c>
    </row>
    <row r="81" spans="1:7" x14ac:dyDescent="0.3">
      <c r="A81" s="1">
        <f>'WL &amp; Q'!A81</f>
        <v>46235.208333333147</v>
      </c>
      <c r="B81" s="4">
        <f>IF('WL &amp; Q'!L81="","",'WL &amp; Q'!L81)</f>
        <v>3.7</v>
      </c>
      <c r="C81" s="6">
        <f t="shared" si="1"/>
        <v>154.73347899999999</v>
      </c>
      <c r="D81" s="4">
        <f>IF('WL &amp; Q'!N81="","",'WL &amp; Q'!N81)</f>
        <v>0.3</v>
      </c>
      <c r="E81" s="8">
        <v>3</v>
      </c>
      <c r="F81" s="8">
        <v>3.4</v>
      </c>
      <c r="G81" s="8">
        <v>5</v>
      </c>
    </row>
    <row r="82" spans="1:7" x14ac:dyDescent="0.3">
      <c r="A82" s="1">
        <f>'WL &amp; Q'!A82</f>
        <v>46235.249999999811</v>
      </c>
      <c r="B82" s="4">
        <f>IF('WL &amp; Q'!L82="","",'WL &amp; Q'!L82)</f>
        <v>4.0199999999999996</v>
      </c>
      <c r="C82" s="6">
        <f t="shared" si="1"/>
        <v>179.74487483999994</v>
      </c>
      <c r="D82" s="4">
        <f>IF('WL &amp; Q'!N82="","",'WL &amp; Q'!N82)</f>
        <v>0</v>
      </c>
      <c r="E82" s="8">
        <v>3</v>
      </c>
      <c r="F82" s="8">
        <v>3.4</v>
      </c>
      <c r="G82" s="8">
        <v>5</v>
      </c>
    </row>
    <row r="83" spans="1:7" x14ac:dyDescent="0.3">
      <c r="A83" s="1">
        <f>'WL &amp; Q'!A83</f>
        <v>46235.291666666475</v>
      </c>
      <c r="B83" s="4">
        <f>IF('WL &amp; Q'!L83="","",'WL &amp; Q'!L83)</f>
        <v>3.89</v>
      </c>
      <c r="C83" s="6">
        <f t="shared" si="1"/>
        <v>169.36349591000001</v>
      </c>
      <c r="D83" s="4">
        <f>IF('WL &amp; Q'!N83="","",'WL &amp; Q'!N83)</f>
        <v>0.3</v>
      </c>
      <c r="E83" s="8">
        <v>3</v>
      </c>
      <c r="F83" s="8">
        <v>3.4</v>
      </c>
      <c r="G83" s="8">
        <v>5</v>
      </c>
    </row>
    <row r="84" spans="1:7" x14ac:dyDescent="0.3">
      <c r="A84" s="1">
        <f>'WL &amp; Q'!A84</f>
        <v>46235.333333333139</v>
      </c>
      <c r="B84" s="4">
        <f>IF('WL &amp; Q'!L84="","",'WL &amp; Q'!L84)</f>
        <v>3.35</v>
      </c>
      <c r="C84" s="6">
        <f t="shared" si="1"/>
        <v>129.47066974999998</v>
      </c>
      <c r="D84" s="4">
        <f>IF('WL &amp; Q'!N84="","",'WL &amp; Q'!N84)</f>
        <v>0</v>
      </c>
      <c r="E84" s="8">
        <v>3</v>
      </c>
      <c r="F84" s="8">
        <v>3.4</v>
      </c>
      <c r="G84" s="8">
        <v>5</v>
      </c>
    </row>
    <row r="85" spans="1:7" x14ac:dyDescent="0.3">
      <c r="A85" s="1">
        <f>'WL &amp; Q'!A85</f>
        <v>46235.374999999804</v>
      </c>
      <c r="B85" s="4">
        <f>IF('WL &amp; Q'!L85="","",'WL &amp; Q'!L85)</f>
        <v>2.79</v>
      </c>
      <c r="C85" s="6">
        <f t="shared" si="1"/>
        <v>93.599425109999984</v>
      </c>
      <c r="D85" s="4">
        <f>IF('WL &amp; Q'!N85="","",'WL &amp; Q'!N85)</f>
        <v>0</v>
      </c>
      <c r="E85" s="8">
        <v>3</v>
      </c>
      <c r="F85" s="8">
        <v>3.4</v>
      </c>
      <c r="G85" s="8">
        <v>5</v>
      </c>
    </row>
    <row r="86" spans="1:7" x14ac:dyDescent="0.3">
      <c r="A86" s="1">
        <f>'WL &amp; Q'!A86</f>
        <v>46235.416666666468</v>
      </c>
      <c r="B86" s="4">
        <f>IF('WL &amp; Q'!L86="","",'WL &amp; Q'!L86)</f>
        <v>2.33</v>
      </c>
      <c r="C86" s="6">
        <f t="shared" si="1"/>
        <v>68.322355189999996</v>
      </c>
      <c r="D86" s="4">
        <f>IF('WL &amp; Q'!N86="","",'WL &amp; Q'!N86)</f>
        <v>0</v>
      </c>
      <c r="E86" s="8">
        <v>3</v>
      </c>
      <c r="F86" s="8">
        <v>3.4</v>
      </c>
      <c r="G86" s="8">
        <v>5</v>
      </c>
    </row>
    <row r="87" spans="1:7" x14ac:dyDescent="0.3">
      <c r="A87" s="1">
        <f>'WL &amp; Q'!A87</f>
        <v>46235.458333333132</v>
      </c>
      <c r="B87" s="4">
        <f>IF('WL &amp; Q'!L87="","",'WL &amp; Q'!L87)</f>
        <v>1.9</v>
      </c>
      <c r="C87" s="6">
        <f t="shared" si="1"/>
        <v>42.943798548287198</v>
      </c>
      <c r="D87" s="4">
        <f>IF('WL &amp; Q'!N87="","",'WL &amp; Q'!N87)</f>
        <v>0</v>
      </c>
      <c r="E87" s="8">
        <v>3</v>
      </c>
      <c r="F87" s="8">
        <v>3.4</v>
      </c>
      <c r="G87" s="8">
        <v>5</v>
      </c>
    </row>
    <row r="88" spans="1:7" x14ac:dyDescent="0.3">
      <c r="A88" s="1">
        <f>'WL &amp; Q'!A88</f>
        <v>46235.499999999796</v>
      </c>
      <c r="B88" s="4">
        <f>IF('WL &amp; Q'!L88="","",'WL &amp; Q'!L88)</f>
        <v>1.45</v>
      </c>
      <c r="C88" s="6">
        <f t="shared" si="1"/>
        <v>25.250125968475022</v>
      </c>
      <c r="D88" s="4">
        <f>IF('WL &amp; Q'!N88="","",'WL &amp; Q'!N88)</f>
        <v>0</v>
      </c>
      <c r="E88" s="8">
        <v>3</v>
      </c>
      <c r="F88" s="8">
        <v>3.4</v>
      </c>
      <c r="G88" s="8">
        <v>5</v>
      </c>
    </row>
    <row r="89" spans="1:7" x14ac:dyDescent="0.3">
      <c r="A89" s="1">
        <f>'WL &amp; Q'!A89</f>
        <v>46235.541666666461</v>
      </c>
      <c r="B89" s="4">
        <f>IF('WL &amp; Q'!L89="","",'WL &amp; Q'!L89)</f>
        <v>1.31</v>
      </c>
      <c r="C89" s="6">
        <f t="shared" si="1"/>
        <v>20.629523940402766</v>
      </c>
      <c r="D89" s="4">
        <f>IF('WL &amp; Q'!N89="","",'WL &amp; Q'!N89)</f>
        <v>0</v>
      </c>
      <c r="E89" s="8">
        <v>3</v>
      </c>
      <c r="F89" s="8">
        <v>3.4</v>
      </c>
      <c r="G89" s="8">
        <v>5</v>
      </c>
    </row>
    <row r="90" spans="1:7" x14ac:dyDescent="0.3">
      <c r="A90" s="1">
        <f>'WL &amp; Q'!A90</f>
        <v>46235.583333333125</v>
      </c>
      <c r="B90" s="4">
        <f>IF('WL &amp; Q'!L90="","",'WL &amp; Q'!L90)</f>
        <v>1.22</v>
      </c>
      <c r="C90" s="6">
        <f t="shared" si="1"/>
        <v>17.886438857153347</v>
      </c>
      <c r="D90" s="4">
        <f>IF('WL &amp; Q'!N90="","",'WL &amp; Q'!N90)</f>
        <v>0</v>
      </c>
      <c r="E90" s="8">
        <v>3</v>
      </c>
      <c r="F90" s="8">
        <v>3.4</v>
      </c>
      <c r="G90" s="8">
        <v>5</v>
      </c>
    </row>
    <row r="91" spans="1:7" x14ac:dyDescent="0.3">
      <c r="A91" s="1">
        <f>'WL &amp; Q'!A91</f>
        <v>46235.624999999789</v>
      </c>
      <c r="B91" s="4">
        <f>IF('WL &amp; Q'!L91="","",'WL &amp; Q'!L91)</f>
        <v>1.1399999999999999</v>
      </c>
      <c r="C91" s="6">
        <f t="shared" si="1"/>
        <v>15.599509997992106</v>
      </c>
      <c r="D91" s="4">
        <f>IF('WL &amp; Q'!N91="","",'WL &amp; Q'!N91)</f>
        <v>0</v>
      </c>
      <c r="E91" s="8">
        <v>3</v>
      </c>
      <c r="F91" s="8">
        <v>3.4</v>
      </c>
      <c r="G91" s="8">
        <v>5</v>
      </c>
    </row>
    <row r="92" spans="1:7" x14ac:dyDescent="0.3">
      <c r="A92" s="1">
        <f>'WL &amp; Q'!A92</f>
        <v>46235.666666666453</v>
      </c>
      <c r="B92" s="4">
        <f>IF('WL &amp; Q'!L92="","",'WL &amp; Q'!L92)</f>
        <v>1.08</v>
      </c>
      <c r="C92" s="6">
        <f t="shared" si="1"/>
        <v>13.978827579869165</v>
      </c>
      <c r="D92" s="4">
        <f>IF('WL &amp; Q'!N92="","",'WL &amp; Q'!N92)</f>
        <v>0</v>
      </c>
      <c r="E92" s="8">
        <v>3</v>
      </c>
      <c r="F92" s="8">
        <v>3.4</v>
      </c>
      <c r="G92" s="8">
        <v>5</v>
      </c>
    </row>
    <row r="93" spans="1:7" x14ac:dyDescent="0.3">
      <c r="A93" s="1">
        <f>'WL &amp; Q'!A93</f>
        <v>46235.708333333117</v>
      </c>
      <c r="B93" s="4">
        <f>IF('WL &amp; Q'!L93="","",'WL &amp; Q'!L93)</f>
        <v>1.03</v>
      </c>
      <c r="C93" s="6">
        <f t="shared" si="1"/>
        <v>12.690739673392212</v>
      </c>
      <c r="D93" s="4">
        <f>IF('WL &amp; Q'!N93="","",'WL &amp; Q'!N93)</f>
        <v>0</v>
      </c>
      <c r="E93" s="8">
        <v>3</v>
      </c>
      <c r="F93" s="8">
        <v>3.4</v>
      </c>
      <c r="G93" s="8">
        <v>5</v>
      </c>
    </row>
    <row r="94" spans="1:7" x14ac:dyDescent="0.3">
      <c r="A94" s="1">
        <f>'WL &amp; Q'!A94</f>
        <v>46235.749999999782</v>
      </c>
      <c r="B94" s="4">
        <f>IF('WL &amp; Q'!L94="","",'WL &amp; Q'!L94)</f>
        <v>0.95</v>
      </c>
      <c r="C94" s="6">
        <f t="shared" si="1"/>
        <v>10.7491654934399</v>
      </c>
      <c r="D94" s="4">
        <f>IF('WL &amp; Q'!N94="","",'WL &amp; Q'!N94)</f>
        <v>0</v>
      </c>
      <c r="E94" s="8">
        <v>3</v>
      </c>
      <c r="F94" s="8">
        <v>3.4</v>
      </c>
      <c r="G94" s="8">
        <v>5</v>
      </c>
    </row>
    <row r="95" spans="1:7" x14ac:dyDescent="0.3">
      <c r="A95" s="1">
        <f>'WL &amp; Q'!A95</f>
        <v>46235.791666666446</v>
      </c>
      <c r="B95" s="4">
        <f>IF('WL &amp; Q'!L95="","",'WL &amp; Q'!L95)</f>
        <v>0.94</v>
      </c>
      <c r="C95" s="6">
        <f t="shared" si="1"/>
        <v>10.516881355120873</v>
      </c>
      <c r="D95" s="4">
        <f>IF('WL &amp; Q'!N95="","",'WL &amp; Q'!N95)</f>
        <v>0</v>
      </c>
      <c r="E95" s="8">
        <v>3</v>
      </c>
      <c r="F95" s="8">
        <v>3.4</v>
      </c>
      <c r="G95" s="8">
        <v>5</v>
      </c>
    </row>
    <row r="96" spans="1:7" x14ac:dyDescent="0.3">
      <c r="A96" s="1">
        <f>'WL &amp; Q'!A96</f>
        <v>46235.83333333311</v>
      </c>
      <c r="B96" s="4">
        <f>IF('WL &amp; Q'!L96="","",'WL &amp; Q'!L96)</f>
        <v>0.92</v>
      </c>
      <c r="C96" s="6">
        <f t="shared" si="1"/>
        <v>10.059300545880433</v>
      </c>
      <c r="D96" s="4">
        <f>IF('WL &amp; Q'!N96="","",'WL &amp; Q'!N96)</f>
        <v>0</v>
      </c>
      <c r="E96" s="8">
        <v>3</v>
      </c>
      <c r="F96" s="8">
        <v>3.4</v>
      </c>
      <c r="G96" s="8">
        <v>5</v>
      </c>
    </row>
    <row r="97" spans="1:7" x14ac:dyDescent="0.3">
      <c r="A97" s="1">
        <f>'WL &amp; Q'!A97</f>
        <v>46235.874999999774</v>
      </c>
      <c r="B97" s="4">
        <f>IF('WL &amp; Q'!L97="","",'WL &amp; Q'!L97)</f>
        <v>0.9</v>
      </c>
      <c r="C97" s="6">
        <f t="shared" si="1"/>
        <v>9.6110653101281329</v>
      </c>
      <c r="D97" s="4">
        <f>IF('WL &amp; Q'!N97="","",'WL &amp; Q'!N97)</f>
        <v>0</v>
      </c>
      <c r="E97" s="8">
        <v>3</v>
      </c>
      <c r="F97" s="8">
        <v>3.4</v>
      </c>
      <c r="G97" s="8">
        <v>5</v>
      </c>
    </row>
    <row r="98" spans="1:7" x14ac:dyDescent="0.3">
      <c r="A98" s="1">
        <f>'WL &amp; Q'!A98</f>
        <v>46235.916666666439</v>
      </c>
      <c r="B98" s="4">
        <f>IF('WL &amp; Q'!L98="","",'WL &amp; Q'!L98)</f>
        <v>0.86</v>
      </c>
      <c r="C98" s="6">
        <f t="shared" si="1"/>
        <v>8.7427750414114982</v>
      </c>
      <c r="D98" s="4">
        <f>IF('WL &amp; Q'!N98="","",'WL &amp; Q'!N98)</f>
        <v>0</v>
      </c>
      <c r="E98" s="8">
        <v>3</v>
      </c>
      <c r="F98" s="8">
        <v>3.4</v>
      </c>
      <c r="G98" s="8">
        <v>5</v>
      </c>
    </row>
    <row r="99" spans="1:7" x14ac:dyDescent="0.3">
      <c r="A99" s="1">
        <f>'WL &amp; Q'!A99</f>
        <v>46235.958333333103</v>
      </c>
      <c r="B99" s="4">
        <f>IF('WL &amp; Q'!L99="","",'WL &amp; Q'!L99)</f>
        <v>0.83</v>
      </c>
      <c r="C99" s="6">
        <f t="shared" si="1"/>
        <v>8.1163620624984478</v>
      </c>
      <c r="D99" s="4">
        <f>IF('WL &amp; Q'!N99="","",'WL &amp; Q'!N99)</f>
        <v>0</v>
      </c>
      <c r="E99" s="8">
        <v>3</v>
      </c>
      <c r="F99" s="8">
        <v>3.4</v>
      </c>
      <c r="G99" s="8">
        <v>5</v>
      </c>
    </row>
    <row r="100" spans="1:7" x14ac:dyDescent="0.3">
      <c r="A100" s="1">
        <f>'WL &amp; Q'!A100</f>
        <v>46235.999999999767</v>
      </c>
      <c r="B100" s="4">
        <f>IF('WL &amp; Q'!L100="","",'WL &amp; Q'!L100)</f>
        <v>0.8</v>
      </c>
      <c r="C100" s="6">
        <f t="shared" si="1"/>
        <v>7.5113568386706309</v>
      </c>
      <c r="D100" s="4">
        <f>IF('WL &amp; Q'!N100="","",'WL &amp; Q'!N100)</f>
        <v>0</v>
      </c>
      <c r="E100" s="8">
        <v>3</v>
      </c>
      <c r="F100" s="8">
        <v>3.4</v>
      </c>
      <c r="G100" s="8">
        <v>5</v>
      </c>
    </row>
    <row r="101" spans="1:7" x14ac:dyDescent="0.3">
      <c r="A101" s="1">
        <f>'WL &amp; Q'!A101</f>
        <v>46236.041666666431</v>
      </c>
      <c r="B101" s="4">
        <f>IF('WL &amp; Q'!L101="","",'WL &amp; Q'!L101)</f>
        <v>0.76</v>
      </c>
      <c r="C101" s="6">
        <f t="shared" si="1"/>
        <v>6.7382251362327201</v>
      </c>
      <c r="D101" s="4">
        <f>IF('WL &amp; Q'!N101="","",'WL &amp; Q'!N101)</f>
        <v>0</v>
      </c>
      <c r="E101" s="8">
        <v>3</v>
      </c>
      <c r="F101" s="8">
        <v>3.4</v>
      </c>
      <c r="G101" s="8">
        <v>5</v>
      </c>
    </row>
    <row r="102" spans="1:7" x14ac:dyDescent="0.3">
      <c r="A102" s="1">
        <f>'WL &amp; Q'!A102</f>
        <v>46236.083333333096</v>
      </c>
      <c r="B102" s="4">
        <f>IF('WL &amp; Q'!L102="","",'WL &amp; Q'!L102)</f>
        <v>0.74</v>
      </c>
      <c r="C102" s="6">
        <f t="shared" si="1"/>
        <v>6.3661320741246294</v>
      </c>
      <c r="D102" s="4">
        <f>IF('WL &amp; Q'!N102="","",'WL &amp; Q'!N102)</f>
        <v>0</v>
      </c>
      <c r="E102" s="8">
        <v>3</v>
      </c>
      <c r="F102" s="8">
        <v>3.4</v>
      </c>
      <c r="G102" s="8">
        <v>5</v>
      </c>
    </row>
    <row r="103" spans="1:7" x14ac:dyDescent="0.3">
      <c r="A103" s="1">
        <f>'WL &amp; Q'!A103</f>
        <v>46236.12499999976</v>
      </c>
      <c r="B103" s="4">
        <f>IF('WL &amp; Q'!L103="","",'WL &amp; Q'!L103)</f>
        <v>0.72</v>
      </c>
      <c r="C103" s="6">
        <f t="shared" si="1"/>
        <v>6.0037482250421368</v>
      </c>
      <c r="D103" s="4">
        <f>IF('WL &amp; Q'!N103="","",'WL &amp; Q'!N103)</f>
        <v>0</v>
      </c>
      <c r="E103" s="8">
        <v>3</v>
      </c>
      <c r="F103" s="8">
        <v>3.4</v>
      </c>
      <c r="G103" s="8">
        <v>5</v>
      </c>
    </row>
    <row r="104" spans="1:7" x14ac:dyDescent="0.3">
      <c r="A104" s="1">
        <f>'WL &amp; Q'!A104</f>
        <v>46236.166666666424</v>
      </c>
      <c r="B104" s="4">
        <f>IF('WL &amp; Q'!L104="","",'WL &amp; Q'!L104)</f>
        <v>0.7</v>
      </c>
      <c r="C104" s="6">
        <f t="shared" si="1"/>
        <v>5.6511211857306698</v>
      </c>
      <c r="D104" s="4">
        <f>IF('WL &amp; Q'!N104="","",'WL &amp; Q'!N104)</f>
        <v>0</v>
      </c>
      <c r="E104" s="8">
        <v>3</v>
      </c>
      <c r="F104" s="8">
        <v>3.4</v>
      </c>
      <c r="G104" s="8">
        <v>5</v>
      </c>
    </row>
    <row r="105" spans="1:7" x14ac:dyDescent="0.3">
      <c r="A105" s="1">
        <f>'WL &amp; Q'!A105</f>
        <v>46236.208333333088</v>
      </c>
      <c r="B105" s="4">
        <f>IF('WL &amp; Q'!L105="","",'WL &amp; Q'!L105)</f>
        <v>0.68</v>
      </c>
      <c r="C105" s="6">
        <f t="shared" si="1"/>
        <v>5.3083003593465445</v>
      </c>
      <c r="D105" s="4">
        <f>IF('WL &amp; Q'!N105="","",'WL &amp; Q'!N105)</f>
        <v>0</v>
      </c>
      <c r="E105" s="8">
        <v>3</v>
      </c>
      <c r="F105" s="8">
        <v>3.4</v>
      </c>
      <c r="G105" s="8">
        <v>5</v>
      </c>
    </row>
    <row r="106" spans="1:7" x14ac:dyDescent="0.3">
      <c r="A106" s="1">
        <f>'WL &amp; Q'!A106</f>
        <v>46236.249999999753</v>
      </c>
      <c r="B106" s="4">
        <f>IF('WL &amp; Q'!L106="","",'WL &amp; Q'!L106)</f>
        <v>0.67</v>
      </c>
      <c r="C106" s="6">
        <f t="shared" si="1"/>
        <v>5.1405832407083292</v>
      </c>
      <c r="D106" s="4">
        <f>IF('WL &amp; Q'!N106="","",'WL &amp; Q'!N106)</f>
        <v>0</v>
      </c>
      <c r="E106" s="8">
        <v>3</v>
      </c>
      <c r="F106" s="8">
        <v>3.4</v>
      </c>
      <c r="G106" s="8">
        <v>5</v>
      </c>
    </row>
    <row r="107" spans="1:7" x14ac:dyDescent="0.3">
      <c r="A107" s="1">
        <f>'WL &amp; Q'!A107</f>
        <v>46236.291666666417</v>
      </c>
      <c r="B107" s="4">
        <f>IF('WL &amp; Q'!L107="","",'WL &amp; Q'!L107)</f>
        <v>0.65</v>
      </c>
      <c r="C107" s="6">
        <f t="shared" si="1"/>
        <v>4.8125686454472945</v>
      </c>
      <c r="D107" s="4">
        <f>IF('WL &amp; Q'!N107="","",'WL &amp; Q'!N107)</f>
        <v>0</v>
      </c>
      <c r="E107" s="8">
        <v>3</v>
      </c>
      <c r="F107" s="8">
        <v>3.4</v>
      </c>
      <c r="G107" s="8">
        <v>5</v>
      </c>
    </row>
    <row r="108" spans="1:7" x14ac:dyDescent="0.3">
      <c r="A108" s="1">
        <f>'WL &amp; Q'!A108</f>
        <v>46236.333333333081</v>
      </c>
      <c r="B108" s="4">
        <f>IF('WL &amp; Q'!L108="","",'WL &amp; Q'!L108)</f>
        <v>0.63</v>
      </c>
      <c r="C108" s="6">
        <f t="shared" si="1"/>
        <v>4.494492579352821</v>
      </c>
      <c r="D108" s="4">
        <f>IF('WL &amp; Q'!N108="","",'WL &amp; Q'!N108)</f>
        <v>0</v>
      </c>
      <c r="E108" s="8">
        <v>3</v>
      </c>
      <c r="F108" s="8">
        <v>3.4</v>
      </c>
      <c r="G108" s="8">
        <v>5</v>
      </c>
    </row>
    <row r="109" spans="1:7" x14ac:dyDescent="0.3">
      <c r="A109" s="1">
        <f>'WL &amp; Q'!A109</f>
        <v>46236.374999999745</v>
      </c>
      <c r="B109" s="4">
        <f>IF('WL &amp; Q'!L109="","",'WL &amp; Q'!L109)</f>
        <v>0.62</v>
      </c>
      <c r="C109" s="6">
        <f t="shared" si="1"/>
        <v>4.3391991700825621</v>
      </c>
      <c r="D109" s="4">
        <f>IF('WL &amp; Q'!N109="","",'WL &amp; Q'!N109)</f>
        <v>0</v>
      </c>
      <c r="E109" s="8">
        <v>3</v>
      </c>
      <c r="F109" s="8">
        <v>3.4</v>
      </c>
      <c r="G109" s="8">
        <v>5</v>
      </c>
    </row>
    <row r="110" spans="1:7" x14ac:dyDescent="0.3">
      <c r="A110" s="1">
        <f>'WL &amp; Q'!A110</f>
        <v>46236.41666666641</v>
      </c>
      <c r="B110" s="4">
        <f>IF('WL &amp; Q'!L110="","",'WL &amp; Q'!L110)</f>
        <v>0.61</v>
      </c>
      <c r="C110" s="6">
        <f t="shared" si="1"/>
        <v>4.1864119123985732</v>
      </c>
      <c r="D110" s="4">
        <f>IF('WL &amp; Q'!N110="","",'WL &amp; Q'!N110)</f>
        <v>0</v>
      </c>
      <c r="E110" s="8">
        <v>3</v>
      </c>
      <c r="F110" s="8">
        <v>3.4</v>
      </c>
      <c r="G110" s="8">
        <v>5</v>
      </c>
    </row>
    <row r="111" spans="1:7" x14ac:dyDescent="0.3">
      <c r="A111" s="1">
        <f>'WL &amp; Q'!A111</f>
        <v>46236.458333333074</v>
      </c>
      <c r="B111" s="4">
        <f>IF('WL &amp; Q'!L111="","",'WL &amp; Q'!L111)</f>
        <v>0.6</v>
      </c>
      <c r="C111" s="6">
        <f t="shared" si="1"/>
        <v>4.0361383124214845</v>
      </c>
      <c r="D111" s="4">
        <f>IF('WL &amp; Q'!N111="","",'WL &amp; Q'!N111)</f>
        <v>0</v>
      </c>
      <c r="E111" s="8">
        <v>3</v>
      </c>
      <c r="F111" s="8">
        <v>3.4</v>
      </c>
      <c r="G111" s="8">
        <v>5</v>
      </c>
    </row>
    <row r="112" spans="1:7" x14ac:dyDescent="0.3">
      <c r="A112" s="1">
        <f>'WL &amp; Q'!A112</f>
        <v>46236.499999999738</v>
      </c>
      <c r="B112" s="4">
        <f>IF('WL &amp; Q'!L112="","",'WL &amp; Q'!L112)</f>
        <v>0.59</v>
      </c>
      <c r="C112" s="6">
        <f t="shared" si="1"/>
        <v>3.8883860480940058</v>
      </c>
      <c r="D112" s="4">
        <f>IF('WL &amp; Q'!N112="","",'WL &amp; Q'!N112)</f>
        <v>0</v>
      </c>
      <c r="E112" s="8">
        <v>3</v>
      </c>
      <c r="F112" s="8">
        <v>3.4</v>
      </c>
      <c r="G112" s="8">
        <v>5</v>
      </c>
    </row>
    <row r="113" spans="1:7" x14ac:dyDescent="0.3">
      <c r="A113" s="1">
        <f>'WL &amp; Q'!A113</f>
        <v>46236.541666666402</v>
      </c>
      <c r="B113" s="4">
        <f>IF('WL &amp; Q'!L113="","",'WL &amp; Q'!L113)</f>
        <v>0.55000000000000004</v>
      </c>
      <c r="C113" s="6">
        <f t="shared" si="1"/>
        <v>3.3227503534036718</v>
      </c>
      <c r="D113" s="4">
        <f>IF('WL &amp; Q'!N113="","",'WL &amp; Q'!N113)</f>
        <v>0</v>
      </c>
      <c r="E113" s="8">
        <v>3</v>
      </c>
      <c r="F113" s="8">
        <v>3.4</v>
      </c>
      <c r="G113" s="8">
        <v>5</v>
      </c>
    </row>
    <row r="114" spans="1:7" x14ac:dyDescent="0.3">
      <c r="A114" s="1">
        <f>'WL &amp; Q'!A114</f>
        <v>46236.583333333067</v>
      </c>
      <c r="B114" s="4">
        <f>IF('WL &amp; Q'!L114="","",'WL &amp; Q'!L114)</f>
        <v>0.48</v>
      </c>
      <c r="C114" s="6">
        <f t="shared" si="1"/>
        <v>2.4319124260181448</v>
      </c>
      <c r="D114" s="4">
        <f>IF('WL &amp; Q'!N114="","",'WL &amp; Q'!N114)</f>
        <v>1.7</v>
      </c>
      <c r="E114" s="8">
        <v>3</v>
      </c>
      <c r="F114" s="8">
        <v>3.4</v>
      </c>
      <c r="G114" s="8">
        <v>5</v>
      </c>
    </row>
    <row r="115" spans="1:7" x14ac:dyDescent="0.3">
      <c r="A115" s="1">
        <f>'WL &amp; Q'!A115</f>
        <v>46236.624999999731</v>
      </c>
      <c r="B115" s="4">
        <f>IF('WL &amp; Q'!L115="","",'WL &amp; Q'!L115)</f>
        <v>0.45</v>
      </c>
      <c r="C115" s="6">
        <f t="shared" si="1"/>
        <v>2.0893780230756476</v>
      </c>
      <c r="D115" s="4">
        <f>IF('WL &amp; Q'!N115="","",'WL &amp; Q'!N115)</f>
        <v>0</v>
      </c>
      <c r="E115" s="8">
        <v>3</v>
      </c>
      <c r="F115" s="8">
        <v>3.4</v>
      </c>
      <c r="G115" s="8">
        <v>5</v>
      </c>
    </row>
    <row r="116" spans="1:7" x14ac:dyDescent="0.3">
      <c r="A116" s="1">
        <f>'WL &amp; Q'!A116</f>
        <v>46236.666666666395</v>
      </c>
      <c r="B116" s="4">
        <f>IF('WL &amp; Q'!L116="","",'WL &amp; Q'!L116)</f>
        <v>0.57999999999999996</v>
      </c>
      <c r="C116" s="6">
        <f t="shared" si="1"/>
        <v>3.7431629766716883</v>
      </c>
      <c r="D116" s="4">
        <f>IF('WL &amp; Q'!N116="","",'WL &amp; Q'!N116)</f>
        <v>0</v>
      </c>
      <c r="E116" s="8">
        <v>3</v>
      </c>
      <c r="F116" s="8">
        <v>3.4</v>
      </c>
      <c r="G116" s="8">
        <v>5</v>
      </c>
    </row>
    <row r="117" spans="1:7" x14ac:dyDescent="0.3">
      <c r="A117" s="1">
        <f>'WL &amp; Q'!A117</f>
        <v>46236.708333333059</v>
      </c>
      <c r="B117" s="4">
        <f>IF('WL &amp; Q'!L117="","",'WL &amp; Q'!L117)</f>
        <v>0.59</v>
      </c>
      <c r="C117" s="6">
        <f t="shared" si="1"/>
        <v>3.8883860480940058</v>
      </c>
      <c r="D117" s="4">
        <f>IF('WL &amp; Q'!N117="","",'WL &amp; Q'!N117)</f>
        <v>0</v>
      </c>
      <c r="E117" s="8">
        <v>3</v>
      </c>
      <c r="F117" s="8">
        <v>3.4</v>
      </c>
      <c r="G117" s="8">
        <v>5</v>
      </c>
    </row>
    <row r="118" spans="1:7" x14ac:dyDescent="0.3">
      <c r="A118" s="1">
        <f>'WL &amp; Q'!A118</f>
        <v>46236.749999999724</v>
      </c>
      <c r="B118" s="4">
        <f>IF('WL &amp; Q'!L118="","",'WL &amp; Q'!L118)</f>
        <v>0.59</v>
      </c>
      <c r="C118" s="6">
        <f t="shared" si="1"/>
        <v>3.8883860480940058</v>
      </c>
      <c r="D118" s="4">
        <f>IF('WL &amp; Q'!N118="","",'WL &amp; Q'!N118)</f>
        <v>1.7</v>
      </c>
      <c r="E118" s="8">
        <v>3</v>
      </c>
      <c r="F118" s="8">
        <v>3.4</v>
      </c>
      <c r="G118" s="8">
        <v>5</v>
      </c>
    </row>
    <row r="119" spans="1:7" x14ac:dyDescent="0.3">
      <c r="A119" s="1">
        <f>'WL &amp; Q'!A119</f>
        <v>46236.791666666388</v>
      </c>
      <c r="B119" s="4">
        <f>IF('WL &amp; Q'!L119="","",'WL &amp; Q'!L119)</f>
        <v>0.56000000000000005</v>
      </c>
      <c r="C119" s="6">
        <f t="shared" si="1"/>
        <v>3.4603367865330119</v>
      </c>
      <c r="D119" s="4">
        <f>IF('WL &amp; Q'!N119="","",'WL &amp; Q'!N119)</f>
        <v>0</v>
      </c>
      <c r="E119" s="8">
        <v>3</v>
      </c>
      <c r="F119" s="8">
        <v>3.4</v>
      </c>
      <c r="G119" s="8">
        <v>5</v>
      </c>
    </row>
    <row r="120" spans="1:7" x14ac:dyDescent="0.3">
      <c r="A120" s="1">
        <f>'WL &amp; Q'!A120</f>
        <v>46236.833333333052</v>
      </c>
      <c r="B120" s="4">
        <f>IF('WL &amp; Q'!L120="","",'WL &amp; Q'!L120)</f>
        <v>0.55000000000000004</v>
      </c>
      <c r="C120" s="6">
        <f t="shared" si="1"/>
        <v>3.3227503534036718</v>
      </c>
      <c r="D120" s="4">
        <f>IF('WL &amp; Q'!N120="","",'WL &amp; Q'!N120)</f>
        <v>0</v>
      </c>
      <c r="E120" s="8">
        <v>3</v>
      </c>
      <c r="F120" s="8">
        <v>3.4</v>
      </c>
      <c r="G120" s="8">
        <v>5</v>
      </c>
    </row>
    <row r="121" spans="1:7" x14ac:dyDescent="0.3">
      <c r="A121" s="1">
        <f>'WL &amp; Q'!A121</f>
        <v>46236.874999999716</v>
      </c>
      <c r="B121" s="4">
        <f>IF('WL &amp; Q'!L121="","",'WL &amp; Q'!L121)</f>
        <v>0.55000000000000004</v>
      </c>
      <c r="C121" s="6">
        <f t="shared" si="1"/>
        <v>3.3227503534036718</v>
      </c>
      <c r="D121" s="4">
        <f>IF('WL &amp; Q'!N121="","",'WL &amp; Q'!N121)</f>
        <v>0</v>
      </c>
      <c r="E121" s="8">
        <v>3</v>
      </c>
      <c r="F121" s="8">
        <v>3.4</v>
      </c>
      <c r="G121" s="8">
        <v>5</v>
      </c>
    </row>
    <row r="122" spans="1:7" x14ac:dyDescent="0.3">
      <c r="A122" s="1">
        <f>'WL &amp; Q'!A122</f>
        <v>46236.91666666638</v>
      </c>
      <c r="B122" s="4">
        <f>IF('WL &amp; Q'!L122="","",'WL &amp; Q'!L122)</f>
        <v>0.54</v>
      </c>
      <c r="C122" s="6">
        <f t="shared" si="1"/>
        <v>3.1877265031611879</v>
      </c>
      <c r="D122" s="4">
        <f>IF('WL &amp; Q'!N122="","",'WL &amp; Q'!N122)</f>
        <v>3.4</v>
      </c>
      <c r="E122" s="8">
        <v>3</v>
      </c>
      <c r="F122" s="8">
        <v>3.4</v>
      </c>
      <c r="G122" s="8">
        <v>5</v>
      </c>
    </row>
    <row r="123" spans="1:7" x14ac:dyDescent="0.3">
      <c r="A123" s="1">
        <f>'WL &amp; Q'!A123</f>
        <v>46236.958333333045</v>
      </c>
      <c r="B123" s="4">
        <f>IF('WL &amp; Q'!L123="","",'WL &amp; Q'!L123)</f>
        <v>0.55000000000000004</v>
      </c>
      <c r="C123" s="6">
        <f t="shared" si="1"/>
        <v>3.3227503534036718</v>
      </c>
      <c r="D123" s="4">
        <f>IF('WL &amp; Q'!N123="","",'WL &amp; Q'!N123)</f>
        <v>0.3</v>
      </c>
      <c r="E123" s="8">
        <v>3</v>
      </c>
      <c r="F123" s="8">
        <v>3.4</v>
      </c>
      <c r="G123" s="8">
        <v>5</v>
      </c>
    </row>
    <row r="124" spans="1:7" x14ac:dyDescent="0.3">
      <c r="A124" s="1">
        <f>'WL &amp; Q'!A124</f>
        <v>46236.999999999709</v>
      </c>
      <c r="B124" s="4">
        <f>IF('WL &amp; Q'!L124="","",'WL &amp; Q'!L124)</f>
        <v>0.53</v>
      </c>
      <c r="C124" s="6">
        <f t="shared" si="1"/>
        <v>3.0552741206719864</v>
      </c>
      <c r="D124" s="4">
        <f>IF('WL &amp; Q'!N124="","",'WL &amp; Q'!N124)</f>
        <v>0</v>
      </c>
      <c r="E124" s="8">
        <v>3</v>
      </c>
      <c r="F124" s="8">
        <v>3.4</v>
      </c>
      <c r="G124" s="8">
        <v>5</v>
      </c>
    </row>
    <row r="125" spans="1:7" x14ac:dyDescent="0.3">
      <c r="A125" s="1">
        <f>'WL &amp; Q'!A125</f>
        <v>46237.041666666373</v>
      </c>
      <c r="B125" s="4">
        <f>IF('WL &amp; Q'!L125="","",'WL &amp; Q'!L125)</f>
        <v>0.63</v>
      </c>
      <c r="C125" s="6">
        <f t="shared" si="1"/>
        <v>4.494492579352821</v>
      </c>
      <c r="D125" s="4">
        <f>IF('WL &amp; Q'!N125="","",'WL &amp; Q'!N125)</f>
        <v>0</v>
      </c>
      <c r="E125" s="8">
        <v>3</v>
      </c>
      <c r="F125" s="8">
        <v>3.4</v>
      </c>
      <c r="G125" s="8">
        <v>5</v>
      </c>
    </row>
    <row r="126" spans="1:7" x14ac:dyDescent="0.3">
      <c r="A126" s="1">
        <f>'WL &amp; Q'!A126</f>
        <v>46237.083333333037</v>
      </c>
      <c r="B126" s="4">
        <f>IF('WL &amp; Q'!L126="","",'WL &amp; Q'!L126)</f>
        <v>0.7</v>
      </c>
      <c r="C126" s="6">
        <f t="shared" si="1"/>
        <v>5.6511211857306698</v>
      </c>
      <c r="D126" s="4">
        <f>IF('WL &amp; Q'!N126="","",'WL &amp; Q'!N126)</f>
        <v>0.6</v>
      </c>
      <c r="E126" s="8">
        <v>3</v>
      </c>
      <c r="F126" s="8">
        <v>3.4</v>
      </c>
      <c r="G126" s="8">
        <v>5</v>
      </c>
    </row>
    <row r="127" spans="1:7" x14ac:dyDescent="0.3">
      <c r="A127" s="1">
        <f>'WL &amp; Q'!A127</f>
        <v>46237.124999999702</v>
      </c>
      <c r="B127" s="4">
        <f>IF('WL &amp; Q'!L127="","",'WL &amp; Q'!L127)</f>
        <v>1.65</v>
      </c>
      <c r="C127" s="6">
        <f t="shared" si="1"/>
        <v>32.585150204509723</v>
      </c>
      <c r="D127" s="4">
        <f>IF('WL &amp; Q'!N127="","",'WL &amp; Q'!N127)</f>
        <v>0.8</v>
      </c>
      <c r="E127" s="8">
        <v>3</v>
      </c>
      <c r="F127" s="8">
        <v>3.4</v>
      </c>
      <c r="G127" s="8">
        <v>5</v>
      </c>
    </row>
    <row r="128" spans="1:7" x14ac:dyDescent="0.3">
      <c r="A128" s="1">
        <f>'WL &amp; Q'!A128</f>
        <v>46237.166666666366</v>
      </c>
      <c r="B128" s="4">
        <f>IF('WL &amp; Q'!L128="","",'WL &amp; Q'!L128)</f>
        <v>1.8</v>
      </c>
      <c r="C128" s="6">
        <f t="shared" si="1"/>
        <v>38.643470376077957</v>
      </c>
      <c r="D128" s="4">
        <f>IF('WL &amp; Q'!N128="","",'WL &amp; Q'!N128)</f>
        <v>0.3</v>
      </c>
      <c r="E128" s="8">
        <v>3</v>
      </c>
      <c r="F128" s="8">
        <v>3.4</v>
      </c>
      <c r="G128" s="8">
        <v>5</v>
      </c>
    </row>
    <row r="129" spans="1:7" x14ac:dyDescent="0.3">
      <c r="A129" s="1">
        <f>'WL &amp; Q'!A129</f>
        <v>46237.20833333303</v>
      </c>
      <c r="B129" s="4">
        <f>IF('WL &amp; Q'!L129="","",'WL &amp; Q'!L129)</f>
        <v>1.54</v>
      </c>
      <c r="C129" s="6">
        <f t="shared" si="1"/>
        <v>28.44491057977767</v>
      </c>
      <c r="D129" s="4">
        <f>IF('WL &amp; Q'!N129="","",'WL &amp; Q'!N129)</f>
        <v>0</v>
      </c>
      <c r="E129" s="8">
        <v>3</v>
      </c>
      <c r="F129" s="8">
        <v>3.4</v>
      </c>
      <c r="G129" s="8">
        <v>5</v>
      </c>
    </row>
    <row r="130" spans="1:7" x14ac:dyDescent="0.3">
      <c r="A130" s="1">
        <f>'WL &amp; Q'!A130</f>
        <v>46237.249999999694</v>
      </c>
      <c r="B130" s="4">
        <f>IF('WL &amp; Q'!L130="","",'WL &amp; Q'!L130)</f>
        <v>1.34</v>
      </c>
      <c r="C130" s="6">
        <f t="shared" si="1"/>
        <v>21.583597984553961</v>
      </c>
      <c r="D130" s="4">
        <f>IF('WL &amp; Q'!N130="","",'WL &amp; Q'!N130)</f>
        <v>0</v>
      </c>
      <c r="E130" s="8">
        <v>3</v>
      </c>
      <c r="F130" s="8">
        <v>3.4</v>
      </c>
      <c r="G130" s="8">
        <v>5</v>
      </c>
    </row>
    <row r="131" spans="1:7" x14ac:dyDescent="0.3">
      <c r="A131" s="1">
        <f>'WL &amp; Q'!A131</f>
        <v>46237.291666666359</v>
      </c>
      <c r="B131" s="4">
        <f>IF('WL &amp; Q'!L131="","",'WL &amp; Q'!L131)</f>
        <v>1.18</v>
      </c>
      <c r="C131" s="6">
        <f t="shared" si="1"/>
        <v>16.72505925375436</v>
      </c>
      <c r="D131" s="4">
        <f>IF('WL &amp; Q'!N131="","",'WL &amp; Q'!N131)</f>
        <v>0</v>
      </c>
      <c r="E131" s="8">
        <v>3</v>
      </c>
      <c r="F131" s="8">
        <v>3.4</v>
      </c>
      <c r="G131" s="8">
        <v>5</v>
      </c>
    </row>
    <row r="132" spans="1:7" x14ac:dyDescent="0.3">
      <c r="A132" s="1">
        <f>'WL &amp; Q'!A132</f>
        <v>46237.333333333023</v>
      </c>
      <c r="B132" s="4">
        <f>IF('WL &amp; Q'!L132="","",'WL &amp; Q'!L132)</f>
        <v>1</v>
      </c>
      <c r="C132" s="6">
        <f t="shared" si="1"/>
        <v>11.945355658280643</v>
      </c>
      <c r="D132" s="4">
        <f>IF('WL &amp; Q'!N132="","",'WL &amp; Q'!N132)</f>
        <v>0</v>
      </c>
      <c r="E132" s="8">
        <v>3</v>
      </c>
      <c r="F132" s="8">
        <v>3.4</v>
      </c>
      <c r="G132" s="8">
        <v>5</v>
      </c>
    </row>
    <row r="133" spans="1:7" x14ac:dyDescent="0.3">
      <c r="A133" s="1">
        <f>'WL &amp; Q'!A133</f>
        <v>46237.374999999687</v>
      </c>
      <c r="B133" s="4">
        <f>IF('WL &amp; Q'!L133="","",'WL &amp; Q'!L133)</f>
        <v>1</v>
      </c>
      <c r="C133" s="6">
        <f t="shared" si="1"/>
        <v>11.945355658280643</v>
      </c>
      <c r="D133" s="4">
        <f>IF('WL &amp; Q'!N133="","",'WL &amp; Q'!N133)</f>
        <v>1.4</v>
      </c>
      <c r="E133" s="8">
        <v>3</v>
      </c>
      <c r="F133" s="8">
        <v>3.4</v>
      </c>
      <c r="G133" s="8">
        <v>5</v>
      </c>
    </row>
    <row r="134" spans="1:7" x14ac:dyDescent="0.3">
      <c r="A134" s="1">
        <f>'WL &amp; Q'!A134</f>
        <v>46237.416666666351</v>
      </c>
      <c r="B134" s="4">
        <f>IF('WL &amp; Q'!L134="","",'WL &amp; Q'!L134)</f>
        <v>0.99</v>
      </c>
      <c r="C134" s="6">
        <f t="shared" ref="C134:C197" si="2">IF(B134="","",IF((B134)&gt;2,8.9271*((B134)^2)+9.2434*(B134)-1.6791,14.51*(((B134)-0.1)^1.846)))</f>
        <v>11.701495358873233</v>
      </c>
      <c r="D134" s="4">
        <f>IF('WL &amp; Q'!N134="","",'WL &amp; Q'!N134)</f>
        <v>1.1000000000000001</v>
      </c>
      <c r="E134" s="8">
        <v>3</v>
      </c>
      <c r="F134" s="8">
        <v>3.4</v>
      </c>
      <c r="G134" s="8">
        <v>5</v>
      </c>
    </row>
    <row r="135" spans="1:7" x14ac:dyDescent="0.3">
      <c r="A135" s="1">
        <f>'WL &amp; Q'!A135</f>
        <v>46237.458333333016</v>
      </c>
      <c r="B135" s="4">
        <f>IF('WL &amp; Q'!L135="","",'WL &amp; Q'!L135)</f>
        <v>0.85</v>
      </c>
      <c r="C135" s="6">
        <f t="shared" si="2"/>
        <v>8.5316003750950333</v>
      </c>
      <c r="D135" s="4">
        <f>IF('WL &amp; Q'!N135="","",'WL &amp; Q'!N135)</f>
        <v>0</v>
      </c>
      <c r="E135" s="8">
        <v>3</v>
      </c>
      <c r="F135" s="8">
        <v>3.4</v>
      </c>
      <c r="G135" s="8">
        <v>5</v>
      </c>
    </row>
    <row r="136" spans="1:7" x14ac:dyDescent="0.3">
      <c r="A136" s="1">
        <f>'WL &amp; Q'!A136</f>
        <v>46237.49999999968</v>
      </c>
      <c r="B136" s="4">
        <f>IF('WL &amp; Q'!L136="","",'WL &amp; Q'!L136)</f>
        <v>0.94</v>
      </c>
      <c r="C136" s="6">
        <f t="shared" si="2"/>
        <v>10.516881355120873</v>
      </c>
      <c r="D136" s="4">
        <f>IF('WL &amp; Q'!N136="","",'WL &amp; Q'!N136)</f>
        <v>2.2000000000000002</v>
      </c>
      <c r="E136" s="8">
        <v>3</v>
      </c>
      <c r="F136" s="8">
        <v>3.4</v>
      </c>
      <c r="G136" s="8">
        <v>5</v>
      </c>
    </row>
    <row r="137" spans="1:7" x14ac:dyDescent="0.3">
      <c r="A137" s="1">
        <f>'WL &amp; Q'!A137</f>
        <v>46237.541666666344</v>
      </c>
      <c r="B137" s="4">
        <f>IF('WL &amp; Q'!L137="","",'WL &amp; Q'!L137)</f>
        <v>1.48</v>
      </c>
      <c r="C137" s="6">
        <f t="shared" si="2"/>
        <v>26.295667883626816</v>
      </c>
      <c r="D137" s="4">
        <f>IF('WL &amp; Q'!N137="","",'WL &amp; Q'!N137)</f>
        <v>2.8</v>
      </c>
      <c r="E137" s="8">
        <v>3</v>
      </c>
      <c r="F137" s="8">
        <v>3.4</v>
      </c>
      <c r="G137" s="8">
        <v>5</v>
      </c>
    </row>
    <row r="138" spans="1:7" x14ac:dyDescent="0.3">
      <c r="A138" s="1">
        <f>'WL &amp; Q'!A138</f>
        <v>46237.583333333008</v>
      </c>
      <c r="B138" s="4">
        <f>IF('WL &amp; Q'!L138="","",'WL &amp; Q'!L138)</f>
        <v>3.02</v>
      </c>
      <c r="C138" s="6">
        <f t="shared" si="2"/>
        <v>107.65469084</v>
      </c>
      <c r="D138" s="4">
        <f>IF('WL &amp; Q'!N138="","",'WL &amp; Q'!N138)</f>
        <v>2.5</v>
      </c>
      <c r="E138" s="8">
        <v>3</v>
      </c>
      <c r="F138" s="8">
        <v>3.4</v>
      </c>
      <c r="G138" s="8">
        <v>5</v>
      </c>
    </row>
    <row r="139" spans="1:7" x14ac:dyDescent="0.3">
      <c r="A139" s="1">
        <f>'WL &amp; Q'!A139</f>
        <v>46237.624999999673</v>
      </c>
      <c r="B139" s="4">
        <f>IF('WL &amp; Q'!L139="","",'WL &amp; Q'!L139)</f>
        <v>3.75</v>
      </c>
      <c r="C139" s="6">
        <f t="shared" si="2"/>
        <v>158.52099374999997</v>
      </c>
      <c r="D139" s="4">
        <f>IF('WL &amp; Q'!N139="","",'WL &amp; Q'!N139)</f>
        <v>0.6</v>
      </c>
      <c r="E139" s="8">
        <v>3</v>
      </c>
      <c r="F139" s="8">
        <v>3.4</v>
      </c>
      <c r="G139" s="8">
        <v>5</v>
      </c>
    </row>
    <row r="140" spans="1:7" x14ac:dyDescent="0.3">
      <c r="A140" s="1">
        <f>'WL &amp; Q'!A140</f>
        <v>46237.666666666337</v>
      </c>
      <c r="B140" s="4">
        <f>IF('WL &amp; Q'!L140="","",'WL &amp; Q'!L140)</f>
        <v>3.9</v>
      </c>
      <c r="C140" s="6">
        <f t="shared" si="2"/>
        <v>170.15135099999998</v>
      </c>
      <c r="D140" s="4">
        <f>IF('WL &amp; Q'!N140="","",'WL &amp; Q'!N140)</f>
        <v>1.2</v>
      </c>
      <c r="E140" s="8">
        <v>3</v>
      </c>
      <c r="F140" s="8">
        <v>3.4</v>
      </c>
      <c r="G140" s="8">
        <v>5</v>
      </c>
    </row>
    <row r="141" spans="1:7" x14ac:dyDescent="0.3">
      <c r="A141" s="1">
        <f>'WL &amp; Q'!A141</f>
        <v>46237.708333333001</v>
      </c>
      <c r="B141" s="4">
        <f>IF('WL &amp; Q'!L141="","",'WL &amp; Q'!L141)</f>
        <v>3.68</v>
      </c>
      <c r="C141" s="6">
        <f t="shared" si="2"/>
        <v>153.23097103999999</v>
      </c>
      <c r="D141" s="4">
        <f>IF('WL &amp; Q'!N141="","",'WL &amp; Q'!N141)</f>
        <v>0.6</v>
      </c>
      <c r="E141" s="8">
        <v>3</v>
      </c>
      <c r="F141" s="8">
        <v>3.4</v>
      </c>
      <c r="G141" s="8">
        <v>5</v>
      </c>
    </row>
    <row r="142" spans="1:7" x14ac:dyDescent="0.3">
      <c r="A142" s="1">
        <f>'WL &amp; Q'!A142</f>
        <v>46237.749999999665</v>
      </c>
      <c r="B142" s="4">
        <f>IF('WL &amp; Q'!L142="","",'WL &amp; Q'!L142)</f>
        <v>3.11</v>
      </c>
      <c r="C142" s="6">
        <f t="shared" si="2"/>
        <v>113.41167790999997</v>
      </c>
      <c r="D142" s="4">
        <f>IF('WL &amp; Q'!N142="","",'WL &amp; Q'!N142)</f>
        <v>0</v>
      </c>
      <c r="E142" s="8">
        <v>3</v>
      </c>
      <c r="F142" s="8">
        <v>3.4</v>
      </c>
      <c r="G142" s="8">
        <v>5</v>
      </c>
    </row>
    <row r="143" spans="1:7" x14ac:dyDescent="0.3">
      <c r="A143" s="1">
        <f>'WL &amp; Q'!A143</f>
        <v>46237.79166666633</v>
      </c>
      <c r="B143" s="4">
        <f>IF('WL &amp; Q'!L143="","",'WL &amp; Q'!L143)</f>
        <v>2.7</v>
      </c>
      <c r="C143" s="6">
        <f t="shared" si="2"/>
        <v>88.356639000000001</v>
      </c>
      <c r="D143" s="4">
        <f>IF('WL &amp; Q'!N143="","",'WL &amp; Q'!N143)</f>
        <v>0</v>
      </c>
      <c r="E143" s="8">
        <v>3</v>
      </c>
      <c r="F143" s="8">
        <v>3.4</v>
      </c>
      <c r="G143" s="8">
        <v>5</v>
      </c>
    </row>
    <row r="144" spans="1:7" x14ac:dyDescent="0.3">
      <c r="A144" s="1">
        <f>'WL &amp; Q'!A144</f>
        <v>46237.833333332994</v>
      </c>
      <c r="B144" s="4">
        <f>IF('WL &amp; Q'!L144="","",'WL &amp; Q'!L144)</f>
        <v>2.38</v>
      </c>
      <c r="C144" s="6">
        <f t="shared" si="2"/>
        <v>70.886857239999983</v>
      </c>
      <c r="D144" s="4">
        <f>IF('WL &amp; Q'!N144="","",'WL &amp; Q'!N144)</f>
        <v>0</v>
      </c>
      <c r="E144" s="8">
        <v>3</v>
      </c>
      <c r="F144" s="8">
        <v>3.4</v>
      </c>
      <c r="G144" s="8">
        <v>5</v>
      </c>
    </row>
    <row r="145" spans="1:7" x14ac:dyDescent="0.3">
      <c r="A145" s="1">
        <f>'WL &amp; Q'!A145</f>
        <v>46237.874999999658</v>
      </c>
      <c r="B145" s="4">
        <f>IF('WL &amp; Q'!L145="","",'WL &amp; Q'!L145)</f>
        <v>2</v>
      </c>
      <c r="C145" s="6">
        <f t="shared" si="2"/>
        <v>47.451130069104941</v>
      </c>
      <c r="D145" s="4">
        <f>IF('WL &amp; Q'!N145="","",'WL &amp; Q'!N145)</f>
        <v>0</v>
      </c>
      <c r="E145" s="8">
        <v>3</v>
      </c>
      <c r="F145" s="8">
        <v>3.4</v>
      </c>
      <c r="G145" s="8">
        <v>5</v>
      </c>
    </row>
    <row r="146" spans="1:7" x14ac:dyDescent="0.3">
      <c r="A146" s="1">
        <f>'WL &amp; Q'!A146</f>
        <v>46237.916666666322</v>
      </c>
      <c r="B146" s="4">
        <f>IF('WL &amp; Q'!L146="","",'WL &amp; Q'!L146)</f>
        <v>1.68</v>
      </c>
      <c r="C146" s="6">
        <f t="shared" si="2"/>
        <v>33.758908381367981</v>
      </c>
      <c r="D146" s="4">
        <f>IF('WL &amp; Q'!N146="","",'WL &amp; Q'!N146)</f>
        <v>0</v>
      </c>
      <c r="E146" s="8">
        <v>3</v>
      </c>
      <c r="F146" s="8">
        <v>3.4</v>
      </c>
      <c r="G146" s="8">
        <v>5</v>
      </c>
    </row>
    <row r="147" spans="1:7" x14ac:dyDescent="0.3">
      <c r="A147" s="1">
        <f>'WL &amp; Q'!A147</f>
        <v>46237.958333332987</v>
      </c>
      <c r="B147" s="4">
        <f>IF('WL &amp; Q'!L147="","",'WL &amp; Q'!L147)</f>
        <v>1.58</v>
      </c>
      <c r="C147" s="6">
        <f t="shared" si="2"/>
        <v>29.920616592458135</v>
      </c>
      <c r="D147" s="4">
        <f>IF('WL &amp; Q'!N147="","",'WL &amp; Q'!N147)</f>
        <v>0</v>
      </c>
      <c r="E147" s="8">
        <v>3</v>
      </c>
      <c r="F147" s="8">
        <v>3.4</v>
      </c>
      <c r="G147" s="8">
        <v>5</v>
      </c>
    </row>
    <row r="148" spans="1:7" x14ac:dyDescent="0.3">
      <c r="A148" s="1">
        <f>'WL &amp; Q'!A148</f>
        <v>46237.999999999651</v>
      </c>
      <c r="B148" s="4">
        <f>IF('WL &amp; Q'!L148="","",'WL &amp; Q'!L148)</f>
        <v>1.49</v>
      </c>
      <c r="C148" s="6">
        <f t="shared" si="2"/>
        <v>26.648497875362867</v>
      </c>
      <c r="D148" s="4">
        <f>IF('WL &amp; Q'!N148="","",'WL &amp; Q'!N148)</f>
        <v>0</v>
      </c>
      <c r="E148" s="8">
        <v>3</v>
      </c>
      <c r="F148" s="8">
        <v>3.4</v>
      </c>
      <c r="G148" s="8">
        <v>5</v>
      </c>
    </row>
    <row r="149" spans="1:7" x14ac:dyDescent="0.3">
      <c r="A149" s="1">
        <f>'WL &amp; Q'!A149</f>
        <v>46238.041666666315</v>
      </c>
      <c r="B149" s="4">
        <f>IF('WL &amp; Q'!L149="","",'WL &amp; Q'!L149)</f>
        <v>1.46</v>
      </c>
      <c r="C149" s="6">
        <f t="shared" si="2"/>
        <v>25.596479503410542</v>
      </c>
      <c r="D149" s="4">
        <f>IF('WL &amp; Q'!N149="","",'WL &amp; Q'!N149)</f>
        <v>0</v>
      </c>
      <c r="E149" s="8">
        <v>3</v>
      </c>
      <c r="F149" s="8">
        <v>3.4</v>
      </c>
      <c r="G149" s="8">
        <v>5</v>
      </c>
    </row>
    <row r="150" spans="1:7" x14ac:dyDescent="0.3">
      <c r="A150" s="1">
        <f>'WL &amp; Q'!A150</f>
        <v>46238.083333332979</v>
      </c>
      <c r="B150" s="4">
        <f>IF('WL &amp; Q'!L150="","",'WL &amp; Q'!L150)</f>
        <v>1.44</v>
      </c>
      <c r="C150" s="6">
        <f t="shared" si="2"/>
        <v>24.905936140413083</v>
      </c>
      <c r="D150" s="4">
        <f>IF('WL &amp; Q'!N150="","",'WL &amp; Q'!N150)</f>
        <v>0</v>
      </c>
      <c r="E150" s="8">
        <v>3</v>
      </c>
      <c r="F150" s="8">
        <v>3.4</v>
      </c>
      <c r="G150" s="8">
        <v>5</v>
      </c>
    </row>
    <row r="151" spans="1:7" x14ac:dyDescent="0.3">
      <c r="A151" s="1">
        <f>'WL &amp; Q'!A151</f>
        <v>46238.124999999643</v>
      </c>
      <c r="B151" s="4">
        <f>IF('WL &amp; Q'!L151="","",'WL &amp; Q'!L151)</f>
        <v>1.4</v>
      </c>
      <c r="C151" s="6">
        <f t="shared" si="2"/>
        <v>23.550863797828864</v>
      </c>
      <c r="D151" s="4">
        <f>IF('WL &amp; Q'!N151="","",'WL &amp; Q'!N151)</f>
        <v>0</v>
      </c>
      <c r="E151" s="8">
        <v>3</v>
      </c>
      <c r="F151" s="8">
        <v>3.4</v>
      </c>
      <c r="G151" s="8">
        <v>5</v>
      </c>
    </row>
    <row r="152" spans="1:7" x14ac:dyDescent="0.3">
      <c r="A152" s="1">
        <f>'WL &amp; Q'!A152</f>
        <v>46238.166666666308</v>
      </c>
      <c r="B152" s="4">
        <f>IF('WL &amp; Q'!L152="","",'WL &amp; Q'!L152)</f>
        <v>1.32</v>
      </c>
      <c r="C152" s="6">
        <f t="shared" si="2"/>
        <v>20.945351831633381</v>
      </c>
      <c r="D152" s="4">
        <f>IF('WL &amp; Q'!N152="","",'WL &amp; Q'!N152)</f>
        <v>0</v>
      </c>
      <c r="E152" s="8">
        <v>3</v>
      </c>
      <c r="F152" s="8">
        <v>3.4</v>
      </c>
      <c r="G152" s="8">
        <v>5</v>
      </c>
    </row>
    <row r="153" spans="1:7" x14ac:dyDescent="0.3">
      <c r="A153" s="1">
        <f>'WL &amp; Q'!A153</f>
        <v>46238.208333332972</v>
      </c>
      <c r="B153" s="4">
        <f>IF('WL &amp; Q'!L153="","",'WL &amp; Q'!L153)</f>
        <v>1.17</v>
      </c>
      <c r="C153" s="6">
        <f t="shared" si="2"/>
        <v>16.440304839072116</v>
      </c>
      <c r="D153" s="4">
        <f>IF('WL &amp; Q'!N153="","",'WL &amp; Q'!N153)</f>
        <v>1.7</v>
      </c>
      <c r="E153" s="8">
        <v>3</v>
      </c>
      <c r="F153" s="8">
        <v>3.4</v>
      </c>
      <c r="G153" s="8">
        <v>5</v>
      </c>
    </row>
    <row r="154" spans="1:7" x14ac:dyDescent="0.3">
      <c r="A154" s="1">
        <f>'WL &amp; Q'!A154</f>
        <v>46238.249999999636</v>
      </c>
      <c r="B154" s="4">
        <f>IF('WL &amp; Q'!L154="","",'WL &amp; Q'!L154)</f>
        <v>1.05</v>
      </c>
      <c r="C154" s="6">
        <f t="shared" si="2"/>
        <v>13.199126398319068</v>
      </c>
      <c r="D154" s="4">
        <f>IF('WL &amp; Q'!N154="","",'WL &amp; Q'!N154)</f>
        <v>0</v>
      </c>
      <c r="E154" s="8">
        <v>3</v>
      </c>
      <c r="F154" s="8">
        <v>3.4</v>
      </c>
      <c r="G154" s="8">
        <v>5</v>
      </c>
    </row>
    <row r="155" spans="1:7" x14ac:dyDescent="0.3">
      <c r="A155" s="1">
        <f>'WL &amp; Q'!A155</f>
        <v>46238.2916666663</v>
      </c>
      <c r="B155" s="4">
        <f>IF('WL &amp; Q'!L155="","",'WL &amp; Q'!L155)</f>
        <v>1.05</v>
      </c>
      <c r="C155" s="6">
        <f t="shared" si="2"/>
        <v>13.199126398319068</v>
      </c>
      <c r="D155" s="4">
        <f>IF('WL &amp; Q'!N155="","",'WL &amp; Q'!N155)</f>
        <v>0</v>
      </c>
      <c r="E155" s="8">
        <v>3</v>
      </c>
      <c r="F155" s="8">
        <v>3.4</v>
      </c>
      <c r="G155" s="8">
        <v>5</v>
      </c>
    </row>
    <row r="156" spans="1:7" x14ac:dyDescent="0.3">
      <c r="A156" s="1">
        <f>'WL &amp; Q'!A156</f>
        <v>46238.333333332965</v>
      </c>
      <c r="B156" s="4">
        <f>IF('WL &amp; Q'!L156="","",'WL &amp; Q'!L156)</f>
        <v>1.04</v>
      </c>
      <c r="C156" s="6">
        <f t="shared" si="2"/>
        <v>12.943789160996259</v>
      </c>
      <c r="D156" s="4">
        <f>IF('WL &amp; Q'!N156="","",'WL &amp; Q'!N156)</f>
        <v>0</v>
      </c>
      <c r="E156" s="8">
        <v>3</v>
      </c>
      <c r="F156" s="8">
        <v>3.4</v>
      </c>
      <c r="G156" s="8">
        <v>5</v>
      </c>
    </row>
    <row r="157" spans="1:7" x14ac:dyDescent="0.3">
      <c r="A157" s="1">
        <f>'WL &amp; Q'!A157</f>
        <v>46238.374999999629</v>
      </c>
      <c r="B157" s="4">
        <f>IF('WL &amp; Q'!L157="","",'WL &amp; Q'!L157)</f>
        <v>1.04</v>
      </c>
      <c r="C157" s="6">
        <f t="shared" si="2"/>
        <v>12.943789160996259</v>
      </c>
      <c r="D157" s="4">
        <f>IF('WL &amp; Q'!N157="","",'WL &amp; Q'!N157)</f>
        <v>0</v>
      </c>
      <c r="E157" s="8">
        <v>3</v>
      </c>
      <c r="F157" s="8">
        <v>3.4</v>
      </c>
      <c r="G157" s="8">
        <v>5</v>
      </c>
    </row>
    <row r="158" spans="1:7" x14ac:dyDescent="0.3">
      <c r="A158" s="1">
        <f>'WL &amp; Q'!A158</f>
        <v>46238.416666666293</v>
      </c>
      <c r="B158" s="4">
        <f>IF('WL &amp; Q'!L158="","",'WL &amp; Q'!L158)</f>
        <v>1.04</v>
      </c>
      <c r="C158" s="6">
        <f t="shared" si="2"/>
        <v>12.943789160996259</v>
      </c>
      <c r="D158" s="4">
        <f>IF('WL &amp; Q'!N158="","",'WL &amp; Q'!N158)</f>
        <v>0</v>
      </c>
      <c r="E158" s="8">
        <v>3</v>
      </c>
      <c r="F158" s="8">
        <v>3.4</v>
      </c>
      <c r="G158" s="8">
        <v>5</v>
      </c>
    </row>
    <row r="159" spans="1:7" x14ac:dyDescent="0.3">
      <c r="A159" s="1">
        <f>'WL &amp; Q'!A159</f>
        <v>46238.458333332957</v>
      </c>
      <c r="B159" s="4">
        <f>IF('WL &amp; Q'!L159="","",'WL &amp; Q'!L159)</f>
        <v>1.03</v>
      </c>
      <c r="C159" s="6">
        <f t="shared" si="2"/>
        <v>12.690739673392212</v>
      </c>
      <c r="D159" s="4">
        <f>IF('WL &amp; Q'!N159="","",'WL &amp; Q'!N159)</f>
        <v>0.6</v>
      </c>
      <c r="E159" s="8">
        <v>3</v>
      </c>
      <c r="F159" s="8">
        <v>3.4</v>
      </c>
      <c r="G159" s="8">
        <v>5</v>
      </c>
    </row>
    <row r="160" spans="1:7" x14ac:dyDescent="0.3">
      <c r="A160" s="1">
        <f>'WL &amp; Q'!A160</f>
        <v>46238.499999999622</v>
      </c>
      <c r="B160" s="4">
        <f>IF('WL &amp; Q'!L160="","",'WL &amp; Q'!L160)</f>
        <v>1.02</v>
      </c>
      <c r="C160" s="6">
        <f t="shared" si="2"/>
        <v>12.439981706789121</v>
      </c>
      <c r="D160" s="4">
        <f>IF('WL &amp; Q'!N160="","",'WL &amp; Q'!N160)</f>
        <v>0.6</v>
      </c>
      <c r="E160" s="8">
        <v>3</v>
      </c>
      <c r="F160" s="8">
        <v>3.4</v>
      </c>
      <c r="G160" s="8">
        <v>5</v>
      </c>
    </row>
    <row r="161" spans="1:7" x14ac:dyDescent="0.3">
      <c r="A161" s="1">
        <f>'WL &amp; Q'!A161</f>
        <v>46238.541666666286</v>
      </c>
      <c r="B161" s="4" t="str">
        <f>IF('WL &amp; Q'!L161="","",'WL &amp; Q'!L161)</f>
        <v/>
      </c>
      <c r="C161" s="6" t="str">
        <f t="shared" si="2"/>
        <v/>
      </c>
      <c r="D161" s="4" t="str">
        <f>IF('WL &amp; Q'!N161="","",'WL &amp; Q'!N161)</f>
        <v/>
      </c>
      <c r="E161" s="8">
        <v>3</v>
      </c>
      <c r="F161" s="8">
        <v>3.4</v>
      </c>
      <c r="G161" s="8">
        <v>5</v>
      </c>
    </row>
    <row r="162" spans="1:7" x14ac:dyDescent="0.3">
      <c r="A162" s="1">
        <f>'WL &amp; Q'!A162</f>
        <v>46238.58333333295</v>
      </c>
      <c r="B162" s="4" t="str">
        <f>IF('WL &amp; Q'!L162="","",'WL &amp; Q'!L162)</f>
        <v/>
      </c>
      <c r="C162" s="6" t="str">
        <f t="shared" si="2"/>
        <v/>
      </c>
      <c r="D162" s="4" t="str">
        <f>IF('WL &amp; Q'!N162="","",'WL &amp; Q'!N162)</f>
        <v/>
      </c>
      <c r="E162" s="8">
        <v>3</v>
      </c>
      <c r="F162" s="8">
        <v>3.4</v>
      </c>
      <c r="G162" s="8">
        <v>5</v>
      </c>
    </row>
    <row r="163" spans="1:7" x14ac:dyDescent="0.3">
      <c r="A163" s="1">
        <f>'WL &amp; Q'!A163</f>
        <v>46238.624999999614</v>
      </c>
      <c r="B163" s="4" t="str">
        <f>IF('WL &amp; Q'!L163="","",'WL &amp; Q'!L163)</f>
        <v/>
      </c>
      <c r="C163" s="6" t="str">
        <f t="shared" si="2"/>
        <v/>
      </c>
      <c r="D163" s="4" t="str">
        <f>IF('WL &amp; Q'!N163="","",'WL &amp; Q'!N163)</f>
        <v/>
      </c>
      <c r="E163" s="8">
        <v>3</v>
      </c>
      <c r="F163" s="8">
        <v>3.4</v>
      </c>
      <c r="G163" s="8">
        <v>5</v>
      </c>
    </row>
    <row r="164" spans="1:7" x14ac:dyDescent="0.3">
      <c r="A164" s="1">
        <f>'WL &amp; Q'!A164</f>
        <v>46238.666666666279</v>
      </c>
      <c r="B164" s="4" t="str">
        <f>IF('WL &amp; Q'!L164="","",'WL &amp; Q'!L164)</f>
        <v/>
      </c>
      <c r="C164" s="6" t="str">
        <f t="shared" si="2"/>
        <v/>
      </c>
      <c r="D164" s="4" t="str">
        <f>IF('WL &amp; Q'!N164="","",'WL &amp; Q'!N164)</f>
        <v/>
      </c>
      <c r="E164" s="8">
        <v>3</v>
      </c>
      <c r="F164" s="8">
        <v>3.4</v>
      </c>
      <c r="G164" s="8">
        <v>5</v>
      </c>
    </row>
    <row r="165" spans="1:7" x14ac:dyDescent="0.3">
      <c r="A165" s="1">
        <f>'WL &amp; Q'!A165</f>
        <v>46238.708333332943</v>
      </c>
      <c r="B165" s="4" t="str">
        <f>IF('WL &amp; Q'!L165="","",'WL &amp; Q'!L165)</f>
        <v/>
      </c>
      <c r="C165" s="6" t="str">
        <f t="shared" si="2"/>
        <v/>
      </c>
      <c r="D165" s="4" t="str">
        <f>IF('WL &amp; Q'!N165="","",'WL &amp; Q'!N165)</f>
        <v/>
      </c>
      <c r="E165" s="8">
        <v>3</v>
      </c>
      <c r="F165" s="8">
        <v>3.4</v>
      </c>
      <c r="G165" s="8">
        <v>5</v>
      </c>
    </row>
    <row r="166" spans="1:7" x14ac:dyDescent="0.3">
      <c r="A166" s="1">
        <f>'WL &amp; Q'!A166</f>
        <v>46238.749999999607</v>
      </c>
      <c r="B166" s="4" t="str">
        <f>IF('WL &amp; Q'!L166="","",'WL &amp; Q'!L166)</f>
        <v/>
      </c>
      <c r="C166" s="6" t="str">
        <f t="shared" si="2"/>
        <v/>
      </c>
      <c r="D166" s="4" t="str">
        <f>IF('WL &amp; Q'!N166="","",'WL &amp; Q'!N166)</f>
        <v/>
      </c>
      <c r="E166" s="8">
        <v>3</v>
      </c>
      <c r="F166" s="8">
        <v>3.4</v>
      </c>
      <c r="G166" s="8">
        <v>5</v>
      </c>
    </row>
    <row r="167" spans="1:7" x14ac:dyDescent="0.3">
      <c r="A167" s="1">
        <f>'WL &amp; Q'!A167</f>
        <v>46238.791666666271</v>
      </c>
      <c r="B167" s="4" t="str">
        <f>IF('WL &amp; Q'!L167="","",'WL &amp; Q'!L167)</f>
        <v/>
      </c>
      <c r="C167" s="6" t="str">
        <f t="shared" si="2"/>
        <v/>
      </c>
      <c r="D167" s="4" t="str">
        <f>IF('WL &amp; Q'!N167="","",'WL &amp; Q'!N167)</f>
        <v/>
      </c>
      <c r="E167" s="8">
        <v>3</v>
      </c>
      <c r="F167" s="8">
        <v>3.4</v>
      </c>
      <c r="G167" s="8">
        <v>5</v>
      </c>
    </row>
    <row r="168" spans="1:7" x14ac:dyDescent="0.3">
      <c r="A168" s="1">
        <f>'WL &amp; Q'!A168</f>
        <v>46238.833333332936</v>
      </c>
      <c r="B168" s="4" t="str">
        <f>IF('WL &amp; Q'!L168="","",'WL &amp; Q'!L168)</f>
        <v/>
      </c>
      <c r="C168" s="6" t="str">
        <f t="shared" si="2"/>
        <v/>
      </c>
      <c r="D168" s="4" t="str">
        <f>IF('WL &amp; Q'!N168="","",'WL &amp; Q'!N168)</f>
        <v/>
      </c>
      <c r="E168" s="8">
        <v>3</v>
      </c>
      <c r="F168" s="8">
        <v>3.4</v>
      </c>
      <c r="G168" s="8">
        <v>5</v>
      </c>
    </row>
    <row r="169" spans="1:7" x14ac:dyDescent="0.3">
      <c r="A169" s="1">
        <f>'WL &amp; Q'!A169</f>
        <v>46238.8749999996</v>
      </c>
      <c r="B169" s="4" t="str">
        <f>IF('WL &amp; Q'!L169="","",'WL &amp; Q'!L169)</f>
        <v/>
      </c>
      <c r="C169" s="6" t="str">
        <f t="shared" si="2"/>
        <v/>
      </c>
      <c r="D169" s="4" t="str">
        <f>IF('WL &amp; Q'!N169="","",'WL &amp; Q'!N169)</f>
        <v/>
      </c>
      <c r="E169" s="8">
        <v>3</v>
      </c>
      <c r="F169" s="8">
        <v>3.4</v>
      </c>
      <c r="G169" s="8">
        <v>5</v>
      </c>
    </row>
    <row r="170" spans="1:7" x14ac:dyDescent="0.3">
      <c r="A170" s="1">
        <f>'WL &amp; Q'!A170</f>
        <v>46238.916666666264</v>
      </c>
      <c r="B170" s="4" t="str">
        <f>IF('WL &amp; Q'!L170="","",'WL &amp; Q'!L170)</f>
        <v/>
      </c>
      <c r="C170" s="6" t="str">
        <f t="shared" si="2"/>
        <v/>
      </c>
      <c r="D170" s="4" t="str">
        <f>IF('WL &amp; Q'!N170="","",'WL &amp; Q'!N170)</f>
        <v/>
      </c>
      <c r="E170" s="8">
        <v>3</v>
      </c>
      <c r="F170" s="8">
        <v>3.4</v>
      </c>
      <c r="G170" s="8">
        <v>5</v>
      </c>
    </row>
    <row r="171" spans="1:7" x14ac:dyDescent="0.3">
      <c r="A171" s="1">
        <f>'WL &amp; Q'!A171</f>
        <v>46238.958333332928</v>
      </c>
      <c r="B171" s="4" t="str">
        <f>IF('WL &amp; Q'!L171="","",'WL &amp; Q'!L171)</f>
        <v/>
      </c>
      <c r="C171" s="6" t="str">
        <f t="shared" si="2"/>
        <v/>
      </c>
      <c r="D171" s="4" t="str">
        <f>IF('WL &amp; Q'!N171="","",'WL &amp; Q'!N171)</f>
        <v/>
      </c>
      <c r="E171" s="8">
        <v>3</v>
      </c>
      <c r="F171" s="8">
        <v>3.4</v>
      </c>
      <c r="G171" s="8">
        <v>5</v>
      </c>
    </row>
    <row r="172" spans="1:7" x14ac:dyDescent="0.3">
      <c r="A172" s="1">
        <f>'WL &amp; Q'!A172</f>
        <v>46238.999999999593</v>
      </c>
      <c r="B172" s="4" t="str">
        <f>IF('WL &amp; Q'!L172="","",'WL &amp; Q'!L172)</f>
        <v/>
      </c>
      <c r="C172" s="6" t="str">
        <f t="shared" si="2"/>
        <v/>
      </c>
      <c r="D172" s="4" t="str">
        <f>IF('WL &amp; Q'!N172="","",'WL &amp; Q'!N172)</f>
        <v/>
      </c>
      <c r="E172" s="8">
        <v>3</v>
      </c>
      <c r="F172" s="8">
        <v>3.4</v>
      </c>
      <c r="G172" s="8">
        <v>5</v>
      </c>
    </row>
    <row r="173" spans="1:7" x14ac:dyDescent="0.3">
      <c r="A173" s="1">
        <f>'WL &amp; Q'!A173</f>
        <v>46239.041666666257</v>
      </c>
      <c r="B173" s="4" t="str">
        <f>IF('WL &amp; Q'!L173="","",'WL &amp; Q'!L173)</f>
        <v/>
      </c>
      <c r="C173" s="6" t="str">
        <f t="shared" si="2"/>
        <v/>
      </c>
      <c r="D173" s="4" t="str">
        <f>IF('WL &amp; Q'!N173="","",'WL &amp; Q'!N173)</f>
        <v/>
      </c>
      <c r="E173" s="8">
        <v>3</v>
      </c>
      <c r="F173" s="8">
        <v>3.4</v>
      </c>
      <c r="G173" s="8">
        <v>5</v>
      </c>
    </row>
    <row r="174" spans="1:7" x14ac:dyDescent="0.3">
      <c r="A174" s="1">
        <f>'WL &amp; Q'!A174</f>
        <v>46239.083333332921</v>
      </c>
      <c r="B174" s="4" t="str">
        <f>IF('WL &amp; Q'!L174="","",'WL &amp; Q'!L174)</f>
        <v/>
      </c>
      <c r="C174" s="6" t="str">
        <f t="shared" si="2"/>
        <v/>
      </c>
      <c r="D174" s="4" t="str">
        <f>IF('WL &amp; Q'!N174="","",'WL &amp; Q'!N174)</f>
        <v/>
      </c>
      <c r="E174" s="8">
        <v>3</v>
      </c>
      <c r="F174" s="8">
        <v>3.4</v>
      </c>
      <c r="G174" s="8">
        <v>5</v>
      </c>
    </row>
    <row r="175" spans="1:7" x14ac:dyDescent="0.3">
      <c r="A175" s="1">
        <f>'WL &amp; Q'!A175</f>
        <v>46239.124999999585</v>
      </c>
      <c r="B175" s="4" t="str">
        <f>IF('WL &amp; Q'!L175="","",'WL &amp; Q'!L175)</f>
        <v/>
      </c>
      <c r="C175" s="6" t="str">
        <f t="shared" si="2"/>
        <v/>
      </c>
      <c r="D175" s="4" t="str">
        <f>IF('WL &amp; Q'!N175="","",'WL &amp; Q'!N175)</f>
        <v/>
      </c>
      <c r="E175" s="8">
        <v>3</v>
      </c>
      <c r="F175" s="8">
        <v>3.4</v>
      </c>
      <c r="G175" s="8">
        <v>5</v>
      </c>
    </row>
    <row r="176" spans="1:7" x14ac:dyDescent="0.3">
      <c r="A176" s="1">
        <f>'WL &amp; Q'!A176</f>
        <v>46239.16666666625</v>
      </c>
      <c r="B176" s="4" t="str">
        <f>IF('WL &amp; Q'!L176="","",'WL &amp; Q'!L176)</f>
        <v/>
      </c>
      <c r="C176" s="6" t="str">
        <f t="shared" si="2"/>
        <v/>
      </c>
      <c r="D176" s="4" t="str">
        <f>IF('WL &amp; Q'!N176="","",'WL &amp; Q'!N176)</f>
        <v/>
      </c>
      <c r="E176" s="8">
        <v>3</v>
      </c>
      <c r="F176" s="8">
        <v>3.4</v>
      </c>
      <c r="G176" s="8">
        <v>5</v>
      </c>
    </row>
    <row r="177" spans="1:7" x14ac:dyDescent="0.3">
      <c r="A177" s="1">
        <f>'WL &amp; Q'!A177</f>
        <v>46239.208333332914</v>
      </c>
      <c r="B177" s="4" t="str">
        <f>IF('WL &amp; Q'!L177="","",'WL &amp; Q'!L177)</f>
        <v/>
      </c>
      <c r="C177" s="6" t="str">
        <f t="shared" si="2"/>
        <v/>
      </c>
      <c r="D177" s="4" t="str">
        <f>IF('WL &amp; Q'!N177="","",'WL &amp; Q'!N177)</f>
        <v/>
      </c>
      <c r="E177" s="8">
        <v>3</v>
      </c>
      <c r="F177" s="8">
        <v>3.4</v>
      </c>
      <c r="G177" s="8">
        <v>5</v>
      </c>
    </row>
    <row r="178" spans="1:7" x14ac:dyDescent="0.3">
      <c r="A178" s="1">
        <f>'WL &amp; Q'!A178</f>
        <v>46239.249999999578</v>
      </c>
      <c r="B178" s="4" t="str">
        <f>IF('WL &amp; Q'!L178="","",'WL &amp; Q'!L178)</f>
        <v/>
      </c>
      <c r="C178" s="6" t="str">
        <f t="shared" si="2"/>
        <v/>
      </c>
      <c r="D178" s="4" t="str">
        <f>IF('WL &amp; Q'!N178="","",'WL &amp; Q'!N178)</f>
        <v/>
      </c>
      <c r="E178" s="8">
        <v>3</v>
      </c>
      <c r="F178" s="8">
        <v>3.4</v>
      </c>
      <c r="G178" s="8">
        <v>5</v>
      </c>
    </row>
    <row r="179" spans="1:7" x14ac:dyDescent="0.3">
      <c r="A179" s="1">
        <f>'WL &amp; Q'!A179</f>
        <v>46239.291666666242</v>
      </c>
      <c r="B179" s="4" t="str">
        <f>IF('WL &amp; Q'!L179="","",'WL &amp; Q'!L179)</f>
        <v/>
      </c>
      <c r="C179" s="6" t="str">
        <f t="shared" si="2"/>
        <v/>
      </c>
      <c r="D179" s="4" t="str">
        <f>IF('WL &amp; Q'!N179="","",'WL &amp; Q'!N179)</f>
        <v/>
      </c>
      <c r="E179" s="8">
        <v>3</v>
      </c>
      <c r="F179" s="8">
        <v>3.4</v>
      </c>
      <c r="G179" s="8">
        <v>5</v>
      </c>
    </row>
    <row r="180" spans="1:7" x14ac:dyDescent="0.3">
      <c r="A180" s="1">
        <f>'WL &amp; Q'!A180</f>
        <v>46239.333333332906</v>
      </c>
      <c r="B180" s="4" t="str">
        <f>IF('WL &amp; Q'!L180="","",'WL &amp; Q'!L180)</f>
        <v/>
      </c>
      <c r="C180" s="6" t="str">
        <f t="shared" si="2"/>
        <v/>
      </c>
      <c r="D180" s="4" t="str">
        <f>IF('WL &amp; Q'!N180="","",'WL &amp; Q'!N180)</f>
        <v/>
      </c>
      <c r="E180" s="8">
        <v>3</v>
      </c>
      <c r="F180" s="8">
        <v>3.4</v>
      </c>
      <c r="G180" s="8">
        <v>5</v>
      </c>
    </row>
    <row r="181" spans="1:7" x14ac:dyDescent="0.3">
      <c r="A181" s="1">
        <f>'WL &amp; Q'!A181</f>
        <v>46239.374999999571</v>
      </c>
      <c r="B181" s="4" t="str">
        <f>IF('WL &amp; Q'!L181="","",'WL &amp; Q'!L181)</f>
        <v/>
      </c>
      <c r="C181" s="6" t="str">
        <f t="shared" si="2"/>
        <v/>
      </c>
      <c r="D181" s="4" t="str">
        <f>IF('WL &amp; Q'!N181="","",'WL &amp; Q'!N181)</f>
        <v/>
      </c>
      <c r="E181" s="8">
        <v>3</v>
      </c>
      <c r="F181" s="8">
        <v>3.4</v>
      </c>
      <c r="G181" s="8">
        <v>5</v>
      </c>
    </row>
    <row r="182" spans="1:7" x14ac:dyDescent="0.3">
      <c r="A182" s="1">
        <f>'WL &amp; Q'!A182</f>
        <v>46239.416666666235</v>
      </c>
      <c r="B182" s="4" t="str">
        <f>IF('WL &amp; Q'!L182="","",'WL &amp; Q'!L182)</f>
        <v/>
      </c>
      <c r="C182" s="6" t="str">
        <f t="shared" si="2"/>
        <v/>
      </c>
      <c r="D182" s="4" t="str">
        <f>IF('WL &amp; Q'!N182="","",'WL &amp; Q'!N182)</f>
        <v/>
      </c>
      <c r="E182" s="8">
        <v>3</v>
      </c>
      <c r="F182" s="8">
        <v>3.4</v>
      </c>
      <c r="G182" s="8">
        <v>5</v>
      </c>
    </row>
    <row r="183" spans="1:7" x14ac:dyDescent="0.3">
      <c r="A183" s="1">
        <f>'WL &amp; Q'!A183</f>
        <v>46239.458333332899</v>
      </c>
      <c r="B183" s="4" t="str">
        <f>IF('WL &amp; Q'!L183="","",'WL &amp; Q'!L183)</f>
        <v/>
      </c>
      <c r="C183" s="6" t="str">
        <f t="shared" si="2"/>
        <v/>
      </c>
      <c r="D183" s="4" t="str">
        <f>IF('WL &amp; Q'!N183="","",'WL &amp; Q'!N183)</f>
        <v/>
      </c>
      <c r="E183" s="8">
        <v>3</v>
      </c>
      <c r="F183" s="8">
        <v>3.4</v>
      </c>
      <c r="G183" s="8">
        <v>5</v>
      </c>
    </row>
    <row r="184" spans="1:7" x14ac:dyDescent="0.3">
      <c r="A184" s="1">
        <f>'WL &amp; Q'!A184</f>
        <v>46239.499999999563</v>
      </c>
      <c r="B184" s="4" t="str">
        <f>IF('WL &amp; Q'!L184="","",'WL &amp; Q'!L184)</f>
        <v/>
      </c>
      <c r="C184" s="6" t="str">
        <f t="shared" si="2"/>
        <v/>
      </c>
      <c r="D184" s="4" t="str">
        <f>IF('WL &amp; Q'!N184="","",'WL &amp; Q'!N184)</f>
        <v/>
      </c>
      <c r="E184" s="8">
        <v>3</v>
      </c>
      <c r="F184" s="8">
        <v>3.4</v>
      </c>
      <c r="G184" s="8">
        <v>5</v>
      </c>
    </row>
    <row r="185" spans="1:7" x14ac:dyDescent="0.3">
      <c r="A185" s="1">
        <f>'WL &amp; Q'!A185</f>
        <v>46239.541666666228</v>
      </c>
      <c r="B185" s="4" t="str">
        <f>IF('WL &amp; Q'!L185="","",'WL &amp; Q'!L185)</f>
        <v/>
      </c>
      <c r="C185" s="6" t="str">
        <f t="shared" si="2"/>
        <v/>
      </c>
      <c r="D185" s="4" t="str">
        <f>IF('WL &amp; Q'!N185="","",'WL &amp; Q'!N185)</f>
        <v/>
      </c>
      <c r="E185" s="8">
        <v>3</v>
      </c>
      <c r="F185" s="8">
        <v>3.4</v>
      </c>
      <c r="G185" s="8">
        <v>5</v>
      </c>
    </row>
    <row r="186" spans="1:7" x14ac:dyDescent="0.3">
      <c r="A186" s="1">
        <f>'WL &amp; Q'!A186</f>
        <v>46239.583333332892</v>
      </c>
      <c r="B186" s="4" t="str">
        <f>IF('WL &amp; Q'!L186="","",'WL &amp; Q'!L186)</f>
        <v/>
      </c>
      <c r="C186" s="6" t="str">
        <f t="shared" si="2"/>
        <v/>
      </c>
      <c r="D186" s="4" t="str">
        <f>IF('WL &amp; Q'!N186="","",'WL &amp; Q'!N186)</f>
        <v/>
      </c>
      <c r="E186" s="8">
        <v>3</v>
      </c>
      <c r="F186" s="8">
        <v>3.4</v>
      </c>
      <c r="G186" s="8">
        <v>5</v>
      </c>
    </row>
    <row r="187" spans="1:7" x14ac:dyDescent="0.3">
      <c r="A187" s="1">
        <f>'WL &amp; Q'!A187</f>
        <v>46239.624999999556</v>
      </c>
      <c r="B187" s="4" t="str">
        <f>IF('WL &amp; Q'!L187="","",'WL &amp; Q'!L187)</f>
        <v/>
      </c>
      <c r="C187" s="6" t="str">
        <f t="shared" si="2"/>
        <v/>
      </c>
      <c r="D187" s="4" t="str">
        <f>IF('WL &amp; Q'!N187="","",'WL &amp; Q'!N187)</f>
        <v/>
      </c>
      <c r="E187" s="8">
        <v>3</v>
      </c>
      <c r="F187" s="8">
        <v>3.4</v>
      </c>
      <c r="G187" s="8">
        <v>5</v>
      </c>
    </row>
    <row r="188" spans="1:7" x14ac:dyDescent="0.3">
      <c r="A188" s="1">
        <f>'WL &amp; Q'!A188</f>
        <v>46239.66666666622</v>
      </c>
      <c r="B188" s="4" t="str">
        <f>IF('WL &amp; Q'!L188="","",'WL &amp; Q'!L188)</f>
        <v/>
      </c>
      <c r="C188" s="6" t="str">
        <f t="shared" si="2"/>
        <v/>
      </c>
      <c r="D188" s="4" t="str">
        <f>IF('WL &amp; Q'!N188="","",'WL &amp; Q'!N188)</f>
        <v/>
      </c>
      <c r="E188" s="8">
        <v>3</v>
      </c>
      <c r="F188" s="8">
        <v>3.4</v>
      </c>
      <c r="G188" s="8">
        <v>5</v>
      </c>
    </row>
    <row r="189" spans="1:7" x14ac:dyDescent="0.3">
      <c r="A189" s="1">
        <f>'WL &amp; Q'!A189</f>
        <v>46239.708333332885</v>
      </c>
      <c r="B189" s="4" t="str">
        <f>IF('WL &amp; Q'!L189="","",'WL &amp; Q'!L189)</f>
        <v/>
      </c>
      <c r="C189" s="6" t="str">
        <f t="shared" si="2"/>
        <v/>
      </c>
      <c r="D189" s="4" t="str">
        <f>IF('WL &amp; Q'!N189="","",'WL &amp; Q'!N189)</f>
        <v/>
      </c>
      <c r="E189" s="8">
        <v>3</v>
      </c>
      <c r="F189" s="8">
        <v>3.4</v>
      </c>
      <c r="G189" s="8">
        <v>5</v>
      </c>
    </row>
    <row r="190" spans="1:7" x14ac:dyDescent="0.3">
      <c r="A190" s="1">
        <f>'WL &amp; Q'!A190</f>
        <v>46239.749999999549</v>
      </c>
      <c r="B190" s="4" t="str">
        <f>IF('WL &amp; Q'!L190="","",'WL &amp; Q'!L190)</f>
        <v/>
      </c>
      <c r="C190" s="6" t="str">
        <f t="shared" si="2"/>
        <v/>
      </c>
      <c r="D190" s="4" t="str">
        <f>IF('WL &amp; Q'!N190="","",'WL &amp; Q'!N190)</f>
        <v/>
      </c>
      <c r="E190" s="8">
        <v>3</v>
      </c>
      <c r="F190" s="8">
        <v>3.4</v>
      </c>
      <c r="G190" s="8">
        <v>5</v>
      </c>
    </row>
    <row r="191" spans="1:7" x14ac:dyDescent="0.3">
      <c r="A191" s="1">
        <f>'WL &amp; Q'!A191</f>
        <v>46239.791666666213</v>
      </c>
      <c r="B191" s="4" t="str">
        <f>IF('WL &amp; Q'!L191="","",'WL &amp; Q'!L191)</f>
        <v/>
      </c>
      <c r="C191" s="6" t="str">
        <f t="shared" si="2"/>
        <v/>
      </c>
      <c r="D191" s="4" t="str">
        <f>IF('WL &amp; Q'!N191="","",'WL &amp; Q'!N191)</f>
        <v/>
      </c>
      <c r="E191" s="8">
        <v>3</v>
      </c>
      <c r="F191" s="8">
        <v>3.4</v>
      </c>
      <c r="G191" s="8">
        <v>5</v>
      </c>
    </row>
    <row r="192" spans="1:7" x14ac:dyDescent="0.3">
      <c r="A192" s="1">
        <f>'WL &amp; Q'!A192</f>
        <v>46239.833333332877</v>
      </c>
      <c r="B192" s="4" t="str">
        <f>IF('WL &amp; Q'!L192="","",'WL &amp; Q'!L192)</f>
        <v/>
      </c>
      <c r="C192" s="6" t="str">
        <f t="shared" si="2"/>
        <v/>
      </c>
      <c r="D192" s="4" t="str">
        <f>IF('WL &amp; Q'!N192="","",'WL &amp; Q'!N192)</f>
        <v/>
      </c>
      <c r="E192" s="8">
        <v>3</v>
      </c>
      <c r="F192" s="8">
        <v>3.4</v>
      </c>
      <c r="G192" s="8">
        <v>5</v>
      </c>
    </row>
    <row r="193" spans="1:7" x14ac:dyDescent="0.3">
      <c r="A193" s="1">
        <f>'WL &amp; Q'!A193</f>
        <v>46239.874999999542</v>
      </c>
      <c r="B193" s="4" t="str">
        <f>IF('WL &amp; Q'!L193="","",'WL &amp; Q'!L193)</f>
        <v/>
      </c>
      <c r="C193" s="6" t="str">
        <f t="shared" si="2"/>
        <v/>
      </c>
      <c r="D193" s="4" t="str">
        <f>IF('WL &amp; Q'!N193="","",'WL &amp; Q'!N193)</f>
        <v/>
      </c>
      <c r="E193" s="8">
        <v>3</v>
      </c>
      <c r="F193" s="8">
        <v>3.4</v>
      </c>
      <c r="G193" s="8">
        <v>5</v>
      </c>
    </row>
    <row r="194" spans="1:7" x14ac:dyDescent="0.3">
      <c r="A194" s="1">
        <f>'WL &amp; Q'!A194</f>
        <v>46239.916666666206</v>
      </c>
      <c r="B194" s="4" t="str">
        <f>IF('WL &amp; Q'!L194="","",'WL &amp; Q'!L194)</f>
        <v/>
      </c>
      <c r="C194" s="6" t="str">
        <f t="shared" si="2"/>
        <v/>
      </c>
      <c r="D194" s="4" t="str">
        <f>IF('WL &amp; Q'!N194="","",'WL &amp; Q'!N194)</f>
        <v/>
      </c>
      <c r="E194" s="8">
        <v>3</v>
      </c>
      <c r="F194" s="8">
        <v>3.4</v>
      </c>
      <c r="G194" s="8">
        <v>5</v>
      </c>
    </row>
    <row r="195" spans="1:7" x14ac:dyDescent="0.3">
      <c r="A195" s="1">
        <f>'WL &amp; Q'!A195</f>
        <v>46239.95833333287</v>
      </c>
      <c r="B195" s="4" t="str">
        <f>IF('WL &amp; Q'!L195="","",'WL &amp; Q'!L195)</f>
        <v/>
      </c>
      <c r="C195" s="6" t="str">
        <f t="shared" si="2"/>
        <v/>
      </c>
      <c r="D195" s="4" t="str">
        <f>IF('WL &amp; Q'!N195="","",'WL &amp; Q'!N195)</f>
        <v/>
      </c>
      <c r="E195" s="8">
        <v>3</v>
      </c>
      <c r="F195" s="8">
        <v>3.4</v>
      </c>
      <c r="G195" s="8">
        <v>5</v>
      </c>
    </row>
    <row r="196" spans="1:7" x14ac:dyDescent="0.3">
      <c r="A196" s="1">
        <f>'WL &amp; Q'!A196</f>
        <v>46239.999999999534</v>
      </c>
      <c r="B196" s="4" t="str">
        <f>IF('WL &amp; Q'!L196="","",'WL &amp; Q'!L196)</f>
        <v/>
      </c>
      <c r="C196" s="6" t="str">
        <f t="shared" si="2"/>
        <v/>
      </c>
      <c r="D196" s="4" t="str">
        <f>IF('WL &amp; Q'!N196="","",'WL &amp; Q'!N196)</f>
        <v/>
      </c>
      <c r="E196" s="8">
        <v>3</v>
      </c>
      <c r="F196" s="8">
        <v>3.4</v>
      </c>
      <c r="G196" s="8">
        <v>5</v>
      </c>
    </row>
    <row r="197" spans="1:7" x14ac:dyDescent="0.3">
      <c r="A197" s="1">
        <f>'WL &amp; Q'!A197</f>
        <v>46240.041666666199</v>
      </c>
      <c r="B197" s="4" t="str">
        <f>IF('WL &amp; Q'!L197="","",'WL &amp; Q'!L197)</f>
        <v/>
      </c>
      <c r="C197" s="6" t="str">
        <f t="shared" si="2"/>
        <v/>
      </c>
      <c r="D197" s="4" t="str">
        <f>IF('WL &amp; Q'!N197="","",'WL &amp; Q'!N197)</f>
        <v/>
      </c>
      <c r="E197" s="8">
        <v>3</v>
      </c>
      <c r="F197" s="8">
        <v>3.4</v>
      </c>
      <c r="G197" s="8">
        <v>5</v>
      </c>
    </row>
    <row r="198" spans="1:7" x14ac:dyDescent="0.3">
      <c r="A198" s="1">
        <f>'WL &amp; Q'!A198</f>
        <v>46240.083333332863</v>
      </c>
      <c r="B198" s="4" t="str">
        <f>IF('WL &amp; Q'!L198="","",'WL &amp; Q'!L198)</f>
        <v/>
      </c>
      <c r="C198" s="6" t="str">
        <f t="shared" ref="C198:C261" si="3">IF(B198="","",IF((B198)&gt;2,8.9271*((B198)^2)+9.2434*(B198)-1.6791,14.51*(((B198)-0.1)^1.846)))</f>
        <v/>
      </c>
      <c r="D198" s="4" t="str">
        <f>IF('WL &amp; Q'!N198="","",'WL &amp; Q'!N198)</f>
        <v/>
      </c>
      <c r="E198" s="8">
        <v>3</v>
      </c>
      <c r="F198" s="8">
        <v>3.4</v>
      </c>
      <c r="G198" s="8">
        <v>5</v>
      </c>
    </row>
    <row r="199" spans="1:7" x14ac:dyDescent="0.3">
      <c r="A199" s="1">
        <f>'WL &amp; Q'!A199</f>
        <v>46240.124999999527</v>
      </c>
      <c r="B199" s="4" t="str">
        <f>IF('WL &amp; Q'!L199="","",'WL &amp; Q'!L199)</f>
        <v/>
      </c>
      <c r="C199" s="6" t="str">
        <f t="shared" si="3"/>
        <v/>
      </c>
      <c r="D199" s="4" t="str">
        <f>IF('WL &amp; Q'!N199="","",'WL &amp; Q'!N199)</f>
        <v/>
      </c>
      <c r="E199" s="8">
        <v>3</v>
      </c>
      <c r="F199" s="8">
        <v>3.4</v>
      </c>
      <c r="G199" s="8">
        <v>5</v>
      </c>
    </row>
    <row r="200" spans="1:7" x14ac:dyDescent="0.3">
      <c r="A200" s="1">
        <f>'WL &amp; Q'!A200</f>
        <v>46240.166666666191</v>
      </c>
      <c r="B200" s="4" t="str">
        <f>IF('WL &amp; Q'!L200="","",'WL &amp; Q'!L200)</f>
        <v/>
      </c>
      <c r="C200" s="6" t="str">
        <f t="shared" si="3"/>
        <v/>
      </c>
      <c r="D200" s="4" t="str">
        <f>IF('WL &amp; Q'!N200="","",'WL &amp; Q'!N200)</f>
        <v/>
      </c>
      <c r="E200" s="8">
        <v>3</v>
      </c>
      <c r="F200" s="8">
        <v>3.4</v>
      </c>
      <c r="G200" s="8">
        <v>5</v>
      </c>
    </row>
    <row r="201" spans="1:7" x14ac:dyDescent="0.3">
      <c r="A201" s="1">
        <f>'WL &amp; Q'!A201</f>
        <v>46240.208333332856</v>
      </c>
      <c r="B201" s="4" t="str">
        <f>IF('WL &amp; Q'!L201="","",'WL &amp; Q'!L201)</f>
        <v/>
      </c>
      <c r="C201" s="6" t="str">
        <f t="shared" si="3"/>
        <v/>
      </c>
      <c r="D201" s="4" t="str">
        <f>IF('WL &amp; Q'!N201="","",'WL &amp; Q'!N201)</f>
        <v/>
      </c>
      <c r="E201" s="8">
        <v>3</v>
      </c>
      <c r="F201" s="8">
        <v>3.4</v>
      </c>
      <c r="G201" s="8">
        <v>5</v>
      </c>
    </row>
    <row r="202" spans="1:7" x14ac:dyDescent="0.3">
      <c r="A202" s="1">
        <f>'WL &amp; Q'!A202</f>
        <v>46240.24999999952</v>
      </c>
      <c r="B202" s="4" t="str">
        <f>IF('WL &amp; Q'!L202="","",'WL &amp; Q'!L202)</f>
        <v/>
      </c>
      <c r="C202" s="6" t="str">
        <f t="shared" si="3"/>
        <v/>
      </c>
      <c r="D202" s="4" t="str">
        <f>IF('WL &amp; Q'!N202="","",'WL &amp; Q'!N202)</f>
        <v/>
      </c>
      <c r="E202" s="8">
        <v>3</v>
      </c>
      <c r="F202" s="8">
        <v>3.4</v>
      </c>
      <c r="G202" s="8">
        <v>5</v>
      </c>
    </row>
    <row r="203" spans="1:7" x14ac:dyDescent="0.3">
      <c r="A203" s="1">
        <f>'WL &amp; Q'!A203</f>
        <v>46240.291666666184</v>
      </c>
      <c r="B203" s="4" t="str">
        <f>IF('WL &amp; Q'!L203="","",'WL &amp; Q'!L203)</f>
        <v/>
      </c>
      <c r="C203" s="6" t="str">
        <f t="shared" si="3"/>
        <v/>
      </c>
      <c r="D203" s="4" t="str">
        <f>IF('WL &amp; Q'!N203="","",'WL &amp; Q'!N203)</f>
        <v/>
      </c>
      <c r="E203" s="8">
        <v>3</v>
      </c>
      <c r="F203" s="8">
        <v>3.4</v>
      </c>
      <c r="G203" s="8">
        <v>5</v>
      </c>
    </row>
    <row r="204" spans="1:7" x14ac:dyDescent="0.3">
      <c r="A204" s="1">
        <f>'WL &amp; Q'!A204</f>
        <v>46240.333333332848</v>
      </c>
      <c r="B204" s="4" t="str">
        <f>IF('WL &amp; Q'!L204="","",'WL &amp; Q'!L204)</f>
        <v/>
      </c>
      <c r="C204" s="6" t="str">
        <f t="shared" si="3"/>
        <v/>
      </c>
      <c r="D204" s="4" t="str">
        <f>IF('WL &amp; Q'!N204="","",'WL &amp; Q'!N204)</f>
        <v/>
      </c>
      <c r="E204" s="8">
        <v>3</v>
      </c>
      <c r="F204" s="8">
        <v>3.4</v>
      </c>
      <c r="G204" s="8">
        <v>5</v>
      </c>
    </row>
    <row r="205" spans="1:7" x14ac:dyDescent="0.3">
      <c r="A205" s="1">
        <f>'WL &amp; Q'!A205</f>
        <v>46240.374999999513</v>
      </c>
      <c r="B205" s="4" t="str">
        <f>IF('WL &amp; Q'!L205="","",'WL &amp; Q'!L205)</f>
        <v/>
      </c>
      <c r="C205" s="6" t="str">
        <f t="shared" si="3"/>
        <v/>
      </c>
      <c r="D205" s="4" t="str">
        <f>IF('WL &amp; Q'!N205="","",'WL &amp; Q'!N205)</f>
        <v/>
      </c>
      <c r="E205" s="8">
        <v>3</v>
      </c>
      <c r="F205" s="8">
        <v>3.4</v>
      </c>
      <c r="G205" s="8">
        <v>5</v>
      </c>
    </row>
    <row r="206" spans="1:7" x14ac:dyDescent="0.3">
      <c r="A206" s="1">
        <f>'WL &amp; Q'!A206</f>
        <v>46240.416666666177</v>
      </c>
      <c r="B206" s="4" t="str">
        <f>IF('WL &amp; Q'!L206="","",'WL &amp; Q'!L206)</f>
        <v/>
      </c>
      <c r="C206" s="6" t="str">
        <f t="shared" si="3"/>
        <v/>
      </c>
      <c r="D206" s="4" t="str">
        <f>IF('WL &amp; Q'!N206="","",'WL &amp; Q'!N206)</f>
        <v/>
      </c>
      <c r="E206" s="8">
        <v>3</v>
      </c>
      <c r="F206" s="8">
        <v>3.4</v>
      </c>
      <c r="G206" s="8">
        <v>5</v>
      </c>
    </row>
    <row r="207" spans="1:7" x14ac:dyDescent="0.3">
      <c r="A207" s="1">
        <f>'WL &amp; Q'!A207</f>
        <v>46240.458333332841</v>
      </c>
      <c r="B207" s="4" t="str">
        <f>IF('WL &amp; Q'!L207="","",'WL &amp; Q'!L207)</f>
        <v/>
      </c>
      <c r="C207" s="6" t="str">
        <f t="shared" si="3"/>
        <v/>
      </c>
      <c r="D207" s="4" t="str">
        <f>IF('WL &amp; Q'!N207="","",'WL &amp; Q'!N207)</f>
        <v/>
      </c>
      <c r="E207" s="8">
        <v>3</v>
      </c>
      <c r="F207" s="8">
        <v>3.4</v>
      </c>
      <c r="G207" s="8">
        <v>5</v>
      </c>
    </row>
    <row r="208" spans="1:7" x14ac:dyDescent="0.3">
      <c r="A208" s="1">
        <f>'WL &amp; Q'!A208</f>
        <v>46240.499999999505</v>
      </c>
      <c r="B208" s="4" t="str">
        <f>IF('WL &amp; Q'!L208="","",'WL &amp; Q'!L208)</f>
        <v/>
      </c>
      <c r="C208" s="6" t="str">
        <f t="shared" si="3"/>
        <v/>
      </c>
      <c r="D208" s="4" t="str">
        <f>IF('WL &amp; Q'!N208="","",'WL &amp; Q'!N208)</f>
        <v/>
      </c>
      <c r="E208" s="8">
        <v>3</v>
      </c>
      <c r="F208" s="8">
        <v>3.4</v>
      </c>
      <c r="G208" s="8">
        <v>5</v>
      </c>
    </row>
    <row r="209" spans="1:7" x14ac:dyDescent="0.3">
      <c r="A209" s="1">
        <f>'WL &amp; Q'!A209</f>
        <v>46240.541666666169</v>
      </c>
      <c r="B209" s="4" t="str">
        <f>IF('WL &amp; Q'!L209="","",'WL &amp; Q'!L209)</f>
        <v/>
      </c>
      <c r="C209" s="6" t="str">
        <f t="shared" si="3"/>
        <v/>
      </c>
      <c r="D209" s="4" t="str">
        <f>IF('WL &amp; Q'!N209="","",'WL &amp; Q'!N209)</f>
        <v/>
      </c>
      <c r="E209" s="8">
        <v>3</v>
      </c>
      <c r="F209" s="8">
        <v>3.4</v>
      </c>
      <c r="G209" s="8">
        <v>5</v>
      </c>
    </row>
    <row r="210" spans="1:7" x14ac:dyDescent="0.3">
      <c r="A210" s="1">
        <f>'WL &amp; Q'!A210</f>
        <v>46240.583333332834</v>
      </c>
      <c r="B210" s="4" t="str">
        <f>IF('WL &amp; Q'!L210="","",'WL &amp; Q'!L210)</f>
        <v/>
      </c>
      <c r="C210" s="6" t="str">
        <f t="shared" si="3"/>
        <v/>
      </c>
      <c r="D210" s="4" t="str">
        <f>IF('WL &amp; Q'!N210="","",'WL &amp; Q'!N210)</f>
        <v/>
      </c>
      <c r="E210" s="8">
        <v>3</v>
      </c>
      <c r="F210" s="8">
        <v>3.4</v>
      </c>
      <c r="G210" s="8">
        <v>5</v>
      </c>
    </row>
    <row r="211" spans="1:7" x14ac:dyDescent="0.3">
      <c r="A211" s="1">
        <f>'WL &amp; Q'!A211</f>
        <v>46240.624999999498</v>
      </c>
      <c r="B211" s="4" t="str">
        <f>IF('WL &amp; Q'!L211="","",'WL &amp; Q'!L211)</f>
        <v/>
      </c>
      <c r="C211" s="6" t="str">
        <f t="shared" si="3"/>
        <v/>
      </c>
      <c r="D211" s="4" t="str">
        <f>IF('WL &amp; Q'!N211="","",'WL &amp; Q'!N211)</f>
        <v/>
      </c>
      <c r="E211" s="8">
        <v>3</v>
      </c>
      <c r="F211" s="8">
        <v>3.4</v>
      </c>
      <c r="G211" s="8">
        <v>5</v>
      </c>
    </row>
    <row r="212" spans="1:7" x14ac:dyDescent="0.3">
      <c r="A212" s="1">
        <f>'WL &amp; Q'!A212</f>
        <v>46240.666666666162</v>
      </c>
      <c r="B212" s="4" t="str">
        <f>IF('WL &amp; Q'!L212="","",'WL &amp; Q'!L212)</f>
        <v/>
      </c>
      <c r="C212" s="6" t="str">
        <f t="shared" si="3"/>
        <v/>
      </c>
      <c r="D212" s="4" t="str">
        <f>IF('WL &amp; Q'!N212="","",'WL &amp; Q'!N212)</f>
        <v/>
      </c>
      <c r="E212" s="8">
        <v>3</v>
      </c>
      <c r="F212" s="8">
        <v>3.4</v>
      </c>
      <c r="G212" s="8">
        <v>5</v>
      </c>
    </row>
    <row r="213" spans="1:7" x14ac:dyDescent="0.3">
      <c r="A213" s="1">
        <f>'WL &amp; Q'!A213</f>
        <v>46240.708333332826</v>
      </c>
      <c r="B213" s="4" t="str">
        <f>IF('WL &amp; Q'!L213="","",'WL &amp; Q'!L213)</f>
        <v/>
      </c>
      <c r="C213" s="6" t="str">
        <f t="shared" si="3"/>
        <v/>
      </c>
      <c r="D213" s="4" t="str">
        <f>IF('WL &amp; Q'!N213="","",'WL &amp; Q'!N213)</f>
        <v/>
      </c>
      <c r="E213" s="8">
        <v>3</v>
      </c>
      <c r="F213" s="8">
        <v>3.4</v>
      </c>
      <c r="G213" s="8">
        <v>5</v>
      </c>
    </row>
    <row r="214" spans="1:7" x14ac:dyDescent="0.3">
      <c r="A214" s="1">
        <f>'WL &amp; Q'!A214</f>
        <v>46240.749999999491</v>
      </c>
      <c r="B214" s="4" t="str">
        <f>IF('WL &amp; Q'!L214="","",'WL &amp; Q'!L214)</f>
        <v/>
      </c>
      <c r="C214" s="6" t="str">
        <f t="shared" si="3"/>
        <v/>
      </c>
      <c r="D214" s="4" t="str">
        <f>IF('WL &amp; Q'!N214="","",'WL &amp; Q'!N214)</f>
        <v/>
      </c>
      <c r="E214" s="8">
        <v>3</v>
      </c>
      <c r="F214" s="8">
        <v>3.4</v>
      </c>
      <c r="G214" s="8">
        <v>5</v>
      </c>
    </row>
    <row r="215" spans="1:7" x14ac:dyDescent="0.3">
      <c r="A215" s="1">
        <f>'WL &amp; Q'!A215</f>
        <v>46240.791666666155</v>
      </c>
      <c r="B215" s="4" t="str">
        <f>IF('WL &amp; Q'!L215="","",'WL &amp; Q'!L215)</f>
        <v/>
      </c>
      <c r="C215" s="6" t="str">
        <f t="shared" si="3"/>
        <v/>
      </c>
      <c r="D215" s="4" t="str">
        <f>IF('WL &amp; Q'!N215="","",'WL &amp; Q'!N215)</f>
        <v/>
      </c>
      <c r="E215" s="8">
        <v>3</v>
      </c>
      <c r="F215" s="8">
        <v>3.4</v>
      </c>
      <c r="G215" s="8">
        <v>5</v>
      </c>
    </row>
    <row r="216" spans="1:7" x14ac:dyDescent="0.3">
      <c r="A216" s="1">
        <f>'WL &amp; Q'!A216</f>
        <v>46240.833333332819</v>
      </c>
      <c r="B216" s="4" t="str">
        <f>IF('WL &amp; Q'!L216="","",'WL &amp; Q'!L216)</f>
        <v/>
      </c>
      <c r="C216" s="6" t="str">
        <f t="shared" si="3"/>
        <v/>
      </c>
      <c r="D216" s="4" t="str">
        <f>IF('WL &amp; Q'!N216="","",'WL &amp; Q'!N216)</f>
        <v/>
      </c>
      <c r="E216" s="8">
        <v>3</v>
      </c>
      <c r="F216" s="8">
        <v>3.4</v>
      </c>
      <c r="G216" s="8">
        <v>5</v>
      </c>
    </row>
    <row r="217" spans="1:7" x14ac:dyDescent="0.3">
      <c r="A217" s="1">
        <f>'WL &amp; Q'!A217</f>
        <v>46240.874999999483</v>
      </c>
      <c r="B217" s="4" t="str">
        <f>IF('WL &amp; Q'!L217="","",'WL &amp; Q'!L217)</f>
        <v/>
      </c>
      <c r="C217" s="6" t="str">
        <f t="shared" si="3"/>
        <v/>
      </c>
      <c r="D217" s="4" t="str">
        <f>IF('WL &amp; Q'!N217="","",'WL &amp; Q'!N217)</f>
        <v/>
      </c>
      <c r="E217" s="8">
        <v>3</v>
      </c>
      <c r="F217" s="8">
        <v>3.4</v>
      </c>
      <c r="G217" s="8">
        <v>5</v>
      </c>
    </row>
    <row r="218" spans="1:7" x14ac:dyDescent="0.3">
      <c r="A218" s="1">
        <f>'WL &amp; Q'!A218</f>
        <v>46240.916666666148</v>
      </c>
      <c r="B218" s="4" t="str">
        <f>IF('WL &amp; Q'!L218="","",'WL &amp; Q'!L218)</f>
        <v/>
      </c>
      <c r="C218" s="6" t="str">
        <f t="shared" si="3"/>
        <v/>
      </c>
      <c r="D218" s="4" t="str">
        <f>IF('WL &amp; Q'!N218="","",'WL &amp; Q'!N218)</f>
        <v/>
      </c>
      <c r="E218" s="8">
        <v>3</v>
      </c>
      <c r="F218" s="8">
        <v>3.4</v>
      </c>
      <c r="G218" s="8">
        <v>5</v>
      </c>
    </row>
    <row r="219" spans="1:7" x14ac:dyDescent="0.3">
      <c r="A219" s="1">
        <f>'WL &amp; Q'!A219</f>
        <v>46240.958333332812</v>
      </c>
      <c r="B219" s="4" t="str">
        <f>IF('WL &amp; Q'!L219="","",'WL &amp; Q'!L219)</f>
        <v/>
      </c>
      <c r="C219" s="6" t="str">
        <f t="shared" si="3"/>
        <v/>
      </c>
      <c r="D219" s="4" t="str">
        <f>IF('WL &amp; Q'!N219="","",'WL &amp; Q'!N219)</f>
        <v/>
      </c>
      <c r="E219" s="8">
        <v>3</v>
      </c>
      <c r="F219" s="8">
        <v>3.4</v>
      </c>
      <c r="G219" s="8">
        <v>5</v>
      </c>
    </row>
    <row r="220" spans="1:7" x14ac:dyDescent="0.3">
      <c r="A220" s="1">
        <f>'WL &amp; Q'!A220</f>
        <v>46240.999999999476</v>
      </c>
      <c r="B220" s="4" t="str">
        <f>IF('WL &amp; Q'!L220="","",'WL &amp; Q'!L220)</f>
        <v/>
      </c>
      <c r="C220" s="6" t="str">
        <f t="shared" si="3"/>
        <v/>
      </c>
      <c r="D220" s="4" t="str">
        <f>IF('WL &amp; Q'!N220="","",'WL &amp; Q'!N220)</f>
        <v/>
      </c>
      <c r="E220" s="8">
        <v>3</v>
      </c>
      <c r="F220" s="8">
        <v>3.4</v>
      </c>
      <c r="G220" s="8">
        <v>5</v>
      </c>
    </row>
    <row r="221" spans="1:7" x14ac:dyDescent="0.3">
      <c r="A221" s="1">
        <f>'WL &amp; Q'!A221</f>
        <v>46241.04166666614</v>
      </c>
      <c r="B221" s="4" t="str">
        <f>IF('WL &amp; Q'!L221="","",'WL &amp; Q'!L221)</f>
        <v/>
      </c>
      <c r="C221" s="6" t="str">
        <f t="shared" si="3"/>
        <v/>
      </c>
      <c r="D221" s="4" t="str">
        <f>IF('WL &amp; Q'!N221="","",'WL &amp; Q'!N221)</f>
        <v/>
      </c>
      <c r="E221" s="8">
        <v>3</v>
      </c>
      <c r="F221" s="8">
        <v>3.4</v>
      </c>
      <c r="G221" s="8">
        <v>5</v>
      </c>
    </row>
    <row r="222" spans="1:7" x14ac:dyDescent="0.3">
      <c r="A222" s="1">
        <f>'WL &amp; Q'!A222</f>
        <v>46241.083333332805</v>
      </c>
      <c r="B222" s="4" t="str">
        <f>IF('WL &amp; Q'!L222="","",'WL &amp; Q'!L222)</f>
        <v/>
      </c>
      <c r="C222" s="6" t="str">
        <f t="shared" si="3"/>
        <v/>
      </c>
      <c r="D222" s="4" t="str">
        <f>IF('WL &amp; Q'!N222="","",'WL &amp; Q'!N222)</f>
        <v/>
      </c>
      <c r="E222" s="8">
        <v>3</v>
      </c>
      <c r="F222" s="8">
        <v>3.4</v>
      </c>
      <c r="G222" s="8">
        <v>5</v>
      </c>
    </row>
    <row r="223" spans="1:7" x14ac:dyDescent="0.3">
      <c r="A223" s="1">
        <f>'WL &amp; Q'!A223</f>
        <v>46241.124999999469</v>
      </c>
      <c r="B223" s="4" t="str">
        <f>IF('WL &amp; Q'!L223="","",'WL &amp; Q'!L223)</f>
        <v/>
      </c>
      <c r="C223" s="6" t="str">
        <f t="shared" si="3"/>
        <v/>
      </c>
      <c r="D223" s="4" t="str">
        <f>IF('WL &amp; Q'!N223="","",'WL &amp; Q'!N223)</f>
        <v/>
      </c>
      <c r="E223" s="8">
        <v>3</v>
      </c>
      <c r="F223" s="8">
        <v>3.4</v>
      </c>
      <c r="G223" s="8">
        <v>5</v>
      </c>
    </row>
    <row r="224" spans="1:7" x14ac:dyDescent="0.3">
      <c r="A224" s="1">
        <f>'WL &amp; Q'!A224</f>
        <v>46241.166666666133</v>
      </c>
      <c r="B224" s="4" t="str">
        <f>IF('WL &amp; Q'!L224="","",'WL &amp; Q'!L224)</f>
        <v/>
      </c>
      <c r="C224" s="6" t="str">
        <f t="shared" si="3"/>
        <v/>
      </c>
      <c r="D224" s="4" t="str">
        <f>IF('WL &amp; Q'!N224="","",'WL &amp; Q'!N224)</f>
        <v/>
      </c>
      <c r="E224" s="8">
        <v>3</v>
      </c>
      <c r="F224" s="8">
        <v>3.4</v>
      </c>
      <c r="G224" s="8">
        <v>5</v>
      </c>
    </row>
    <row r="225" spans="1:7" x14ac:dyDescent="0.3">
      <c r="A225" s="1">
        <f>'WL &amp; Q'!A225</f>
        <v>46241.208333332797</v>
      </c>
      <c r="B225" s="4" t="str">
        <f>IF('WL &amp; Q'!L225="","",'WL &amp; Q'!L225)</f>
        <v/>
      </c>
      <c r="C225" s="6" t="str">
        <f t="shared" si="3"/>
        <v/>
      </c>
      <c r="D225" s="4" t="str">
        <f>IF('WL &amp; Q'!N225="","",'WL &amp; Q'!N225)</f>
        <v/>
      </c>
      <c r="E225" s="8">
        <v>3</v>
      </c>
      <c r="F225" s="8">
        <v>3.4</v>
      </c>
      <c r="G225" s="8">
        <v>5</v>
      </c>
    </row>
    <row r="226" spans="1:7" x14ac:dyDescent="0.3">
      <c r="A226" s="1">
        <f>'WL &amp; Q'!A226</f>
        <v>46241.249999999462</v>
      </c>
      <c r="B226" s="4" t="str">
        <f>IF('WL &amp; Q'!L226="","",'WL &amp; Q'!L226)</f>
        <v/>
      </c>
      <c r="C226" s="6" t="str">
        <f t="shared" si="3"/>
        <v/>
      </c>
      <c r="D226" s="4" t="str">
        <f>IF('WL &amp; Q'!N226="","",'WL &amp; Q'!N226)</f>
        <v/>
      </c>
      <c r="E226" s="8">
        <v>3</v>
      </c>
      <c r="F226" s="8">
        <v>3.4</v>
      </c>
      <c r="G226" s="8">
        <v>5</v>
      </c>
    </row>
    <row r="227" spans="1:7" x14ac:dyDescent="0.3">
      <c r="A227" s="1">
        <f>'WL &amp; Q'!A227</f>
        <v>46241.291666666126</v>
      </c>
      <c r="B227" s="4" t="str">
        <f>IF('WL &amp; Q'!L227="","",'WL &amp; Q'!L227)</f>
        <v/>
      </c>
      <c r="C227" s="6" t="str">
        <f t="shared" si="3"/>
        <v/>
      </c>
      <c r="D227" s="4" t="str">
        <f>IF('WL &amp; Q'!N227="","",'WL &amp; Q'!N227)</f>
        <v/>
      </c>
      <c r="E227" s="8">
        <v>3</v>
      </c>
      <c r="F227" s="8">
        <v>3.4</v>
      </c>
      <c r="G227" s="8">
        <v>5</v>
      </c>
    </row>
    <row r="228" spans="1:7" x14ac:dyDescent="0.3">
      <c r="A228" s="1">
        <f>'WL &amp; Q'!A228</f>
        <v>46241.33333333279</v>
      </c>
      <c r="B228" s="4" t="str">
        <f>IF('WL &amp; Q'!L228="","",'WL &amp; Q'!L228)</f>
        <v/>
      </c>
      <c r="C228" s="6" t="str">
        <f t="shared" si="3"/>
        <v/>
      </c>
      <c r="D228" s="4" t="str">
        <f>IF('WL &amp; Q'!N228="","",'WL &amp; Q'!N228)</f>
        <v/>
      </c>
      <c r="E228" s="8">
        <v>3</v>
      </c>
      <c r="F228" s="8">
        <v>3.4</v>
      </c>
      <c r="G228" s="8">
        <v>5</v>
      </c>
    </row>
    <row r="229" spans="1:7" x14ac:dyDescent="0.3">
      <c r="A229" s="1">
        <f>'WL &amp; Q'!A229</f>
        <v>46241.374999999454</v>
      </c>
      <c r="B229" s="4" t="str">
        <f>IF('WL &amp; Q'!L229="","",'WL &amp; Q'!L229)</f>
        <v/>
      </c>
      <c r="C229" s="6" t="str">
        <f t="shared" si="3"/>
        <v/>
      </c>
      <c r="D229" s="4" t="str">
        <f>IF('WL &amp; Q'!N229="","",'WL &amp; Q'!N229)</f>
        <v/>
      </c>
      <c r="E229" s="8">
        <v>3</v>
      </c>
      <c r="F229" s="8">
        <v>3.4</v>
      </c>
      <c r="G229" s="8">
        <v>5</v>
      </c>
    </row>
    <row r="230" spans="1:7" x14ac:dyDescent="0.3">
      <c r="A230" s="1">
        <f>'WL &amp; Q'!A230</f>
        <v>46241.416666666119</v>
      </c>
      <c r="B230" s="4" t="str">
        <f>IF('WL &amp; Q'!L230="","",'WL &amp; Q'!L230)</f>
        <v/>
      </c>
      <c r="C230" s="6" t="str">
        <f t="shared" si="3"/>
        <v/>
      </c>
      <c r="D230" s="4" t="str">
        <f>IF('WL &amp; Q'!N230="","",'WL &amp; Q'!N230)</f>
        <v/>
      </c>
      <c r="E230" s="8">
        <v>3</v>
      </c>
      <c r="F230" s="8">
        <v>3.4</v>
      </c>
      <c r="G230" s="8">
        <v>5</v>
      </c>
    </row>
    <row r="231" spans="1:7" x14ac:dyDescent="0.3">
      <c r="A231" s="1">
        <f>'WL &amp; Q'!A231</f>
        <v>46241.458333332783</v>
      </c>
      <c r="B231" s="4" t="str">
        <f>IF('WL &amp; Q'!L231="","",'WL &amp; Q'!L231)</f>
        <v/>
      </c>
      <c r="C231" s="6" t="str">
        <f t="shared" si="3"/>
        <v/>
      </c>
      <c r="D231" s="4" t="str">
        <f>IF('WL &amp; Q'!N231="","",'WL &amp; Q'!N231)</f>
        <v/>
      </c>
      <c r="E231" s="8">
        <v>3</v>
      </c>
      <c r="F231" s="8">
        <v>3.4</v>
      </c>
      <c r="G231" s="8">
        <v>5</v>
      </c>
    </row>
    <row r="232" spans="1:7" x14ac:dyDescent="0.3">
      <c r="A232" s="1">
        <f>'WL &amp; Q'!A232</f>
        <v>46241.499999999447</v>
      </c>
      <c r="B232" s="4" t="str">
        <f>IF('WL &amp; Q'!L232="","",'WL &amp; Q'!L232)</f>
        <v/>
      </c>
      <c r="C232" s="6" t="str">
        <f t="shared" si="3"/>
        <v/>
      </c>
      <c r="D232" s="4" t="str">
        <f>IF('WL &amp; Q'!N232="","",'WL &amp; Q'!N232)</f>
        <v/>
      </c>
      <c r="E232" s="8">
        <v>3</v>
      </c>
      <c r="F232" s="8">
        <v>3.4</v>
      </c>
      <c r="G232" s="8">
        <v>5</v>
      </c>
    </row>
    <row r="233" spans="1:7" x14ac:dyDescent="0.3">
      <c r="A233" s="1">
        <f>'WL &amp; Q'!A233</f>
        <v>46241.541666666111</v>
      </c>
      <c r="B233" s="4" t="str">
        <f>IF('WL &amp; Q'!L233="","",'WL &amp; Q'!L233)</f>
        <v/>
      </c>
      <c r="C233" s="6" t="str">
        <f t="shared" si="3"/>
        <v/>
      </c>
      <c r="D233" s="4" t="str">
        <f>IF('WL &amp; Q'!N233="","",'WL &amp; Q'!N233)</f>
        <v/>
      </c>
      <c r="E233" s="8">
        <v>3</v>
      </c>
      <c r="F233" s="8">
        <v>3.4</v>
      </c>
      <c r="G233" s="8">
        <v>5</v>
      </c>
    </row>
    <row r="234" spans="1:7" x14ac:dyDescent="0.3">
      <c r="A234" s="1">
        <f>'WL &amp; Q'!A234</f>
        <v>46241.583333332776</v>
      </c>
      <c r="B234" s="4" t="str">
        <f>IF('WL &amp; Q'!L234="","",'WL &amp; Q'!L234)</f>
        <v/>
      </c>
      <c r="C234" s="6" t="str">
        <f t="shared" si="3"/>
        <v/>
      </c>
      <c r="D234" s="4" t="str">
        <f>IF('WL &amp; Q'!N234="","",'WL &amp; Q'!N234)</f>
        <v/>
      </c>
      <c r="E234" s="8">
        <v>3</v>
      </c>
      <c r="F234" s="8">
        <v>3.4</v>
      </c>
      <c r="G234" s="8">
        <v>5</v>
      </c>
    </row>
    <row r="235" spans="1:7" x14ac:dyDescent="0.3">
      <c r="A235" s="1">
        <f>'WL &amp; Q'!A235</f>
        <v>46241.62499999944</v>
      </c>
      <c r="B235" s="4" t="str">
        <f>IF('WL &amp; Q'!L235="","",'WL &amp; Q'!L235)</f>
        <v/>
      </c>
      <c r="C235" s="6" t="str">
        <f t="shared" si="3"/>
        <v/>
      </c>
      <c r="D235" s="4" t="str">
        <f>IF('WL &amp; Q'!N235="","",'WL &amp; Q'!N235)</f>
        <v/>
      </c>
      <c r="E235" s="8">
        <v>3</v>
      </c>
      <c r="F235" s="8">
        <v>3.4</v>
      </c>
      <c r="G235" s="8">
        <v>5</v>
      </c>
    </row>
    <row r="236" spans="1:7" x14ac:dyDescent="0.3">
      <c r="A236" s="1">
        <f>'WL &amp; Q'!A236</f>
        <v>46241.666666666104</v>
      </c>
      <c r="B236" s="4" t="str">
        <f>IF('WL &amp; Q'!L236="","",'WL &amp; Q'!L236)</f>
        <v/>
      </c>
      <c r="C236" s="6" t="str">
        <f t="shared" si="3"/>
        <v/>
      </c>
      <c r="D236" s="4" t="str">
        <f>IF('WL &amp; Q'!N236="","",'WL &amp; Q'!N236)</f>
        <v/>
      </c>
      <c r="E236" s="8">
        <v>3</v>
      </c>
      <c r="F236" s="8">
        <v>3.4</v>
      </c>
      <c r="G236" s="8">
        <v>5</v>
      </c>
    </row>
    <row r="237" spans="1:7" x14ac:dyDescent="0.3">
      <c r="A237" s="1">
        <f>'WL &amp; Q'!A237</f>
        <v>46241.708333332768</v>
      </c>
      <c r="B237" s="4" t="str">
        <f>IF('WL &amp; Q'!L237="","",'WL &amp; Q'!L237)</f>
        <v/>
      </c>
      <c r="C237" s="6" t="str">
        <f t="shared" si="3"/>
        <v/>
      </c>
      <c r="D237" s="4" t="str">
        <f>IF('WL &amp; Q'!N237="","",'WL &amp; Q'!N237)</f>
        <v/>
      </c>
      <c r="E237" s="8">
        <v>3</v>
      </c>
      <c r="F237" s="8">
        <v>3.4</v>
      </c>
      <c r="G237" s="8">
        <v>5</v>
      </c>
    </row>
    <row r="238" spans="1:7" x14ac:dyDescent="0.3">
      <c r="A238" s="1">
        <f>'WL &amp; Q'!A238</f>
        <v>46241.749999999432</v>
      </c>
      <c r="B238" s="4" t="str">
        <f>IF('WL &amp; Q'!L238="","",'WL &amp; Q'!L238)</f>
        <v/>
      </c>
      <c r="C238" s="6" t="str">
        <f t="shared" si="3"/>
        <v/>
      </c>
      <c r="D238" s="4" t="str">
        <f>IF('WL &amp; Q'!N238="","",'WL &amp; Q'!N238)</f>
        <v/>
      </c>
      <c r="E238" s="8">
        <v>3</v>
      </c>
      <c r="F238" s="8">
        <v>3.4</v>
      </c>
      <c r="G238" s="8">
        <v>5</v>
      </c>
    </row>
    <row r="239" spans="1:7" x14ac:dyDescent="0.3">
      <c r="A239" s="1">
        <f>'WL &amp; Q'!A239</f>
        <v>46241.791666666097</v>
      </c>
      <c r="B239" s="4" t="str">
        <f>IF('WL &amp; Q'!L239="","",'WL &amp; Q'!L239)</f>
        <v/>
      </c>
      <c r="C239" s="6" t="str">
        <f t="shared" si="3"/>
        <v/>
      </c>
      <c r="D239" s="4" t="str">
        <f>IF('WL &amp; Q'!N239="","",'WL &amp; Q'!N239)</f>
        <v/>
      </c>
      <c r="E239" s="8">
        <v>3</v>
      </c>
      <c r="F239" s="8">
        <v>3.4</v>
      </c>
      <c r="G239" s="8">
        <v>5</v>
      </c>
    </row>
    <row r="240" spans="1:7" x14ac:dyDescent="0.3">
      <c r="A240" s="1">
        <f>'WL &amp; Q'!A240</f>
        <v>46241.833333332761</v>
      </c>
      <c r="B240" s="4" t="str">
        <f>IF('WL &amp; Q'!L240="","",'WL &amp; Q'!L240)</f>
        <v/>
      </c>
      <c r="C240" s="6" t="str">
        <f t="shared" si="3"/>
        <v/>
      </c>
      <c r="D240" s="4" t="str">
        <f>IF('WL &amp; Q'!N240="","",'WL &amp; Q'!N240)</f>
        <v/>
      </c>
      <c r="E240" s="8">
        <v>3</v>
      </c>
      <c r="F240" s="8">
        <v>3.4</v>
      </c>
      <c r="G240" s="8">
        <v>5</v>
      </c>
    </row>
    <row r="241" spans="1:7" x14ac:dyDescent="0.3">
      <c r="A241" s="1">
        <f>'WL &amp; Q'!A241</f>
        <v>46241.874999999425</v>
      </c>
      <c r="B241" s="4" t="str">
        <f>IF('WL &amp; Q'!L241="","",'WL &amp; Q'!L241)</f>
        <v/>
      </c>
      <c r="C241" s="6" t="str">
        <f t="shared" si="3"/>
        <v/>
      </c>
      <c r="D241" s="4" t="str">
        <f>IF('WL &amp; Q'!N241="","",'WL &amp; Q'!N241)</f>
        <v/>
      </c>
      <c r="E241" s="8">
        <v>3</v>
      </c>
      <c r="F241" s="8">
        <v>3.4</v>
      </c>
      <c r="G241" s="8">
        <v>5</v>
      </c>
    </row>
    <row r="242" spans="1:7" x14ac:dyDescent="0.3">
      <c r="A242" s="1">
        <f>'WL &amp; Q'!A242</f>
        <v>46241.916666666089</v>
      </c>
      <c r="B242" s="4" t="str">
        <f>IF('WL &amp; Q'!L242="","",'WL &amp; Q'!L242)</f>
        <v/>
      </c>
      <c r="C242" s="6" t="str">
        <f t="shared" si="3"/>
        <v/>
      </c>
      <c r="D242" s="4" t="str">
        <f>IF('WL &amp; Q'!N242="","",'WL &amp; Q'!N242)</f>
        <v/>
      </c>
      <c r="E242" s="8">
        <v>3</v>
      </c>
      <c r="F242" s="8">
        <v>3.4</v>
      </c>
      <c r="G242" s="8">
        <v>5</v>
      </c>
    </row>
    <row r="243" spans="1:7" x14ac:dyDescent="0.3">
      <c r="A243" s="1">
        <f>'WL &amp; Q'!A243</f>
        <v>46241.958333332754</v>
      </c>
      <c r="B243" s="4" t="str">
        <f>IF('WL &amp; Q'!L243="","",'WL &amp; Q'!L243)</f>
        <v/>
      </c>
      <c r="C243" s="6" t="str">
        <f t="shared" si="3"/>
        <v/>
      </c>
      <c r="D243" s="4" t="str">
        <f>IF('WL &amp; Q'!N243="","",'WL &amp; Q'!N243)</f>
        <v/>
      </c>
      <c r="E243" s="8">
        <v>3</v>
      </c>
      <c r="F243" s="8">
        <v>3.4</v>
      </c>
      <c r="G243" s="8">
        <v>5</v>
      </c>
    </row>
    <row r="244" spans="1:7" x14ac:dyDescent="0.3">
      <c r="A244" s="1">
        <f>'WL &amp; Q'!A244</f>
        <v>46241.999999999418</v>
      </c>
      <c r="B244" s="4" t="str">
        <f>IF('WL &amp; Q'!L244="","",'WL &amp; Q'!L244)</f>
        <v/>
      </c>
      <c r="C244" s="6" t="str">
        <f t="shared" si="3"/>
        <v/>
      </c>
      <c r="D244" s="4" t="str">
        <f>IF('WL &amp; Q'!N244="","",'WL &amp; Q'!N244)</f>
        <v/>
      </c>
      <c r="E244" s="8">
        <v>3</v>
      </c>
      <c r="F244" s="8">
        <v>3.4</v>
      </c>
      <c r="G244" s="8">
        <v>5</v>
      </c>
    </row>
    <row r="245" spans="1:7" x14ac:dyDescent="0.3">
      <c r="A245" s="1">
        <f>'WL &amp; Q'!A245</f>
        <v>46242.041666666082</v>
      </c>
      <c r="B245" s="4" t="str">
        <f>IF('WL &amp; Q'!L245="","",'WL &amp; Q'!L245)</f>
        <v/>
      </c>
      <c r="C245" s="6" t="str">
        <f t="shared" si="3"/>
        <v/>
      </c>
      <c r="D245" s="4" t="str">
        <f>IF('WL &amp; Q'!N245="","",'WL &amp; Q'!N245)</f>
        <v/>
      </c>
      <c r="E245" s="8">
        <v>3</v>
      </c>
      <c r="F245" s="8">
        <v>3.4</v>
      </c>
      <c r="G245" s="8">
        <v>5</v>
      </c>
    </row>
    <row r="246" spans="1:7" x14ac:dyDescent="0.3">
      <c r="A246" s="1">
        <f>'WL &amp; Q'!A246</f>
        <v>46242.083333332746</v>
      </c>
      <c r="B246" s="4" t="str">
        <f>IF('WL &amp; Q'!L246="","",'WL &amp; Q'!L246)</f>
        <v/>
      </c>
      <c r="C246" s="6" t="str">
        <f t="shared" si="3"/>
        <v/>
      </c>
      <c r="D246" s="4" t="str">
        <f>IF('WL &amp; Q'!N246="","",'WL &amp; Q'!N246)</f>
        <v/>
      </c>
      <c r="E246" s="8">
        <v>3</v>
      </c>
      <c r="F246" s="8">
        <v>3.4</v>
      </c>
      <c r="G246" s="8">
        <v>5</v>
      </c>
    </row>
    <row r="247" spans="1:7" x14ac:dyDescent="0.3">
      <c r="A247" s="1">
        <f>'WL &amp; Q'!A247</f>
        <v>46242.124999999411</v>
      </c>
      <c r="B247" s="4" t="str">
        <f>IF('WL &amp; Q'!L247="","",'WL &amp; Q'!L247)</f>
        <v/>
      </c>
      <c r="C247" s="6" t="str">
        <f t="shared" si="3"/>
        <v/>
      </c>
      <c r="D247" s="4" t="str">
        <f>IF('WL &amp; Q'!N247="","",'WL &amp; Q'!N247)</f>
        <v/>
      </c>
      <c r="E247" s="8">
        <v>3</v>
      </c>
      <c r="F247" s="8">
        <v>3.4</v>
      </c>
      <c r="G247" s="8">
        <v>5</v>
      </c>
    </row>
    <row r="248" spans="1:7" x14ac:dyDescent="0.3">
      <c r="A248" s="1">
        <f>'WL &amp; Q'!A248</f>
        <v>46242.166666666075</v>
      </c>
      <c r="B248" s="4" t="str">
        <f>IF('WL &amp; Q'!L248="","",'WL &amp; Q'!L248)</f>
        <v/>
      </c>
      <c r="C248" s="6" t="str">
        <f t="shared" si="3"/>
        <v/>
      </c>
      <c r="D248" s="4" t="str">
        <f>IF('WL &amp; Q'!N248="","",'WL &amp; Q'!N248)</f>
        <v/>
      </c>
      <c r="E248" s="8">
        <v>3</v>
      </c>
      <c r="F248" s="8">
        <v>3.4</v>
      </c>
      <c r="G248" s="8">
        <v>5</v>
      </c>
    </row>
    <row r="249" spans="1:7" x14ac:dyDescent="0.3">
      <c r="A249" s="1">
        <f>'WL &amp; Q'!A249</f>
        <v>46242.208333332739</v>
      </c>
      <c r="B249" s="4" t="str">
        <f>IF('WL &amp; Q'!L249="","",'WL &amp; Q'!L249)</f>
        <v/>
      </c>
      <c r="C249" s="6" t="str">
        <f t="shared" si="3"/>
        <v/>
      </c>
      <c r="D249" s="4" t="str">
        <f>IF('WL &amp; Q'!N249="","",'WL &amp; Q'!N249)</f>
        <v/>
      </c>
      <c r="E249" s="8">
        <v>3</v>
      </c>
      <c r="F249" s="8">
        <v>3.4</v>
      </c>
      <c r="G249" s="8">
        <v>5</v>
      </c>
    </row>
    <row r="250" spans="1:7" x14ac:dyDescent="0.3">
      <c r="A250" s="1">
        <f>'WL &amp; Q'!A250</f>
        <v>46242.249999999403</v>
      </c>
      <c r="B250" s="4" t="str">
        <f>IF('WL &amp; Q'!L250="","",'WL &amp; Q'!L250)</f>
        <v/>
      </c>
      <c r="C250" s="6" t="str">
        <f t="shared" si="3"/>
        <v/>
      </c>
      <c r="D250" s="4" t="str">
        <f>IF('WL &amp; Q'!N250="","",'WL &amp; Q'!N250)</f>
        <v/>
      </c>
      <c r="E250" s="8">
        <v>3</v>
      </c>
      <c r="F250" s="8">
        <v>3.4</v>
      </c>
      <c r="G250" s="8">
        <v>5</v>
      </c>
    </row>
    <row r="251" spans="1:7" x14ac:dyDescent="0.3">
      <c r="A251" s="1">
        <f>'WL &amp; Q'!A251</f>
        <v>46242.291666666068</v>
      </c>
      <c r="B251" s="4" t="str">
        <f>IF('WL &amp; Q'!L251="","",'WL &amp; Q'!L251)</f>
        <v/>
      </c>
      <c r="C251" s="6" t="str">
        <f t="shared" si="3"/>
        <v/>
      </c>
      <c r="D251" s="4" t="str">
        <f>IF('WL &amp; Q'!N251="","",'WL &amp; Q'!N251)</f>
        <v/>
      </c>
      <c r="E251" s="8">
        <v>3</v>
      </c>
      <c r="F251" s="8">
        <v>3.4</v>
      </c>
      <c r="G251" s="8">
        <v>5</v>
      </c>
    </row>
    <row r="252" spans="1:7" x14ac:dyDescent="0.3">
      <c r="A252" s="1">
        <f>'WL &amp; Q'!A252</f>
        <v>46242.333333332732</v>
      </c>
      <c r="B252" s="4" t="str">
        <f>IF('WL &amp; Q'!L252="","",'WL &amp; Q'!L252)</f>
        <v/>
      </c>
      <c r="C252" s="6" t="str">
        <f t="shared" si="3"/>
        <v/>
      </c>
      <c r="D252" s="4" t="str">
        <f>IF('WL &amp; Q'!N252="","",'WL &amp; Q'!N252)</f>
        <v/>
      </c>
      <c r="E252" s="8">
        <v>3</v>
      </c>
      <c r="F252" s="8">
        <v>3.4</v>
      </c>
      <c r="G252" s="8">
        <v>5</v>
      </c>
    </row>
    <row r="253" spans="1:7" x14ac:dyDescent="0.3">
      <c r="A253" s="1">
        <f>'WL &amp; Q'!A253</f>
        <v>46242.374999999396</v>
      </c>
      <c r="B253" s="4" t="str">
        <f>IF('WL &amp; Q'!L253="","",'WL &amp; Q'!L253)</f>
        <v/>
      </c>
      <c r="C253" s="6" t="str">
        <f t="shared" si="3"/>
        <v/>
      </c>
      <c r="D253" s="4" t="str">
        <f>IF('WL &amp; Q'!N253="","",'WL &amp; Q'!N253)</f>
        <v/>
      </c>
      <c r="E253" s="8">
        <v>3</v>
      </c>
      <c r="F253" s="8">
        <v>3.4</v>
      </c>
      <c r="G253" s="8">
        <v>5</v>
      </c>
    </row>
    <row r="254" spans="1:7" x14ac:dyDescent="0.3">
      <c r="A254" s="1">
        <f>'WL &amp; Q'!A254</f>
        <v>46242.41666666606</v>
      </c>
      <c r="B254" s="4" t="str">
        <f>IF('WL &amp; Q'!L254="","",'WL &amp; Q'!L254)</f>
        <v/>
      </c>
      <c r="C254" s="6" t="str">
        <f t="shared" si="3"/>
        <v/>
      </c>
      <c r="D254" s="4" t="str">
        <f>IF('WL &amp; Q'!N254="","",'WL &amp; Q'!N254)</f>
        <v/>
      </c>
      <c r="E254" s="8">
        <v>3</v>
      </c>
      <c r="F254" s="8">
        <v>3.4</v>
      </c>
      <c r="G254" s="8">
        <v>5</v>
      </c>
    </row>
    <row r="255" spans="1:7" x14ac:dyDescent="0.3">
      <c r="A255" s="1">
        <f>'WL &amp; Q'!A255</f>
        <v>46242.458333332725</v>
      </c>
      <c r="B255" s="4" t="str">
        <f>IF('WL &amp; Q'!L255="","",'WL &amp; Q'!L255)</f>
        <v/>
      </c>
      <c r="C255" s="6" t="str">
        <f t="shared" si="3"/>
        <v/>
      </c>
      <c r="D255" s="4" t="str">
        <f>IF('WL &amp; Q'!N255="","",'WL &amp; Q'!N255)</f>
        <v/>
      </c>
      <c r="E255" s="8">
        <v>3</v>
      </c>
      <c r="F255" s="8">
        <v>3.4</v>
      </c>
      <c r="G255" s="8">
        <v>5</v>
      </c>
    </row>
    <row r="256" spans="1:7" x14ac:dyDescent="0.3">
      <c r="A256" s="1">
        <f>'WL &amp; Q'!A256</f>
        <v>46242.499999999389</v>
      </c>
      <c r="B256" s="4" t="str">
        <f>IF('WL &amp; Q'!L256="","",'WL &amp; Q'!L256)</f>
        <v/>
      </c>
      <c r="C256" s="6" t="str">
        <f t="shared" si="3"/>
        <v/>
      </c>
      <c r="D256" s="4" t="str">
        <f>IF('WL &amp; Q'!N256="","",'WL &amp; Q'!N256)</f>
        <v/>
      </c>
      <c r="E256" s="8">
        <v>3</v>
      </c>
      <c r="F256" s="8">
        <v>3.4</v>
      </c>
      <c r="G256" s="8">
        <v>5</v>
      </c>
    </row>
    <row r="257" spans="1:7" x14ac:dyDescent="0.3">
      <c r="A257" s="1">
        <f>'WL &amp; Q'!A257</f>
        <v>46242.541666666053</v>
      </c>
      <c r="B257" s="4" t="str">
        <f>IF('WL &amp; Q'!L257="","",'WL &amp; Q'!L257)</f>
        <v/>
      </c>
      <c r="C257" s="6" t="str">
        <f t="shared" si="3"/>
        <v/>
      </c>
      <c r="D257" s="4" t="str">
        <f>IF('WL &amp; Q'!N257="","",'WL &amp; Q'!N257)</f>
        <v/>
      </c>
      <c r="E257" s="8">
        <v>3</v>
      </c>
      <c r="F257" s="8">
        <v>3.4</v>
      </c>
      <c r="G257" s="8">
        <v>5</v>
      </c>
    </row>
    <row r="258" spans="1:7" x14ac:dyDescent="0.3">
      <c r="A258" s="1">
        <f>'WL &amp; Q'!A258</f>
        <v>46242.583333332717</v>
      </c>
      <c r="B258" s="4" t="str">
        <f>IF('WL &amp; Q'!L258="","",'WL &amp; Q'!L258)</f>
        <v/>
      </c>
      <c r="C258" s="6" t="str">
        <f t="shared" si="3"/>
        <v/>
      </c>
      <c r="D258" s="4" t="str">
        <f>IF('WL &amp; Q'!N258="","",'WL &amp; Q'!N258)</f>
        <v/>
      </c>
      <c r="E258" s="8">
        <v>3</v>
      </c>
      <c r="F258" s="8">
        <v>3.4</v>
      </c>
      <c r="G258" s="8">
        <v>5</v>
      </c>
    </row>
    <row r="259" spans="1:7" x14ac:dyDescent="0.3">
      <c r="A259" s="1">
        <f>'WL &amp; Q'!A259</f>
        <v>46242.624999999382</v>
      </c>
      <c r="B259" s="4" t="str">
        <f>IF('WL &amp; Q'!L259="","",'WL &amp; Q'!L259)</f>
        <v/>
      </c>
      <c r="C259" s="6" t="str">
        <f t="shared" si="3"/>
        <v/>
      </c>
      <c r="D259" s="4" t="str">
        <f>IF('WL &amp; Q'!N259="","",'WL &amp; Q'!N259)</f>
        <v/>
      </c>
      <c r="E259" s="8">
        <v>3</v>
      </c>
      <c r="F259" s="8">
        <v>3.4</v>
      </c>
      <c r="G259" s="8">
        <v>5</v>
      </c>
    </row>
    <row r="260" spans="1:7" x14ac:dyDescent="0.3">
      <c r="A260" s="1">
        <f>'WL &amp; Q'!A260</f>
        <v>46242.666666666046</v>
      </c>
      <c r="B260" s="4" t="str">
        <f>IF('WL &amp; Q'!L260="","",'WL &amp; Q'!L260)</f>
        <v/>
      </c>
      <c r="C260" s="6" t="str">
        <f t="shared" si="3"/>
        <v/>
      </c>
      <c r="D260" s="4" t="str">
        <f>IF('WL &amp; Q'!N260="","",'WL &amp; Q'!N260)</f>
        <v/>
      </c>
      <c r="E260" s="8">
        <v>3</v>
      </c>
      <c r="F260" s="8">
        <v>3.4</v>
      </c>
      <c r="G260" s="8">
        <v>5</v>
      </c>
    </row>
    <row r="261" spans="1:7" x14ac:dyDescent="0.3">
      <c r="A261" s="1">
        <f>'WL &amp; Q'!A261</f>
        <v>46242.70833333271</v>
      </c>
      <c r="B261" s="4" t="str">
        <f>IF('WL &amp; Q'!L261="","",'WL &amp; Q'!L261)</f>
        <v/>
      </c>
      <c r="C261" s="6" t="str">
        <f t="shared" si="3"/>
        <v/>
      </c>
      <c r="D261" s="4" t="str">
        <f>IF('WL &amp; Q'!N261="","",'WL &amp; Q'!N261)</f>
        <v/>
      </c>
      <c r="E261" s="8">
        <v>3</v>
      </c>
      <c r="F261" s="8">
        <v>3.4</v>
      </c>
      <c r="G261" s="8">
        <v>5</v>
      </c>
    </row>
    <row r="262" spans="1:7" x14ac:dyDescent="0.3">
      <c r="A262" s="1">
        <f>'WL &amp; Q'!A262</f>
        <v>46242.749999999374</v>
      </c>
      <c r="B262" s="4" t="str">
        <f>IF('WL &amp; Q'!L262="","",'WL &amp; Q'!L262)</f>
        <v/>
      </c>
      <c r="C262" s="6" t="str">
        <f t="shared" ref="C262:C268" si="4">IF(B262="","",IF((B262)&gt;2,8.9271*((B262)^2)+9.2434*(B262)-1.6791,14.51*(((B262)-0.1)^1.846)))</f>
        <v/>
      </c>
      <c r="D262" s="4" t="str">
        <f>IF('WL &amp; Q'!N262="","",'WL &amp; Q'!N262)</f>
        <v/>
      </c>
      <c r="E262" s="8">
        <v>3</v>
      </c>
      <c r="F262" s="8">
        <v>3.4</v>
      </c>
      <c r="G262" s="8">
        <v>5</v>
      </c>
    </row>
    <row r="263" spans="1:7" x14ac:dyDescent="0.3">
      <c r="A263" s="1">
        <f>'WL &amp; Q'!A263</f>
        <v>46242.791666666039</v>
      </c>
      <c r="B263" s="4" t="str">
        <f>IF('WL &amp; Q'!L263="","",'WL &amp; Q'!L263)</f>
        <v/>
      </c>
      <c r="C263" s="6" t="str">
        <f t="shared" si="4"/>
        <v/>
      </c>
      <c r="D263" s="4" t="str">
        <f>IF('WL &amp; Q'!N263="","",'WL &amp; Q'!N263)</f>
        <v/>
      </c>
      <c r="E263" s="8">
        <v>3</v>
      </c>
      <c r="F263" s="8">
        <v>3.4</v>
      </c>
      <c r="G263" s="8">
        <v>5</v>
      </c>
    </row>
    <row r="264" spans="1:7" x14ac:dyDescent="0.3">
      <c r="A264" s="1">
        <f>'WL &amp; Q'!A264</f>
        <v>46242.833333332703</v>
      </c>
      <c r="B264" s="4" t="str">
        <f>IF('WL &amp; Q'!L264="","",'WL &amp; Q'!L264)</f>
        <v/>
      </c>
      <c r="C264" s="6" t="str">
        <f t="shared" si="4"/>
        <v/>
      </c>
      <c r="D264" s="4" t="str">
        <f>IF('WL &amp; Q'!N264="","",'WL &amp; Q'!N264)</f>
        <v/>
      </c>
      <c r="E264" s="8">
        <v>3</v>
      </c>
      <c r="F264" s="8">
        <v>3.4</v>
      </c>
      <c r="G264" s="8">
        <v>5</v>
      </c>
    </row>
    <row r="265" spans="1:7" x14ac:dyDescent="0.3">
      <c r="A265" s="1">
        <f>'WL &amp; Q'!A265</f>
        <v>46242.874999999367</v>
      </c>
      <c r="B265" s="4" t="str">
        <f>IF('WL &amp; Q'!L265="","",'WL &amp; Q'!L265)</f>
        <v/>
      </c>
      <c r="C265" s="6" t="str">
        <f t="shared" si="4"/>
        <v/>
      </c>
      <c r="D265" s="4" t="str">
        <f>IF('WL &amp; Q'!N265="","",'WL &amp; Q'!N265)</f>
        <v/>
      </c>
      <c r="E265" s="8">
        <v>3</v>
      </c>
      <c r="F265" s="8">
        <v>3.4</v>
      </c>
      <c r="G265" s="8">
        <v>5</v>
      </c>
    </row>
    <row r="266" spans="1:7" x14ac:dyDescent="0.3">
      <c r="A266" s="1">
        <f>'WL &amp; Q'!A266</f>
        <v>46242.916666666031</v>
      </c>
      <c r="B266" s="4" t="str">
        <f>IF('WL &amp; Q'!L266="","",'WL &amp; Q'!L266)</f>
        <v/>
      </c>
      <c r="C266" s="6" t="str">
        <f t="shared" si="4"/>
        <v/>
      </c>
      <c r="D266" s="4" t="str">
        <f>IF('WL &amp; Q'!N266="","",'WL &amp; Q'!N266)</f>
        <v/>
      </c>
      <c r="E266" s="8">
        <v>3</v>
      </c>
      <c r="F266" s="8">
        <v>3.4</v>
      </c>
      <c r="G266" s="8">
        <v>5</v>
      </c>
    </row>
    <row r="267" spans="1:7" x14ac:dyDescent="0.3">
      <c r="A267" s="1">
        <f>'WL &amp; Q'!A267</f>
        <v>46242.958333332695</v>
      </c>
      <c r="B267" s="4" t="str">
        <f>IF('WL &amp; Q'!L267="","",'WL &amp; Q'!L267)</f>
        <v/>
      </c>
      <c r="C267" s="6" t="str">
        <f t="shared" si="4"/>
        <v/>
      </c>
      <c r="D267" s="4" t="str">
        <f>IF('WL &amp; Q'!N267="","",'WL &amp; Q'!N267)</f>
        <v/>
      </c>
      <c r="E267" s="8">
        <v>3</v>
      </c>
      <c r="F267" s="8">
        <v>3.4</v>
      </c>
      <c r="G267" s="8">
        <v>5</v>
      </c>
    </row>
    <row r="268" spans="1:7" x14ac:dyDescent="0.3">
      <c r="A268" s="1">
        <f>'WL &amp; Q'!A268</f>
        <v>46242.99999999936</v>
      </c>
      <c r="B268" s="4" t="str">
        <f>IF('WL &amp; Q'!L268="","",'WL &amp; Q'!L268)</f>
        <v/>
      </c>
      <c r="C268" s="6" t="str">
        <f t="shared" si="4"/>
        <v/>
      </c>
      <c r="D268" s="4" t="str">
        <f>IF('WL &amp; Q'!N268="","",'WL &amp; Q'!N268)</f>
        <v/>
      </c>
      <c r="E268" s="8">
        <v>3</v>
      </c>
      <c r="F268" s="8">
        <v>3.4</v>
      </c>
      <c r="G268" s="8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3E87-6AF9-46AE-A158-C26C0659C6BA}">
  <dimension ref="A1:Q268"/>
  <sheetViews>
    <sheetView workbookViewId="0">
      <selection activeCell="J31" sqref="J31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5</v>
      </c>
      <c r="C2" s="11"/>
      <c r="I2" s="18" t="s">
        <v>24</v>
      </c>
      <c r="J2" s="17" t="s">
        <v>20</v>
      </c>
      <c r="K2" s="17" t="s">
        <v>21</v>
      </c>
      <c r="L2" s="17" t="s">
        <v>22</v>
      </c>
      <c r="M2" s="17" t="s">
        <v>23</v>
      </c>
    </row>
    <row r="3" spans="1:17" x14ac:dyDescent="0.3">
      <c r="A3" s="11"/>
      <c r="C3" s="11"/>
      <c r="I3" s="18">
        <v>0</v>
      </c>
      <c r="J3" s="19">
        <f>Hanwella!J3</f>
        <v>46235.3125</v>
      </c>
      <c r="K3" s="19">
        <f>Hanwella!K3</f>
        <v>46237.479166666664</v>
      </c>
      <c r="L3" s="19">
        <f>Hanwella!L3</f>
        <v>46237.5625</v>
      </c>
      <c r="M3" s="19">
        <f>Hanwella!M3</f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10</v>
      </c>
      <c r="J4" s="19">
        <f>Hanwella!J4</f>
        <v>46235.3125</v>
      </c>
      <c r="K4" s="19">
        <f>Hanwella!K4</f>
        <v>46237.479166666664</v>
      </c>
      <c r="L4" s="19">
        <f>Hanwella!L4</f>
        <v>46237.5625</v>
      </c>
      <c r="M4" s="19">
        <f>Hanwella!M4</f>
        <v>46237.645833333336</v>
      </c>
      <c r="Q4" s="20"/>
    </row>
    <row r="5" spans="1:17" x14ac:dyDescent="0.3">
      <c r="A5" s="1">
        <f>'WL &amp; Q'!A5</f>
        <v>46232.041666666664</v>
      </c>
      <c r="B5" s="4">
        <f>IF('WL &amp; Q'!O5="","",'WL &amp; Q'!O5)</f>
        <v>0.56999999999999995</v>
      </c>
      <c r="C5" s="6">
        <f t="shared" ref="C5:C69" si="0">IF(B5="","",28.62*(B5)^1.3838)</f>
        <v>13.147683917799467</v>
      </c>
      <c r="D5" s="4">
        <f>IF('WL &amp; Q'!Q5="","",'WL &amp; Q'!Q5)</f>
        <v>2.2999999999999998</v>
      </c>
      <c r="E5" s="8">
        <v>4.8</v>
      </c>
      <c r="F5" s="8">
        <v>5.8</v>
      </c>
      <c r="G5" s="8">
        <v>6.4</v>
      </c>
      <c r="K5" s="1"/>
      <c r="Q5" s="20"/>
    </row>
    <row r="6" spans="1:17" x14ac:dyDescent="0.3">
      <c r="A6" s="1">
        <f>'WL &amp; Q'!A6</f>
        <v>46232.083333333328</v>
      </c>
      <c r="B6" s="4">
        <f>IF('WL &amp; Q'!O6="","",'WL &amp; Q'!O6)</f>
        <v>0.51</v>
      </c>
      <c r="C6" s="6">
        <f t="shared" si="0"/>
        <v>11.272110541952166</v>
      </c>
      <c r="D6" s="4">
        <f>IF('WL &amp; Q'!Q6="","",'WL &amp; Q'!Q6)</f>
        <v>0.5</v>
      </c>
      <c r="E6" s="8">
        <v>4.8</v>
      </c>
      <c r="F6" s="8">
        <v>5.8</v>
      </c>
      <c r="G6" s="8">
        <v>6.4</v>
      </c>
      <c r="K6" s="1"/>
      <c r="M6" s="1"/>
    </row>
    <row r="7" spans="1:17" x14ac:dyDescent="0.3">
      <c r="A7" s="1">
        <f>'WL &amp; Q'!A7</f>
        <v>46232.124999999993</v>
      </c>
      <c r="B7" s="4">
        <f>IF('WL &amp; Q'!O7="","",'WL &amp; Q'!O7)</f>
        <v>0.45</v>
      </c>
      <c r="C7" s="6">
        <f t="shared" si="0"/>
        <v>9.4794929078407559</v>
      </c>
      <c r="D7" s="4">
        <f>IF('WL &amp; Q'!Q7="","",'WL &amp; Q'!Q7)</f>
        <v>0</v>
      </c>
      <c r="E7" s="8">
        <v>4.8</v>
      </c>
      <c r="F7" s="8">
        <v>5.8</v>
      </c>
      <c r="G7" s="8">
        <v>6.4</v>
      </c>
    </row>
    <row r="8" spans="1:17" x14ac:dyDescent="0.3">
      <c r="A8" s="1">
        <f>'WL &amp; Q'!A8</f>
        <v>46232.166666666657</v>
      </c>
      <c r="B8" s="4">
        <f>IF('WL &amp; Q'!O8="","",'WL &amp; Q'!O8)</f>
        <v>0.43</v>
      </c>
      <c r="C8" s="6">
        <f t="shared" si="0"/>
        <v>8.9015016823120501</v>
      </c>
      <c r="D8" s="4">
        <f>IF('WL &amp; Q'!Q8="","",'WL &amp; Q'!Q8)</f>
        <v>0</v>
      </c>
      <c r="E8" s="8">
        <v>4.8</v>
      </c>
      <c r="F8" s="8">
        <v>5.8</v>
      </c>
      <c r="G8" s="8">
        <v>6.4</v>
      </c>
    </row>
    <row r="9" spans="1:17" x14ac:dyDescent="0.3">
      <c r="A9" s="1">
        <f>'WL &amp; Q'!A9</f>
        <v>46232.208333333321</v>
      </c>
      <c r="B9" s="4">
        <f>IF('WL &amp; Q'!O9="","",'WL &amp; Q'!O9)</f>
        <v>0.43</v>
      </c>
      <c r="C9" s="6">
        <f t="shared" si="0"/>
        <v>8.9015016823120501</v>
      </c>
      <c r="D9" s="4">
        <f>IF('WL &amp; Q'!Q9="","",'WL &amp; Q'!Q9)</f>
        <v>8.1999999999999993</v>
      </c>
      <c r="E9" s="8">
        <v>4.8</v>
      </c>
      <c r="F9" s="8">
        <v>5.8</v>
      </c>
      <c r="G9" s="8">
        <v>6.4</v>
      </c>
    </row>
    <row r="10" spans="1:17" x14ac:dyDescent="0.3">
      <c r="A10" s="1">
        <f>'WL &amp; Q'!A10</f>
        <v>46232.249999999985</v>
      </c>
      <c r="B10" s="4">
        <f>IF('WL &amp; Q'!O10="","",'WL &amp; Q'!O10)</f>
        <v>0.45</v>
      </c>
      <c r="C10" s="6">
        <f t="shared" si="0"/>
        <v>9.4794929078407559</v>
      </c>
      <c r="D10" s="4">
        <f>IF('WL &amp; Q'!Q10="","",'WL &amp; Q'!Q10)</f>
        <v>0.9</v>
      </c>
      <c r="E10" s="8">
        <v>4.8</v>
      </c>
      <c r="F10" s="8">
        <v>5.8</v>
      </c>
      <c r="G10" s="8">
        <v>6.4</v>
      </c>
    </row>
    <row r="11" spans="1:17" x14ac:dyDescent="0.3">
      <c r="A11" s="1">
        <f>'WL &amp; Q'!A11</f>
        <v>46232.29166666665</v>
      </c>
      <c r="B11" s="4">
        <f>IF('WL &amp; Q'!O11="","",'WL &amp; Q'!O11)</f>
        <v>0.51</v>
      </c>
      <c r="C11" s="6">
        <f t="shared" si="0"/>
        <v>11.272110541952166</v>
      </c>
      <c r="D11" s="4">
        <f>IF('WL &amp; Q'!Q11="","",'WL &amp; Q'!Q11)</f>
        <v>0.6</v>
      </c>
      <c r="E11" s="8">
        <v>4.8</v>
      </c>
      <c r="F11" s="8">
        <v>5.8</v>
      </c>
      <c r="G11" s="8">
        <v>6.4</v>
      </c>
    </row>
    <row r="12" spans="1:17" x14ac:dyDescent="0.3">
      <c r="A12" s="1">
        <f>'WL &amp; Q'!A12</f>
        <v>46232.333333333314</v>
      </c>
      <c r="B12" s="4">
        <f>IF('WL &amp; Q'!O12="","",'WL &amp; Q'!O12)</f>
        <v>0.54</v>
      </c>
      <c r="C12" s="6">
        <f t="shared" si="0"/>
        <v>12.199895600830567</v>
      </c>
      <c r="D12" s="4">
        <f>IF('WL &amp; Q'!Q12="","",'WL &amp; Q'!Q12)</f>
        <v>0</v>
      </c>
      <c r="E12" s="8">
        <v>4.8</v>
      </c>
      <c r="F12" s="8">
        <v>5.8</v>
      </c>
      <c r="G12" s="8">
        <v>6.4</v>
      </c>
    </row>
    <row r="13" spans="1:17" x14ac:dyDescent="0.3">
      <c r="A13" s="1">
        <f>'WL &amp; Q'!A13</f>
        <v>46232.374999999978</v>
      </c>
      <c r="B13" s="4">
        <f>IF('WL &amp; Q'!O13="","",'WL &amp; Q'!O13)</f>
        <v>0.63</v>
      </c>
      <c r="C13" s="6">
        <f t="shared" si="0"/>
        <v>15.100700072125402</v>
      </c>
      <c r="D13" s="4">
        <f>IF('WL &amp; Q'!Q13="","",'WL &amp; Q'!Q13)</f>
        <v>0</v>
      </c>
      <c r="E13" s="8">
        <v>4.8</v>
      </c>
      <c r="F13" s="8">
        <v>5.8</v>
      </c>
      <c r="G13" s="8">
        <v>6.4</v>
      </c>
    </row>
    <row r="14" spans="1:17" x14ac:dyDescent="0.3">
      <c r="A14" s="1">
        <f>'WL &amp; Q'!A14</f>
        <v>46232.416666666642</v>
      </c>
      <c r="B14" s="4">
        <f>IF('WL &amp; Q'!O14="","",'WL &amp; Q'!O14)</f>
        <v>0.63</v>
      </c>
      <c r="C14" s="6">
        <f t="shared" si="0"/>
        <v>15.100700072125402</v>
      </c>
      <c r="D14" s="4">
        <f>IF('WL &amp; Q'!Q14="","",'WL &amp; Q'!Q14)</f>
        <v>0</v>
      </c>
      <c r="E14" s="8">
        <v>4.8</v>
      </c>
      <c r="F14" s="8">
        <v>5.8</v>
      </c>
      <c r="G14" s="8">
        <v>6.4</v>
      </c>
    </row>
    <row r="15" spans="1:17" x14ac:dyDescent="0.3">
      <c r="A15" s="1">
        <f>'WL &amp; Q'!A15</f>
        <v>46232.458333333307</v>
      </c>
      <c r="B15" s="4">
        <f>IF('WL &amp; Q'!O15="","",'WL &amp; Q'!O15)</f>
        <v>0.48</v>
      </c>
      <c r="C15" s="6">
        <f t="shared" si="0"/>
        <v>10.365046474324068</v>
      </c>
      <c r="D15" s="4">
        <f>IF('WL &amp; Q'!Q15="","",'WL &amp; Q'!Q15)</f>
        <v>0</v>
      </c>
      <c r="E15" s="8">
        <v>4.8</v>
      </c>
      <c r="F15" s="8">
        <v>5.8</v>
      </c>
      <c r="G15" s="8">
        <v>6.4</v>
      </c>
    </row>
    <row r="16" spans="1:17" x14ac:dyDescent="0.3">
      <c r="A16" s="1">
        <f>'WL &amp; Q'!A16</f>
        <v>46232.499999999971</v>
      </c>
      <c r="B16" s="4">
        <f>IF('WL &amp; Q'!O16="","",'WL &amp; Q'!O16)</f>
        <v>0.44</v>
      </c>
      <c r="C16" s="6">
        <f t="shared" si="0"/>
        <v>9.1892368004139104</v>
      </c>
      <c r="D16" s="4">
        <f>IF('WL &amp; Q'!Q16="","",'WL &amp; Q'!Q16)</f>
        <v>0.4</v>
      </c>
      <c r="E16" s="8">
        <v>4.8</v>
      </c>
      <c r="F16" s="8">
        <v>5.8</v>
      </c>
      <c r="G16" s="8">
        <v>6.4</v>
      </c>
    </row>
    <row r="17" spans="1:7" x14ac:dyDescent="0.3">
      <c r="A17" s="1">
        <f>'WL &amp; Q'!A17</f>
        <v>46232.541666666635</v>
      </c>
      <c r="B17" s="4">
        <f>IF('WL &amp; Q'!O17="","",'WL &amp; Q'!O17)</f>
        <v>0.68</v>
      </c>
      <c r="C17" s="6">
        <f t="shared" si="0"/>
        <v>16.783999689944796</v>
      </c>
      <c r="D17" s="4">
        <f>IF('WL &amp; Q'!Q17="","",'WL &amp; Q'!Q17)</f>
        <v>0</v>
      </c>
      <c r="E17" s="8">
        <v>4.8</v>
      </c>
      <c r="F17" s="8">
        <v>5.8</v>
      </c>
      <c r="G17" s="8">
        <v>6.4</v>
      </c>
    </row>
    <row r="18" spans="1:7" x14ac:dyDescent="0.3">
      <c r="A18" s="1">
        <f>'WL &amp; Q'!A18</f>
        <v>46232.583333333299</v>
      </c>
      <c r="B18" s="4">
        <f>IF('WL &amp; Q'!O18="","",'WL &amp; Q'!O18)</f>
        <v>0.71</v>
      </c>
      <c r="C18" s="6">
        <f t="shared" si="0"/>
        <v>17.817260609488788</v>
      </c>
      <c r="D18" s="4">
        <f>IF('WL &amp; Q'!Q18="","",'WL &amp; Q'!Q18)</f>
        <v>0</v>
      </c>
      <c r="E18" s="8">
        <v>4.8</v>
      </c>
      <c r="F18" s="8">
        <v>5.8</v>
      </c>
      <c r="G18" s="8">
        <v>6.4</v>
      </c>
    </row>
    <row r="19" spans="1:7" x14ac:dyDescent="0.3">
      <c r="A19" s="1">
        <f>'WL &amp; Q'!A19</f>
        <v>46232.624999999964</v>
      </c>
      <c r="B19" s="4">
        <f>IF('WL &amp; Q'!O19="","",'WL &amp; Q'!O19)</f>
        <v>0.68</v>
      </c>
      <c r="C19" s="6">
        <f t="shared" si="0"/>
        <v>16.783999689944796</v>
      </c>
      <c r="D19" s="4">
        <f>IF('WL &amp; Q'!Q19="","",'WL &amp; Q'!Q19)</f>
        <v>0</v>
      </c>
      <c r="E19" s="8">
        <v>4.8</v>
      </c>
      <c r="F19" s="8">
        <v>5.8</v>
      </c>
      <c r="G19" s="8">
        <v>6.4</v>
      </c>
    </row>
    <row r="20" spans="1:7" x14ac:dyDescent="0.3">
      <c r="A20" s="1">
        <f>'WL &amp; Q'!A20</f>
        <v>46232.666666666628</v>
      </c>
      <c r="B20" s="4">
        <f>IF('WL &amp; Q'!O20="","",'WL &amp; Q'!O20)</f>
        <v>0.65</v>
      </c>
      <c r="C20" s="6">
        <f t="shared" si="0"/>
        <v>15.768091533334557</v>
      </c>
      <c r="D20" s="4">
        <f>IF('WL &amp; Q'!Q20="","",'WL &amp; Q'!Q20)</f>
        <v>0</v>
      </c>
      <c r="E20" s="8">
        <v>4.8</v>
      </c>
      <c r="F20" s="8">
        <v>5.8</v>
      </c>
      <c r="G20" s="8">
        <v>6.4</v>
      </c>
    </row>
    <row r="21" spans="1:7" x14ac:dyDescent="0.3">
      <c r="A21" s="1">
        <f>'WL &amp; Q'!A21</f>
        <v>46232.708333333292</v>
      </c>
      <c r="B21" s="4">
        <f>IF('WL &amp; Q'!O21="","",'WL &amp; Q'!O21)</f>
        <v>0.64</v>
      </c>
      <c r="C21" s="6">
        <f t="shared" si="0"/>
        <v>15.433395207033694</v>
      </c>
      <c r="D21" s="4">
        <f>IF('WL &amp; Q'!Q21="","",'WL &amp; Q'!Q21)</f>
        <v>0</v>
      </c>
      <c r="E21" s="8">
        <v>4.8</v>
      </c>
      <c r="F21" s="8">
        <v>5.8</v>
      </c>
      <c r="G21" s="8">
        <v>6.4</v>
      </c>
    </row>
    <row r="22" spans="1:7" x14ac:dyDescent="0.3">
      <c r="A22" s="1">
        <f>'WL &amp; Q'!A22</f>
        <v>46232.749999999956</v>
      </c>
      <c r="B22" s="4">
        <f>IF('WL &amp; Q'!O22="","",'WL &amp; Q'!O22)</f>
        <v>0.61</v>
      </c>
      <c r="C22" s="6">
        <f t="shared" si="0"/>
        <v>14.441391946428789</v>
      </c>
      <c r="D22" s="4">
        <f>IF('WL &amp; Q'!Q22="","",'WL &amp; Q'!Q22)</f>
        <v>0</v>
      </c>
      <c r="E22" s="8">
        <v>4.8</v>
      </c>
      <c r="F22" s="8">
        <v>5.8</v>
      </c>
      <c r="G22" s="8">
        <v>6.4</v>
      </c>
    </row>
    <row r="23" spans="1:7" x14ac:dyDescent="0.3">
      <c r="A23" s="1">
        <f>'WL &amp; Q'!A23</f>
        <v>46232.791666666621</v>
      </c>
      <c r="B23" s="4">
        <f>IF('WL &amp; Q'!O23="","",'WL &amp; Q'!O23)</f>
        <v>0.56999999999999995</v>
      </c>
      <c r="C23" s="6">
        <f t="shared" si="0"/>
        <v>13.147683917799467</v>
      </c>
      <c r="D23" s="4">
        <f>IF('WL &amp; Q'!Q23="","",'WL &amp; Q'!Q23)</f>
        <v>0</v>
      </c>
      <c r="E23" s="8">
        <v>4.8</v>
      </c>
      <c r="F23" s="8">
        <v>5.8</v>
      </c>
      <c r="G23" s="8">
        <v>6.4</v>
      </c>
    </row>
    <row r="24" spans="1:7" x14ac:dyDescent="0.3">
      <c r="A24" s="1">
        <f>'WL &amp; Q'!A24</f>
        <v>46232.833333333285</v>
      </c>
      <c r="B24" s="4">
        <f>IF('WL &amp; Q'!O24="","",'WL &amp; Q'!O24)</f>
        <v>0.64</v>
      </c>
      <c r="C24" s="6">
        <f t="shared" si="0"/>
        <v>15.433395207033694</v>
      </c>
      <c r="D24" s="4">
        <f>IF('WL &amp; Q'!Q24="","",'WL &amp; Q'!Q24)</f>
        <v>0</v>
      </c>
      <c r="E24" s="8">
        <v>4.8</v>
      </c>
      <c r="F24" s="8">
        <v>5.8</v>
      </c>
      <c r="G24" s="8">
        <v>6.4</v>
      </c>
    </row>
    <row r="25" spans="1:7" x14ac:dyDescent="0.3">
      <c r="A25" s="1">
        <f>'WL &amp; Q'!A25</f>
        <v>46232.874999999949</v>
      </c>
      <c r="B25" s="4">
        <f>IF('WL &amp; Q'!O25="","",'WL &amp; Q'!O25)</f>
        <v>0.76</v>
      </c>
      <c r="C25" s="6">
        <f t="shared" si="0"/>
        <v>19.576699676476153</v>
      </c>
      <c r="D25" s="4">
        <f>IF('WL &amp; Q'!Q25="","",'WL &amp; Q'!Q25)</f>
        <v>0</v>
      </c>
      <c r="E25" s="8">
        <v>4.8</v>
      </c>
      <c r="F25" s="8">
        <v>5.8</v>
      </c>
      <c r="G25" s="8">
        <v>6.4</v>
      </c>
    </row>
    <row r="26" spans="1:7" x14ac:dyDescent="0.3">
      <c r="A26" s="1">
        <f>'WL &amp; Q'!A26</f>
        <v>46232.916666666613</v>
      </c>
      <c r="B26" s="4">
        <f>IF('WL &amp; Q'!O26="","",'WL &amp; Q'!O26)</f>
        <v>0.65</v>
      </c>
      <c r="C26" s="6">
        <f t="shared" si="0"/>
        <v>15.768091533334557</v>
      </c>
      <c r="D26" s="4">
        <f>IF('WL &amp; Q'!Q26="","",'WL &amp; Q'!Q26)</f>
        <v>0</v>
      </c>
      <c r="E26" s="8">
        <v>4.8</v>
      </c>
      <c r="F26" s="8">
        <v>5.8</v>
      </c>
      <c r="G26" s="8">
        <v>6.4</v>
      </c>
    </row>
    <row r="27" spans="1:7" x14ac:dyDescent="0.3">
      <c r="A27" s="1">
        <f>'WL &amp; Q'!A27</f>
        <v>46232.958333333278</v>
      </c>
      <c r="B27" s="4">
        <f>IF('WL &amp; Q'!O27="","",'WL &amp; Q'!O27)</f>
        <v>0.53</v>
      </c>
      <c r="C27" s="6">
        <f t="shared" si="0"/>
        <v>11.888377244988892</v>
      </c>
      <c r="D27" s="4">
        <f>IF('WL &amp; Q'!Q27="","",'WL &amp; Q'!Q27)</f>
        <v>0</v>
      </c>
      <c r="E27" s="8">
        <v>4.8</v>
      </c>
      <c r="F27" s="8">
        <v>5.8</v>
      </c>
      <c r="G27" s="8">
        <v>6.4</v>
      </c>
    </row>
    <row r="28" spans="1:7" x14ac:dyDescent="0.3">
      <c r="A28" s="1">
        <f>'WL &amp; Q'!A28</f>
        <v>46232.999999999942</v>
      </c>
      <c r="B28" s="4">
        <f>IF('WL &amp; Q'!O28="","",'WL &amp; Q'!O28)</f>
        <v>0.5</v>
      </c>
      <c r="C28" s="6">
        <f t="shared" si="0"/>
        <v>10.96741611661685</v>
      </c>
      <c r="D28" s="4">
        <f>IF('WL &amp; Q'!Q28="","",'WL &amp; Q'!Q28)</f>
        <v>0</v>
      </c>
      <c r="E28" s="8">
        <v>4.8</v>
      </c>
      <c r="F28" s="8">
        <v>5.8</v>
      </c>
      <c r="G28" s="8">
        <v>6.4</v>
      </c>
    </row>
    <row r="29" spans="1:7" x14ac:dyDescent="0.3">
      <c r="A29" s="1">
        <f>'WL &amp; Q'!A29</f>
        <v>46233.041666666606</v>
      </c>
      <c r="B29" s="4">
        <f>IF('WL &amp; Q'!O29="","",'WL &amp; Q'!O29)</f>
        <v>0.45</v>
      </c>
      <c r="C29" s="6">
        <f t="shared" si="0"/>
        <v>9.4794929078407559</v>
      </c>
      <c r="D29" s="4">
        <f>IF('WL &amp; Q'!Q29="","",'WL &amp; Q'!Q29)</f>
        <v>0</v>
      </c>
      <c r="E29" s="8">
        <v>4.8</v>
      </c>
      <c r="F29" s="8">
        <v>5.8</v>
      </c>
      <c r="G29" s="8">
        <v>6.4</v>
      </c>
    </row>
    <row r="30" spans="1:7" x14ac:dyDescent="0.3">
      <c r="A30" s="1">
        <f>'WL &amp; Q'!A30</f>
        <v>46233.08333333327</v>
      </c>
      <c r="B30" s="4">
        <f>IF('WL &amp; Q'!O30="","",'WL &amp; Q'!O30)</f>
        <v>0.43</v>
      </c>
      <c r="C30" s="6">
        <f t="shared" si="0"/>
        <v>8.9015016823120501</v>
      </c>
      <c r="D30" s="4">
        <f>IF('WL &amp; Q'!Q30="","",'WL &amp; Q'!Q30)</f>
        <v>0</v>
      </c>
      <c r="E30" s="8">
        <v>4.8</v>
      </c>
      <c r="F30" s="8">
        <v>5.8</v>
      </c>
      <c r="G30" s="8">
        <v>6.4</v>
      </c>
    </row>
    <row r="31" spans="1:7" x14ac:dyDescent="0.3">
      <c r="A31" s="1">
        <f>'WL &amp; Q'!A31</f>
        <v>46233.124999999935</v>
      </c>
      <c r="B31" s="4">
        <f>IF('WL &amp; Q'!O31="","",'WL &amp; Q'!O31)</f>
        <v>0.46</v>
      </c>
      <c r="C31" s="6">
        <f t="shared" si="0"/>
        <v>9.7722353304186864</v>
      </c>
      <c r="D31" s="4">
        <f>IF('WL &amp; Q'!Q31="","",'WL &amp; Q'!Q31)</f>
        <v>0</v>
      </c>
      <c r="E31" s="8">
        <v>4.8</v>
      </c>
      <c r="F31" s="8">
        <v>5.8</v>
      </c>
      <c r="G31" s="8">
        <v>6.4</v>
      </c>
    </row>
    <row r="32" spans="1:7" x14ac:dyDescent="0.3">
      <c r="A32" s="1">
        <f>'WL &amp; Q'!A32</f>
        <v>46233.166666666599</v>
      </c>
      <c r="B32" s="4">
        <f>IF('WL &amp; Q'!O32="","",'WL &amp; Q'!O32)</f>
        <v>0.46</v>
      </c>
      <c r="C32" s="6">
        <f t="shared" si="0"/>
        <v>9.7722353304186864</v>
      </c>
      <c r="D32" s="4">
        <f>IF('WL &amp; Q'!Q32="","",'WL &amp; Q'!Q32)</f>
        <v>0</v>
      </c>
      <c r="E32" s="8">
        <v>4.8</v>
      </c>
      <c r="F32" s="8">
        <v>5.8</v>
      </c>
      <c r="G32" s="8">
        <v>6.4</v>
      </c>
    </row>
    <row r="33" spans="1:7" x14ac:dyDescent="0.3">
      <c r="A33" s="1">
        <f>'WL &amp; Q'!A33</f>
        <v>46233.208333333263</v>
      </c>
      <c r="B33" s="4">
        <f>IF('WL &amp; Q'!O33="","",'WL &amp; Q'!O33)</f>
        <v>0.51</v>
      </c>
      <c r="C33" s="6">
        <f t="shared" si="0"/>
        <v>11.272110541952166</v>
      </c>
      <c r="D33" s="4">
        <f>IF('WL &amp; Q'!Q33="","",'WL &amp; Q'!Q33)</f>
        <v>0</v>
      </c>
      <c r="E33" s="8">
        <v>4.8</v>
      </c>
      <c r="F33" s="8">
        <v>5.8</v>
      </c>
      <c r="G33" s="8">
        <v>6.4</v>
      </c>
    </row>
    <row r="34" spans="1:7" x14ac:dyDescent="0.3">
      <c r="A34" s="1">
        <f>'WL &amp; Q'!A34</f>
        <v>46233.249999999927</v>
      </c>
      <c r="B34" s="4">
        <f>IF('WL &amp; Q'!O34="","",'WL &amp; Q'!O34)</f>
        <v>0.42</v>
      </c>
      <c r="C34" s="6">
        <f t="shared" si="0"/>
        <v>8.6163235255389186</v>
      </c>
      <c r="D34" s="4">
        <f>IF('WL &amp; Q'!Q34="","",'WL &amp; Q'!Q34)</f>
        <v>0</v>
      </c>
      <c r="E34" s="8">
        <v>4.8</v>
      </c>
      <c r="F34" s="8">
        <v>5.8</v>
      </c>
      <c r="G34" s="8">
        <v>6.4</v>
      </c>
    </row>
    <row r="35" spans="1:7" x14ac:dyDescent="0.3">
      <c r="A35" s="1">
        <f>'WL &amp; Q'!A35</f>
        <v>46233.291666666591</v>
      </c>
      <c r="B35" s="4">
        <f>IF('WL &amp; Q'!O35="","",'WL &amp; Q'!O35)</f>
        <v>0.42</v>
      </c>
      <c r="C35" s="6">
        <f t="shared" si="0"/>
        <v>8.6163235255389186</v>
      </c>
      <c r="D35" s="4">
        <f>IF('WL &amp; Q'!Q35="","",'WL &amp; Q'!Q35)</f>
        <v>0</v>
      </c>
      <c r="E35" s="8">
        <v>4.8</v>
      </c>
      <c r="F35" s="8">
        <v>5.8</v>
      </c>
      <c r="G35" s="8">
        <v>6.4</v>
      </c>
    </row>
    <row r="36" spans="1:7" x14ac:dyDescent="0.3">
      <c r="A36" s="1">
        <f>'WL &amp; Q'!A36</f>
        <v>46233.333333333256</v>
      </c>
      <c r="B36" s="4">
        <f>IF('WL &amp; Q'!O36="","",'WL &amp; Q'!O36)</f>
        <v>0.41</v>
      </c>
      <c r="C36" s="6">
        <f t="shared" si="0"/>
        <v>8.3337396804343733</v>
      </c>
      <c r="D36" s="4">
        <f>IF('WL &amp; Q'!Q36="","",'WL &amp; Q'!Q36)</f>
        <v>0</v>
      </c>
      <c r="E36" s="8">
        <v>4.8</v>
      </c>
      <c r="F36" s="8">
        <v>5.8</v>
      </c>
      <c r="G36" s="8">
        <v>6.4</v>
      </c>
    </row>
    <row r="37" spans="1:7" x14ac:dyDescent="0.3">
      <c r="A37" s="1">
        <f>'WL &amp; Q'!A37</f>
        <v>46233.37499999992</v>
      </c>
      <c r="B37" s="4">
        <f>IF('WL &amp; Q'!O37="","",'WL &amp; Q'!O37)</f>
        <v>0.41</v>
      </c>
      <c r="C37" s="6">
        <f t="shared" si="0"/>
        <v>8.3337396804343733</v>
      </c>
      <c r="D37" s="4">
        <f>IF('WL &amp; Q'!Q37="","",'WL &amp; Q'!Q37)</f>
        <v>0</v>
      </c>
      <c r="E37" s="8">
        <v>4.8</v>
      </c>
      <c r="F37" s="8">
        <v>5.8</v>
      </c>
      <c r="G37" s="8">
        <v>6.4</v>
      </c>
    </row>
    <row r="38" spans="1:7" x14ac:dyDescent="0.3">
      <c r="A38" s="1">
        <f>'WL &amp; Q'!A38</f>
        <v>46233.416666666584</v>
      </c>
      <c r="B38" s="4">
        <f>IF('WL &amp; Q'!O38="","",'WL &amp; Q'!O38)</f>
        <v>0.45</v>
      </c>
      <c r="C38" s="6">
        <f t="shared" si="0"/>
        <v>9.4794929078407559</v>
      </c>
      <c r="D38" s="4">
        <f>IF('WL &amp; Q'!Q38="","",'WL &amp; Q'!Q38)</f>
        <v>0</v>
      </c>
      <c r="E38" s="8">
        <v>4.8</v>
      </c>
      <c r="F38" s="8">
        <v>5.8</v>
      </c>
      <c r="G38" s="8">
        <v>6.4</v>
      </c>
    </row>
    <row r="39" spans="1:7" x14ac:dyDescent="0.3">
      <c r="A39" s="1">
        <f>'WL &amp; Q'!A39</f>
        <v>46233.458333333248</v>
      </c>
      <c r="B39" s="4">
        <f>IF('WL &amp; Q'!O39="","",'WL &amp; Q'!O39)</f>
        <v>0.47</v>
      </c>
      <c r="C39" s="6">
        <f t="shared" si="0"/>
        <v>10.067430617655603</v>
      </c>
      <c r="D39" s="4">
        <f>IF('WL &amp; Q'!Q39="","",'WL &amp; Q'!Q39)</f>
        <v>0</v>
      </c>
      <c r="E39" s="8">
        <v>4.8</v>
      </c>
      <c r="F39" s="8">
        <v>5.8</v>
      </c>
      <c r="G39" s="8">
        <v>6.4</v>
      </c>
    </row>
    <row r="40" spans="1:7" x14ac:dyDescent="0.3">
      <c r="A40" s="1">
        <f>'WL &amp; Q'!A40</f>
        <v>46233.499999999913</v>
      </c>
      <c r="B40" s="4">
        <f>IF('WL &amp; Q'!O40="","",'WL &amp; Q'!O40)</f>
        <v>0.42</v>
      </c>
      <c r="C40" s="6">
        <f t="shared" si="0"/>
        <v>8.6163235255389186</v>
      </c>
      <c r="D40" s="4">
        <f>IF('WL &amp; Q'!Q40="","",'WL &amp; Q'!Q40)</f>
        <v>0</v>
      </c>
      <c r="E40" s="8">
        <v>4.8</v>
      </c>
      <c r="F40" s="8">
        <v>5.8</v>
      </c>
      <c r="G40" s="8">
        <v>6.4</v>
      </c>
    </row>
    <row r="41" spans="1:7" x14ac:dyDescent="0.3">
      <c r="A41" s="1">
        <f>'WL &amp; Q'!A41</f>
        <v>46233.541666666577</v>
      </c>
      <c r="B41" s="4">
        <f>IF('WL &amp; Q'!O41="","",'WL &amp; Q'!O41)</f>
        <v>0.39</v>
      </c>
      <c r="C41" s="6">
        <f t="shared" si="0"/>
        <v>7.776511751620137</v>
      </c>
      <c r="D41" s="4">
        <f>IF('WL &amp; Q'!Q41="","",'WL &amp; Q'!Q41)</f>
        <v>0</v>
      </c>
      <c r="E41" s="8">
        <v>4.8</v>
      </c>
      <c r="F41" s="8">
        <v>5.8</v>
      </c>
      <c r="G41" s="8">
        <v>6.4</v>
      </c>
    </row>
    <row r="42" spans="1:7" x14ac:dyDescent="0.3">
      <c r="A42" s="1">
        <f>'WL &amp; Q'!A42</f>
        <v>46233.583333333241</v>
      </c>
      <c r="B42" s="4">
        <f>IF('WL &amp; Q'!O42="","",'WL &amp; Q'!O42)</f>
        <v>0.37</v>
      </c>
      <c r="C42" s="6">
        <f t="shared" si="0"/>
        <v>7.2301477979253761</v>
      </c>
      <c r="D42" s="4">
        <f>IF('WL &amp; Q'!Q42="","",'WL &amp; Q'!Q42)</f>
        <v>0</v>
      </c>
      <c r="E42" s="8">
        <v>4.8</v>
      </c>
      <c r="F42" s="8">
        <v>5.8</v>
      </c>
      <c r="G42" s="8">
        <v>6.4</v>
      </c>
    </row>
    <row r="43" spans="1:7" x14ac:dyDescent="0.3">
      <c r="A43" s="1">
        <f>'WL &amp; Q'!A43</f>
        <v>46233.624999999905</v>
      </c>
      <c r="B43" s="4">
        <f>IF('WL &amp; Q'!O43="","",'WL &amp; Q'!O43)</f>
        <v>0.37</v>
      </c>
      <c r="C43" s="6">
        <f t="shared" si="0"/>
        <v>7.2301477979253761</v>
      </c>
      <c r="D43" s="4">
        <f>IF('WL &amp; Q'!Q43="","",'WL &amp; Q'!Q43)</f>
        <v>2.9</v>
      </c>
      <c r="E43" s="8">
        <v>4.8</v>
      </c>
      <c r="F43" s="8">
        <v>5.8</v>
      </c>
      <c r="G43" s="8">
        <v>6.4</v>
      </c>
    </row>
    <row r="44" spans="1:7" x14ac:dyDescent="0.3">
      <c r="A44" s="1">
        <f>'WL &amp; Q'!A44</f>
        <v>46233.66666666657</v>
      </c>
      <c r="B44" s="4">
        <f>IF('WL &amp; Q'!O44="","",'WL &amp; Q'!O44)</f>
        <v>0.38</v>
      </c>
      <c r="C44" s="6">
        <f t="shared" si="0"/>
        <v>7.5019500888173445</v>
      </c>
      <c r="D44" s="4">
        <f>IF('WL &amp; Q'!Q44="","",'WL &amp; Q'!Q44)</f>
        <v>0.6</v>
      </c>
      <c r="E44" s="8">
        <v>4.8</v>
      </c>
      <c r="F44" s="8">
        <v>5.8</v>
      </c>
      <c r="G44" s="8">
        <v>6.4</v>
      </c>
    </row>
    <row r="45" spans="1:7" x14ac:dyDescent="0.3">
      <c r="A45" s="1">
        <f>'WL &amp; Q'!A45</f>
        <v>46233.708333333234</v>
      </c>
      <c r="B45" s="4">
        <f>IF('WL &amp; Q'!O45="","",'WL &amp; Q'!O45)</f>
        <v>0.45</v>
      </c>
      <c r="C45" s="6">
        <f t="shared" si="0"/>
        <v>9.4794929078407559</v>
      </c>
      <c r="D45" s="4">
        <f>IF('WL &amp; Q'!Q45="","",'WL &amp; Q'!Q45)</f>
        <v>0</v>
      </c>
      <c r="E45" s="8">
        <v>4.8</v>
      </c>
      <c r="F45" s="8">
        <v>5.8</v>
      </c>
      <c r="G45" s="8">
        <v>6.4</v>
      </c>
    </row>
    <row r="46" spans="1:7" x14ac:dyDescent="0.3">
      <c r="A46" s="1">
        <f>'WL &amp; Q'!A46</f>
        <v>46233.749999999898</v>
      </c>
      <c r="B46" s="4">
        <f>IF('WL &amp; Q'!O46="","",'WL &amp; Q'!O46)</f>
        <v>0.42</v>
      </c>
      <c r="C46" s="6">
        <f t="shared" si="0"/>
        <v>8.6163235255389186</v>
      </c>
      <c r="D46" s="4">
        <f>IF('WL &amp; Q'!Q46="","",'WL &amp; Q'!Q46)</f>
        <v>0.7</v>
      </c>
      <c r="E46" s="8">
        <v>4.8</v>
      </c>
      <c r="F46" s="8">
        <v>5.8</v>
      </c>
      <c r="G46" s="8">
        <v>6.4</v>
      </c>
    </row>
    <row r="47" spans="1:7" x14ac:dyDescent="0.3">
      <c r="A47" s="1">
        <f>'WL &amp; Q'!A47</f>
        <v>46233.791666666562</v>
      </c>
      <c r="B47" s="4">
        <f>IF('WL &amp; Q'!O47="","",'WL &amp; Q'!O47)</f>
        <v>0.46</v>
      </c>
      <c r="C47" s="6">
        <f t="shared" si="0"/>
        <v>9.7722353304186864</v>
      </c>
      <c r="D47" s="4">
        <f>IF('WL &amp; Q'!Q47="","",'WL &amp; Q'!Q47)</f>
        <v>0</v>
      </c>
      <c r="E47" s="8">
        <v>4.8</v>
      </c>
      <c r="F47" s="8">
        <v>5.8</v>
      </c>
      <c r="G47" s="8">
        <v>6.4</v>
      </c>
    </row>
    <row r="48" spans="1:7" x14ac:dyDescent="0.3">
      <c r="A48" s="1">
        <f>'WL &amp; Q'!A48</f>
        <v>46233.833333333227</v>
      </c>
      <c r="B48" s="4">
        <f>IF('WL &amp; Q'!O48="","",'WL &amp; Q'!O48)</f>
        <v>0.39</v>
      </c>
      <c r="C48" s="6">
        <f t="shared" si="0"/>
        <v>7.776511751620137</v>
      </c>
      <c r="D48" s="4">
        <f>IF('WL &amp; Q'!Q48="","",'WL &amp; Q'!Q48)</f>
        <v>0</v>
      </c>
      <c r="E48" s="8">
        <v>4.8</v>
      </c>
      <c r="F48" s="8">
        <v>5.8</v>
      </c>
      <c r="G48" s="8">
        <v>6.4</v>
      </c>
    </row>
    <row r="49" spans="1:7" x14ac:dyDescent="0.3">
      <c r="A49" s="1">
        <f>'WL &amp; Q'!A49</f>
        <v>46233.874999999891</v>
      </c>
      <c r="B49" s="4">
        <f>IF('WL &amp; Q'!O49="","",'WL &amp; Q'!O49)</f>
        <v>0.38</v>
      </c>
      <c r="C49" s="6">
        <f t="shared" si="0"/>
        <v>7.5019500888173445</v>
      </c>
      <c r="D49" s="4">
        <f>IF('WL &amp; Q'!Q49="","",'WL &amp; Q'!Q49)</f>
        <v>0</v>
      </c>
      <c r="E49" s="8">
        <v>4.8</v>
      </c>
      <c r="F49" s="8">
        <v>5.8</v>
      </c>
      <c r="G49" s="8">
        <v>6.4</v>
      </c>
    </row>
    <row r="50" spans="1:7" x14ac:dyDescent="0.3">
      <c r="A50" s="1">
        <f>'WL &amp; Q'!A50</f>
        <v>46233.916666666555</v>
      </c>
      <c r="B50" s="4">
        <f>IF('WL &amp; Q'!O50="","",'WL &amp; Q'!O50)</f>
        <v>0.38</v>
      </c>
      <c r="C50" s="6">
        <f t="shared" si="0"/>
        <v>7.5019500888173445</v>
      </c>
      <c r="D50" s="4">
        <f>IF('WL &amp; Q'!Q50="","",'WL &amp; Q'!Q50)</f>
        <v>0</v>
      </c>
      <c r="E50" s="8">
        <v>4.8</v>
      </c>
      <c r="F50" s="8">
        <v>5.8</v>
      </c>
      <c r="G50" s="8">
        <v>6.4</v>
      </c>
    </row>
    <row r="51" spans="1:7" x14ac:dyDescent="0.3">
      <c r="A51" s="1">
        <f>'WL &amp; Q'!A51</f>
        <v>46233.958333333219</v>
      </c>
      <c r="B51" s="4">
        <f>IF('WL &amp; Q'!O51="","",'WL &amp; Q'!O51)</f>
        <v>0.38</v>
      </c>
      <c r="C51" s="6">
        <f t="shared" si="0"/>
        <v>7.5019500888173445</v>
      </c>
      <c r="D51" s="4">
        <f>IF('WL &amp; Q'!Q51="","",'WL &amp; Q'!Q51)</f>
        <v>0</v>
      </c>
      <c r="E51" s="8">
        <v>4.8</v>
      </c>
      <c r="F51" s="8">
        <v>5.8</v>
      </c>
      <c r="G51" s="8">
        <v>6.4</v>
      </c>
    </row>
    <row r="52" spans="1:7" x14ac:dyDescent="0.3">
      <c r="A52" s="1">
        <f>'WL &amp; Q'!A52</f>
        <v>46233.999999999884</v>
      </c>
      <c r="B52" s="4">
        <f>IF('WL &amp; Q'!O52="","",'WL &amp; Q'!O52)</f>
        <v>0.44</v>
      </c>
      <c r="C52" s="6">
        <f t="shared" si="0"/>
        <v>9.1892368004139104</v>
      </c>
      <c r="D52" s="4">
        <f>IF('WL &amp; Q'!Q52="","",'WL &amp; Q'!Q52)</f>
        <v>2.1</v>
      </c>
      <c r="E52" s="8">
        <v>4.8</v>
      </c>
      <c r="F52" s="8">
        <v>5.8</v>
      </c>
      <c r="G52" s="8">
        <v>6.4</v>
      </c>
    </row>
    <row r="53" spans="1:7" x14ac:dyDescent="0.3">
      <c r="A53" s="1">
        <f>'WL &amp; Q'!A53</f>
        <v>46234.041666666548</v>
      </c>
      <c r="B53" s="4">
        <f>IF('WL &amp; Q'!O53="","",'WL &amp; Q'!O53)</f>
        <v>0.49</v>
      </c>
      <c r="C53" s="6">
        <f t="shared" si="0"/>
        <v>10.665051697221354</v>
      </c>
      <c r="D53" s="4">
        <f>IF('WL &amp; Q'!Q53="","",'WL &amp; Q'!Q53)</f>
        <v>0</v>
      </c>
      <c r="E53" s="8">
        <v>4.8</v>
      </c>
      <c r="F53" s="8">
        <v>5.8</v>
      </c>
      <c r="G53" s="8">
        <v>6.4</v>
      </c>
    </row>
    <row r="54" spans="1:7" x14ac:dyDescent="0.3">
      <c r="A54" s="1">
        <f>'WL &amp; Q'!A54</f>
        <v>46234.083333333212</v>
      </c>
      <c r="B54" s="4">
        <f>IF('WL &amp; Q'!O54="","",'WL &amp; Q'!O54)</f>
        <v>0.51</v>
      </c>
      <c r="C54" s="6">
        <f t="shared" si="0"/>
        <v>11.272110541952166</v>
      </c>
      <c r="D54" s="4">
        <f>IF('WL &amp; Q'!Q54="","",'WL &amp; Q'!Q54)</f>
        <v>0</v>
      </c>
      <c r="E54" s="8">
        <v>4.8</v>
      </c>
      <c r="F54" s="8">
        <v>5.8</v>
      </c>
      <c r="G54" s="8">
        <v>6.4</v>
      </c>
    </row>
    <row r="55" spans="1:7" x14ac:dyDescent="0.3">
      <c r="A55" s="1">
        <f>'WL &amp; Q'!A55</f>
        <v>46234.124999999876</v>
      </c>
      <c r="B55" s="4">
        <f>IF('WL &amp; Q'!O55="","",'WL &amp; Q'!O55)</f>
        <v>0.45</v>
      </c>
      <c r="C55" s="6">
        <f t="shared" si="0"/>
        <v>9.4794929078407559</v>
      </c>
      <c r="D55" s="4">
        <f>IF('WL &amp; Q'!Q55="","",'WL &amp; Q'!Q55)</f>
        <v>0</v>
      </c>
      <c r="E55" s="8">
        <v>4.8</v>
      </c>
      <c r="F55" s="8">
        <v>5.8</v>
      </c>
      <c r="G55" s="8">
        <v>6.4</v>
      </c>
    </row>
    <row r="56" spans="1:7" x14ac:dyDescent="0.3">
      <c r="A56" s="1">
        <f>'WL &amp; Q'!A56</f>
        <v>46234.166666666541</v>
      </c>
      <c r="B56" s="4">
        <f>IF('WL &amp; Q'!O56="","",'WL &amp; Q'!O56)</f>
        <v>0.42</v>
      </c>
      <c r="C56" s="6">
        <f t="shared" si="0"/>
        <v>8.6163235255389186</v>
      </c>
      <c r="D56" s="4">
        <f>IF('WL &amp; Q'!Q56="","",'WL &amp; Q'!Q56)</f>
        <v>0.5</v>
      </c>
      <c r="E56" s="8">
        <v>4.8</v>
      </c>
      <c r="F56" s="8">
        <v>5.8</v>
      </c>
      <c r="G56" s="8">
        <v>6.4</v>
      </c>
    </row>
    <row r="57" spans="1:7" x14ac:dyDescent="0.3">
      <c r="A57" s="1">
        <f>'WL &amp; Q'!A57</f>
        <v>46234.208333333205</v>
      </c>
      <c r="B57" s="4">
        <f>IF('WL &amp; Q'!O57="","",'WL &amp; Q'!O57)</f>
        <v>0.43</v>
      </c>
      <c r="C57" s="6">
        <f t="shared" si="0"/>
        <v>8.9015016823120501</v>
      </c>
      <c r="D57" s="4">
        <f>IF('WL &amp; Q'!Q57="","",'WL &amp; Q'!Q57)</f>
        <v>4.9000000000000004</v>
      </c>
      <c r="E57" s="8">
        <v>4.8</v>
      </c>
      <c r="F57" s="8">
        <v>5.8</v>
      </c>
      <c r="G57" s="8">
        <v>6.4</v>
      </c>
    </row>
    <row r="58" spans="1:7" x14ac:dyDescent="0.3">
      <c r="A58" s="1">
        <f>'WL &amp; Q'!A58</f>
        <v>46234.249999999869</v>
      </c>
      <c r="B58" s="4">
        <f>IF('WL &amp; Q'!O58="","",'WL &amp; Q'!O58)</f>
        <v>0.45</v>
      </c>
      <c r="C58" s="6">
        <f t="shared" si="0"/>
        <v>9.4794929078407559</v>
      </c>
      <c r="D58" s="4">
        <f>IF('WL &amp; Q'!Q58="","",'WL &amp; Q'!Q58)</f>
        <v>0</v>
      </c>
      <c r="E58" s="8">
        <v>4.8</v>
      </c>
      <c r="F58" s="8">
        <v>5.8</v>
      </c>
      <c r="G58" s="8">
        <v>6.4</v>
      </c>
    </row>
    <row r="59" spans="1:7" x14ac:dyDescent="0.3">
      <c r="A59" s="1">
        <f>'WL &amp; Q'!A59</f>
        <v>46234.291666666533</v>
      </c>
      <c r="B59" s="4">
        <f>IF('WL &amp; Q'!O59="","",'WL &amp; Q'!O59)</f>
        <v>0.5</v>
      </c>
      <c r="C59" s="6">
        <f t="shared" si="0"/>
        <v>10.96741611661685</v>
      </c>
      <c r="D59" s="4">
        <f>IF('WL &amp; Q'!Q59="","",'WL &amp; Q'!Q59)</f>
        <v>0</v>
      </c>
      <c r="E59" s="8">
        <v>4.8</v>
      </c>
      <c r="F59" s="8">
        <v>5.8</v>
      </c>
      <c r="G59" s="8">
        <v>6.4</v>
      </c>
    </row>
    <row r="60" spans="1:7" x14ac:dyDescent="0.3">
      <c r="A60" s="1">
        <f>'WL &amp; Q'!A60</f>
        <v>46234.333333333198</v>
      </c>
      <c r="B60" s="4">
        <f>IF('WL &amp; Q'!O60="","",'WL &amp; Q'!O60)</f>
        <v>0.52</v>
      </c>
      <c r="C60" s="6">
        <f t="shared" si="0"/>
        <v>11.579106711407402</v>
      </c>
      <c r="D60" s="4">
        <f>IF('WL &amp; Q'!Q60="","",'WL &amp; Q'!Q60)</f>
        <v>0</v>
      </c>
      <c r="E60" s="8">
        <v>4.8</v>
      </c>
      <c r="F60" s="8">
        <v>5.8</v>
      </c>
      <c r="G60" s="8">
        <v>6.4</v>
      </c>
    </row>
    <row r="61" spans="1:7" x14ac:dyDescent="0.3">
      <c r="A61" s="1">
        <f>'WL &amp; Q'!A61</f>
        <v>46234.374999999862</v>
      </c>
      <c r="B61" s="4">
        <f>IF('WL &amp; Q'!O61="","",'WL &amp; Q'!O61)</f>
        <v>0.47</v>
      </c>
      <c r="C61" s="6">
        <f t="shared" si="0"/>
        <v>10.067430617655603</v>
      </c>
      <c r="D61" s="4">
        <f>IF('WL &amp; Q'!Q61="","",'WL &amp; Q'!Q61)</f>
        <v>0</v>
      </c>
      <c r="E61" s="8">
        <v>4.8</v>
      </c>
      <c r="F61" s="8">
        <v>5.8</v>
      </c>
      <c r="G61" s="8">
        <v>6.4</v>
      </c>
    </row>
    <row r="62" spans="1:7" x14ac:dyDescent="0.3">
      <c r="A62" s="1">
        <f>'WL &amp; Q'!A62</f>
        <v>46234.416666666526</v>
      </c>
      <c r="B62" s="4">
        <f>IF('WL &amp; Q'!O62="","",'WL &amp; Q'!O62)</f>
        <v>0.43</v>
      </c>
      <c r="C62" s="6">
        <f t="shared" si="0"/>
        <v>8.9015016823120501</v>
      </c>
      <c r="D62" s="4">
        <f>IF('WL &amp; Q'!Q62="","",'WL &amp; Q'!Q62)</f>
        <v>0</v>
      </c>
      <c r="E62" s="8">
        <v>4.8</v>
      </c>
      <c r="F62" s="8">
        <v>5.8</v>
      </c>
      <c r="G62" s="8">
        <v>6.4</v>
      </c>
    </row>
    <row r="63" spans="1:7" x14ac:dyDescent="0.3">
      <c r="A63" s="1">
        <f>'WL &amp; Q'!A63</f>
        <v>46234.45833333319</v>
      </c>
      <c r="B63" s="4">
        <f>IF('WL &amp; Q'!O63="","",'WL &amp; Q'!O63)</f>
        <v>0.47</v>
      </c>
      <c r="C63" s="6">
        <f t="shared" si="0"/>
        <v>10.067430617655603</v>
      </c>
      <c r="D63" s="4">
        <f>IF('WL &amp; Q'!Q63="","",'WL &amp; Q'!Q63)</f>
        <v>0</v>
      </c>
      <c r="E63" s="8">
        <v>4.8</v>
      </c>
      <c r="F63" s="8">
        <v>5.8</v>
      </c>
      <c r="G63" s="8">
        <v>6.4</v>
      </c>
    </row>
    <row r="64" spans="1:7" x14ac:dyDescent="0.3">
      <c r="A64" s="1">
        <f>'WL &amp; Q'!A64</f>
        <v>46234.499999999854</v>
      </c>
      <c r="B64" s="4">
        <f>IF('WL &amp; Q'!O64="","",'WL &amp; Q'!O64)</f>
        <v>0.5</v>
      </c>
      <c r="C64" s="6">
        <f t="shared" si="0"/>
        <v>10.96741611661685</v>
      </c>
      <c r="D64" s="4">
        <f>IF('WL &amp; Q'!Q64="","",'WL &amp; Q'!Q64)</f>
        <v>0</v>
      </c>
      <c r="E64" s="8">
        <v>4.8</v>
      </c>
      <c r="F64" s="8">
        <v>5.8</v>
      </c>
      <c r="G64" s="8">
        <v>6.4</v>
      </c>
    </row>
    <row r="65" spans="1:7" x14ac:dyDescent="0.3">
      <c r="A65" s="1">
        <f>'WL &amp; Q'!A65</f>
        <v>46234.541666666519</v>
      </c>
      <c r="B65" s="4">
        <f>IF('WL &amp; Q'!O65="","",'WL &amp; Q'!O65)</f>
        <v>0.51</v>
      </c>
      <c r="C65" s="6">
        <f t="shared" si="0"/>
        <v>11.272110541952166</v>
      </c>
      <c r="D65" s="4">
        <f>IF('WL &amp; Q'!Q65="","",'WL &amp; Q'!Q65)</f>
        <v>0</v>
      </c>
      <c r="E65" s="8">
        <v>4.8</v>
      </c>
      <c r="F65" s="8">
        <v>5.8</v>
      </c>
      <c r="G65" s="8">
        <v>6.4</v>
      </c>
    </row>
    <row r="66" spans="1:7" x14ac:dyDescent="0.3">
      <c r="A66" s="1">
        <f>'WL &amp; Q'!A66</f>
        <v>46234.583333333183</v>
      </c>
      <c r="B66" s="4">
        <f>IF('WL &amp; Q'!O66="","",'WL &amp; Q'!O66)</f>
        <v>0.54</v>
      </c>
      <c r="C66" s="6">
        <f t="shared" si="0"/>
        <v>12.199895600830567</v>
      </c>
      <c r="D66" s="4">
        <f>IF('WL &amp; Q'!Q66="","",'WL &amp; Q'!Q66)</f>
        <v>0</v>
      </c>
      <c r="E66" s="8">
        <v>4.8</v>
      </c>
      <c r="F66" s="8">
        <v>5.8</v>
      </c>
      <c r="G66" s="8">
        <v>6.4</v>
      </c>
    </row>
    <row r="67" spans="1:7" x14ac:dyDescent="0.3">
      <c r="A67" s="1">
        <f>'WL &amp; Q'!A67</f>
        <v>46234.624999999847</v>
      </c>
      <c r="B67" s="4">
        <f>IF('WL &amp; Q'!O67="","",'WL &amp; Q'!O67)</f>
        <v>0.53</v>
      </c>
      <c r="C67" s="6">
        <f t="shared" si="0"/>
        <v>11.888377244988892</v>
      </c>
      <c r="D67" s="4">
        <f>IF('WL &amp; Q'!Q67="","",'WL &amp; Q'!Q67)</f>
        <v>2.8</v>
      </c>
      <c r="E67" s="8">
        <v>4.8</v>
      </c>
      <c r="F67" s="8">
        <v>5.8</v>
      </c>
      <c r="G67" s="8">
        <v>6.4</v>
      </c>
    </row>
    <row r="68" spans="1:7" x14ac:dyDescent="0.3">
      <c r="A68" s="1">
        <f>'WL &amp; Q'!A68</f>
        <v>46234.666666666511</v>
      </c>
      <c r="B68" s="4">
        <f>IF('WL &amp; Q'!O68="","",'WL &amp; Q'!O68)</f>
        <v>0.51</v>
      </c>
      <c r="C68" s="6">
        <f t="shared" si="0"/>
        <v>11.272110541952166</v>
      </c>
      <c r="D68" s="4">
        <f>IF('WL &amp; Q'!Q68="","",'WL &amp; Q'!Q68)</f>
        <v>0</v>
      </c>
      <c r="E68" s="8">
        <v>4.8</v>
      </c>
      <c r="F68" s="8">
        <v>5.8</v>
      </c>
      <c r="G68" s="8">
        <v>6.4</v>
      </c>
    </row>
    <row r="69" spans="1:7" x14ac:dyDescent="0.3">
      <c r="A69" s="1">
        <f>'WL &amp; Q'!A69</f>
        <v>46234.708333333176</v>
      </c>
      <c r="B69" s="4">
        <f>IF('WL &amp; Q'!O69="","",'WL &amp; Q'!O69)</f>
        <v>0.45</v>
      </c>
      <c r="C69" s="6">
        <f t="shared" si="0"/>
        <v>9.4794929078407559</v>
      </c>
      <c r="D69" s="4">
        <f>IF('WL &amp; Q'!Q69="","",'WL &amp; Q'!Q69)</f>
        <v>1</v>
      </c>
      <c r="E69" s="8">
        <v>4.8</v>
      </c>
      <c r="F69" s="8">
        <v>5.8</v>
      </c>
      <c r="G69" s="8">
        <v>6.4</v>
      </c>
    </row>
    <row r="70" spans="1:7" x14ac:dyDescent="0.3">
      <c r="A70" s="1">
        <f>'WL &amp; Q'!A70</f>
        <v>46234.74999999984</v>
      </c>
      <c r="B70" s="4">
        <f>IF('WL &amp; Q'!O70="","",'WL &amp; Q'!O70)</f>
        <v>0.47</v>
      </c>
      <c r="C70" s="6">
        <f t="shared" ref="C70:C133" si="1">IF(B70="","",28.62*(B70)^1.3838)</f>
        <v>10.067430617655603</v>
      </c>
      <c r="D70" s="4">
        <f>IF('WL &amp; Q'!Q70="","",'WL &amp; Q'!Q70)</f>
        <v>0</v>
      </c>
      <c r="E70" s="8">
        <v>4.8</v>
      </c>
      <c r="F70" s="8">
        <v>5.8</v>
      </c>
      <c r="G70" s="8">
        <v>6.4</v>
      </c>
    </row>
    <row r="71" spans="1:7" x14ac:dyDescent="0.3">
      <c r="A71" s="1">
        <f>'WL &amp; Q'!A71</f>
        <v>46234.791666666504</v>
      </c>
      <c r="B71" s="4">
        <f>IF('WL &amp; Q'!O71="","",'WL &amp; Q'!O71)</f>
        <v>0.51</v>
      </c>
      <c r="C71" s="6">
        <f t="shared" si="1"/>
        <v>11.272110541952166</v>
      </c>
      <c r="D71" s="4">
        <f>IF('WL &amp; Q'!Q71="","",'WL &amp; Q'!Q71)</f>
        <v>2.8</v>
      </c>
      <c r="E71" s="8">
        <v>4.8</v>
      </c>
      <c r="F71" s="8">
        <v>5.8</v>
      </c>
      <c r="G71" s="8">
        <v>6.4</v>
      </c>
    </row>
    <row r="72" spans="1:7" x14ac:dyDescent="0.3">
      <c r="A72" s="1">
        <f>'WL &amp; Q'!A72</f>
        <v>46234.833333333168</v>
      </c>
      <c r="B72" s="4">
        <f>IF('WL &amp; Q'!O72="","",'WL &amp; Q'!O72)</f>
        <v>0.51</v>
      </c>
      <c r="C72" s="6">
        <f t="shared" si="1"/>
        <v>11.272110541952166</v>
      </c>
      <c r="D72" s="4">
        <f>IF('WL &amp; Q'!Q72="","",'WL &amp; Q'!Q72)</f>
        <v>0</v>
      </c>
      <c r="E72" s="8">
        <v>4.8</v>
      </c>
      <c r="F72" s="8">
        <v>5.8</v>
      </c>
      <c r="G72" s="8">
        <v>6.4</v>
      </c>
    </row>
    <row r="73" spans="1:7" x14ac:dyDescent="0.3">
      <c r="A73" s="1">
        <f>'WL &amp; Q'!A73</f>
        <v>46234.874999999833</v>
      </c>
      <c r="B73" s="4">
        <f>IF('WL &amp; Q'!O73="","",'WL &amp; Q'!O73)</f>
        <v>0.51</v>
      </c>
      <c r="C73" s="6">
        <f t="shared" si="1"/>
        <v>11.272110541952166</v>
      </c>
      <c r="D73" s="4">
        <f>IF('WL &amp; Q'!Q73="","",'WL &amp; Q'!Q73)</f>
        <v>1.5</v>
      </c>
      <c r="E73" s="8">
        <v>4.8</v>
      </c>
      <c r="F73" s="8">
        <v>5.8</v>
      </c>
      <c r="G73" s="8">
        <v>6.4</v>
      </c>
    </row>
    <row r="74" spans="1:7" x14ac:dyDescent="0.3">
      <c r="A74" s="1">
        <f>'WL &amp; Q'!A74</f>
        <v>46234.916666666497</v>
      </c>
      <c r="B74" s="4">
        <f>IF('WL &amp; Q'!O74="","",'WL &amp; Q'!O74)</f>
        <v>0.51</v>
      </c>
      <c r="C74" s="6">
        <f t="shared" si="1"/>
        <v>11.272110541952166</v>
      </c>
      <c r="D74" s="4">
        <f>IF('WL &amp; Q'!Q74="","",'WL &amp; Q'!Q74)</f>
        <v>4.5</v>
      </c>
      <c r="E74" s="8">
        <v>4.8</v>
      </c>
      <c r="F74" s="8">
        <v>5.8</v>
      </c>
      <c r="G74" s="8">
        <v>6.4</v>
      </c>
    </row>
    <row r="75" spans="1:7" x14ac:dyDescent="0.3">
      <c r="A75" s="1">
        <f>'WL &amp; Q'!A75</f>
        <v>46234.958333333161</v>
      </c>
      <c r="B75" s="4">
        <f>IF('WL &amp; Q'!O75="","",'WL &amp; Q'!O75)</f>
        <v>0.48</v>
      </c>
      <c r="C75" s="6">
        <f t="shared" si="1"/>
        <v>10.365046474324068</v>
      </c>
      <c r="D75" s="4">
        <f>IF('WL &amp; Q'!Q75="","",'WL &amp; Q'!Q75)</f>
        <v>11.1</v>
      </c>
      <c r="E75" s="8">
        <v>4.8</v>
      </c>
      <c r="F75" s="8">
        <v>5.8</v>
      </c>
      <c r="G75" s="8">
        <v>6.4</v>
      </c>
    </row>
    <row r="76" spans="1:7" x14ac:dyDescent="0.3">
      <c r="A76" s="1">
        <f>'WL &amp; Q'!A76</f>
        <v>46234.999999999825</v>
      </c>
      <c r="B76" s="4">
        <f>IF('WL &amp; Q'!O76="","",'WL &amp; Q'!O76)</f>
        <v>0.5</v>
      </c>
      <c r="C76" s="6">
        <f t="shared" si="1"/>
        <v>10.96741611661685</v>
      </c>
      <c r="D76" s="4">
        <f>IF('WL &amp; Q'!Q76="","",'WL &amp; Q'!Q76)</f>
        <v>2.2999999999999998</v>
      </c>
      <c r="E76" s="8">
        <v>4.8</v>
      </c>
      <c r="F76" s="8">
        <v>5.8</v>
      </c>
      <c r="G76" s="8">
        <v>6.4</v>
      </c>
    </row>
    <row r="77" spans="1:7" x14ac:dyDescent="0.3">
      <c r="A77" s="1">
        <f>'WL &amp; Q'!A77</f>
        <v>46235.04166666649</v>
      </c>
      <c r="B77" s="4">
        <f>IF('WL &amp; Q'!O77="","",'WL &amp; Q'!O77)</f>
        <v>0.81</v>
      </c>
      <c r="C77" s="6">
        <f t="shared" si="1"/>
        <v>21.381156804678113</v>
      </c>
      <c r="D77" s="4">
        <f>IF('WL &amp; Q'!Q77="","",'WL &amp; Q'!Q77)</f>
        <v>29.8</v>
      </c>
      <c r="E77" s="8">
        <v>4.8</v>
      </c>
      <c r="F77" s="8">
        <v>5.8</v>
      </c>
      <c r="G77" s="8">
        <v>6.4</v>
      </c>
    </row>
    <row r="78" spans="1:7" x14ac:dyDescent="0.3">
      <c r="A78" s="1">
        <f>'WL &amp; Q'!A78</f>
        <v>46235.083333333154</v>
      </c>
      <c r="B78" s="4">
        <f>IF('WL &amp; Q'!O78="","",'WL &amp; Q'!O78)</f>
        <v>1.1100000000000001</v>
      </c>
      <c r="C78" s="6">
        <f t="shared" si="1"/>
        <v>33.066449674364797</v>
      </c>
      <c r="D78" s="4">
        <f>IF('WL &amp; Q'!Q78="","",'WL &amp; Q'!Q78)</f>
        <v>1.1000000000000001</v>
      </c>
      <c r="E78" s="8">
        <v>4.8</v>
      </c>
      <c r="F78" s="8">
        <v>5.8</v>
      </c>
      <c r="G78" s="8">
        <v>6.4</v>
      </c>
    </row>
    <row r="79" spans="1:7" x14ac:dyDescent="0.3">
      <c r="A79" s="1">
        <f>'WL &amp; Q'!A79</f>
        <v>46235.124999999818</v>
      </c>
      <c r="B79" s="4">
        <f>IF('WL &amp; Q'!O79="","",'WL &amp; Q'!O79)</f>
        <v>1.48</v>
      </c>
      <c r="C79" s="6">
        <f t="shared" si="1"/>
        <v>49.23543634677646</v>
      </c>
      <c r="D79" s="4">
        <f>IF('WL &amp; Q'!Q79="","",'WL &amp; Q'!Q79)</f>
        <v>12.7</v>
      </c>
      <c r="E79" s="8">
        <v>4.8</v>
      </c>
      <c r="F79" s="8">
        <v>5.8</v>
      </c>
      <c r="G79" s="8">
        <v>6.4</v>
      </c>
    </row>
    <row r="80" spans="1:7" x14ac:dyDescent="0.3">
      <c r="A80" s="1">
        <f>'WL &amp; Q'!A80</f>
        <v>46235.166666666482</v>
      </c>
      <c r="B80" s="4">
        <f>IF('WL &amp; Q'!O80="","",'WL &amp; Q'!O80)</f>
        <v>3.93</v>
      </c>
      <c r="C80" s="6">
        <f t="shared" si="1"/>
        <v>190.19103447838407</v>
      </c>
      <c r="D80" s="4">
        <f>IF('WL &amp; Q'!Q80="","",'WL &amp; Q'!Q80)</f>
        <v>23.7</v>
      </c>
      <c r="E80" s="8">
        <v>4.8</v>
      </c>
      <c r="F80" s="8">
        <v>5.8</v>
      </c>
      <c r="G80" s="8">
        <v>6.4</v>
      </c>
    </row>
    <row r="81" spans="1:7" x14ac:dyDescent="0.3">
      <c r="A81" s="1">
        <f>'WL &amp; Q'!A81</f>
        <v>46235.208333333147</v>
      </c>
      <c r="B81" s="4">
        <f>IF('WL &amp; Q'!O81="","",'WL &amp; Q'!O81)</f>
        <v>5.14</v>
      </c>
      <c r="C81" s="6">
        <f t="shared" si="1"/>
        <v>275.74039506714252</v>
      </c>
      <c r="D81" s="4">
        <f>IF('WL &amp; Q'!Q81="","",'WL &amp; Q'!Q81)</f>
        <v>6.9</v>
      </c>
      <c r="E81" s="8">
        <v>4.8</v>
      </c>
      <c r="F81" s="8">
        <v>5.8</v>
      </c>
      <c r="G81" s="8">
        <v>6.4</v>
      </c>
    </row>
    <row r="82" spans="1:7" x14ac:dyDescent="0.3">
      <c r="A82" s="1">
        <f>'WL &amp; Q'!A82</f>
        <v>46235.249999999811</v>
      </c>
      <c r="B82" s="4">
        <f>IF('WL &amp; Q'!O82="","",'WL &amp; Q'!O82)</f>
        <v>5.75</v>
      </c>
      <c r="C82" s="6">
        <f t="shared" si="1"/>
        <v>322.03123154391454</v>
      </c>
      <c r="D82" s="4">
        <f>IF('WL &amp; Q'!Q82="","",'WL &amp; Q'!Q82)</f>
        <v>1.3</v>
      </c>
      <c r="E82" s="8">
        <v>4.8</v>
      </c>
      <c r="F82" s="8">
        <v>5.8</v>
      </c>
      <c r="G82" s="8">
        <v>6.4</v>
      </c>
    </row>
    <row r="83" spans="1:7" x14ac:dyDescent="0.3">
      <c r="A83" s="1">
        <f>'WL &amp; Q'!A83</f>
        <v>46235.291666666475</v>
      </c>
      <c r="B83" s="4">
        <f>IF('WL &amp; Q'!O83="","",'WL &amp; Q'!O83)</f>
        <v>5.22</v>
      </c>
      <c r="C83" s="6">
        <f t="shared" si="1"/>
        <v>281.69690244035218</v>
      </c>
      <c r="D83" s="4">
        <f>IF('WL &amp; Q'!Q83="","",'WL &amp; Q'!Q83)</f>
        <v>3.1</v>
      </c>
      <c r="E83" s="8">
        <v>4.8</v>
      </c>
      <c r="F83" s="8">
        <v>5.8</v>
      </c>
      <c r="G83" s="8">
        <v>6.4</v>
      </c>
    </row>
    <row r="84" spans="1:7" x14ac:dyDescent="0.3">
      <c r="A84" s="1">
        <f>'WL &amp; Q'!A84</f>
        <v>46235.333333333139</v>
      </c>
      <c r="B84" s="4">
        <f>IF('WL &amp; Q'!O84="","",'WL &amp; Q'!O84)</f>
        <v>4.8</v>
      </c>
      <c r="C84" s="6">
        <f t="shared" si="1"/>
        <v>250.82524995371017</v>
      </c>
      <c r="D84" s="4">
        <f>IF('WL &amp; Q'!Q84="","",'WL &amp; Q'!Q84)</f>
        <v>0</v>
      </c>
      <c r="E84" s="8">
        <v>4.8</v>
      </c>
      <c r="F84" s="8">
        <v>5.8</v>
      </c>
      <c r="G84" s="8">
        <v>6.4</v>
      </c>
    </row>
    <row r="85" spans="1:7" x14ac:dyDescent="0.3">
      <c r="A85" s="1">
        <f>'WL &amp; Q'!A85</f>
        <v>46235.374999999804</v>
      </c>
      <c r="B85" s="4">
        <f>IF('WL &amp; Q'!O85="","",'WL &amp; Q'!O85)</f>
        <v>3.29</v>
      </c>
      <c r="C85" s="6">
        <f t="shared" si="1"/>
        <v>148.71860841174521</v>
      </c>
      <c r="D85" s="4">
        <f>IF('WL &amp; Q'!Q85="","",'WL &amp; Q'!Q85)</f>
        <v>0</v>
      </c>
      <c r="E85" s="8">
        <v>4.8</v>
      </c>
      <c r="F85" s="8">
        <v>5.8</v>
      </c>
      <c r="G85" s="8">
        <v>6.4</v>
      </c>
    </row>
    <row r="86" spans="1:7" x14ac:dyDescent="0.3">
      <c r="A86" s="1">
        <f>'WL &amp; Q'!A86</f>
        <v>46235.416666666468</v>
      </c>
      <c r="B86" s="4">
        <f>IF('WL &amp; Q'!O86="","",'WL &amp; Q'!O86)</f>
        <v>2.56</v>
      </c>
      <c r="C86" s="6">
        <f t="shared" si="1"/>
        <v>105.09742934281235</v>
      </c>
      <c r="D86" s="4">
        <f>IF('WL &amp; Q'!Q86="","",'WL &amp; Q'!Q86)</f>
        <v>0</v>
      </c>
      <c r="E86" s="8">
        <v>4.8</v>
      </c>
      <c r="F86" s="8">
        <v>5.8</v>
      </c>
      <c r="G86" s="8">
        <v>6.4</v>
      </c>
    </row>
    <row r="87" spans="1:7" x14ac:dyDescent="0.3">
      <c r="A87" s="1">
        <f>'WL &amp; Q'!A87</f>
        <v>46235.458333333132</v>
      </c>
      <c r="B87" s="4">
        <f>IF('WL &amp; Q'!O87="","",'WL &amp; Q'!O87)</f>
        <v>2.13</v>
      </c>
      <c r="C87" s="6">
        <f t="shared" si="1"/>
        <v>81.485685734910632</v>
      </c>
      <c r="D87" s="4">
        <f>IF('WL &amp; Q'!Q87="","",'WL &amp; Q'!Q87)</f>
        <v>0</v>
      </c>
      <c r="E87" s="8">
        <v>4.8</v>
      </c>
      <c r="F87" s="8">
        <v>5.8</v>
      </c>
      <c r="G87" s="8">
        <v>6.4</v>
      </c>
    </row>
    <row r="88" spans="1:7" x14ac:dyDescent="0.3">
      <c r="A88" s="1">
        <f>'WL &amp; Q'!A88</f>
        <v>46235.499999999796</v>
      </c>
      <c r="B88" s="4">
        <f>IF('WL &amp; Q'!O88="","",'WL &amp; Q'!O88)</f>
        <v>1.79</v>
      </c>
      <c r="C88" s="6">
        <f t="shared" si="1"/>
        <v>64.057156100172492</v>
      </c>
      <c r="D88" s="4">
        <f>IF('WL &amp; Q'!Q88="","",'WL &amp; Q'!Q88)</f>
        <v>0</v>
      </c>
      <c r="E88" s="8">
        <v>4.8</v>
      </c>
      <c r="F88" s="8">
        <v>5.8</v>
      </c>
      <c r="G88" s="8">
        <v>6.4</v>
      </c>
    </row>
    <row r="89" spans="1:7" x14ac:dyDescent="0.3">
      <c r="A89" s="1">
        <f>'WL &amp; Q'!A89</f>
        <v>46235.541666666461</v>
      </c>
      <c r="B89" s="4">
        <f>IF('WL &amp; Q'!O89="","",'WL &amp; Q'!O89)</f>
        <v>1.59</v>
      </c>
      <c r="C89" s="6">
        <f t="shared" si="1"/>
        <v>54.370455330676243</v>
      </c>
      <c r="D89" s="4">
        <f>IF('WL &amp; Q'!Q89="","",'WL &amp; Q'!Q89)</f>
        <v>0.5</v>
      </c>
      <c r="E89" s="8">
        <v>4.8</v>
      </c>
      <c r="F89" s="8">
        <v>5.8</v>
      </c>
      <c r="G89" s="8">
        <v>6.4</v>
      </c>
    </row>
    <row r="90" spans="1:7" x14ac:dyDescent="0.3">
      <c r="A90" s="1">
        <f>'WL &amp; Q'!A90</f>
        <v>46235.583333333125</v>
      </c>
      <c r="B90" s="4">
        <f>IF('WL &amp; Q'!O90="","",'WL &amp; Q'!O90)</f>
        <v>1.42</v>
      </c>
      <c r="C90" s="6">
        <f t="shared" si="1"/>
        <v>46.494998750979164</v>
      </c>
      <c r="D90" s="4">
        <f>IF('WL &amp; Q'!Q90="","",'WL &amp; Q'!Q90)</f>
        <v>1.6</v>
      </c>
      <c r="E90" s="8">
        <v>4.8</v>
      </c>
      <c r="F90" s="8">
        <v>5.8</v>
      </c>
      <c r="G90" s="8">
        <v>6.4</v>
      </c>
    </row>
    <row r="91" spans="1:7" x14ac:dyDescent="0.3">
      <c r="A91" s="1">
        <f>'WL &amp; Q'!A91</f>
        <v>46235.624999999789</v>
      </c>
      <c r="B91" s="4">
        <f>IF('WL &amp; Q'!O91="","",'WL &amp; Q'!O91)</f>
        <v>1.32</v>
      </c>
      <c r="C91" s="6">
        <f t="shared" si="1"/>
        <v>42.026172175055144</v>
      </c>
      <c r="D91" s="4">
        <f>IF('WL &amp; Q'!Q91="","",'WL &amp; Q'!Q91)</f>
        <v>0</v>
      </c>
      <c r="E91" s="8">
        <v>4.8</v>
      </c>
      <c r="F91" s="8">
        <v>5.8</v>
      </c>
      <c r="G91" s="8">
        <v>6.4</v>
      </c>
    </row>
    <row r="92" spans="1:7" x14ac:dyDescent="0.3">
      <c r="A92" s="1">
        <f>'WL &amp; Q'!A92</f>
        <v>46235.666666666453</v>
      </c>
      <c r="B92" s="4">
        <f>IF('WL &amp; Q'!O92="","",'WL &amp; Q'!O92)</f>
        <v>1.25</v>
      </c>
      <c r="C92" s="6">
        <f t="shared" si="1"/>
        <v>38.97388554502605</v>
      </c>
      <c r="D92" s="4">
        <f>IF('WL &amp; Q'!Q92="","",'WL &amp; Q'!Q92)</f>
        <v>0</v>
      </c>
      <c r="E92" s="8">
        <v>4.8</v>
      </c>
      <c r="F92" s="8">
        <v>5.8</v>
      </c>
      <c r="G92" s="8">
        <v>6.4</v>
      </c>
    </row>
    <row r="93" spans="1:7" x14ac:dyDescent="0.3">
      <c r="A93" s="1">
        <f>'WL &amp; Q'!A93</f>
        <v>46235.708333333117</v>
      </c>
      <c r="B93" s="4">
        <f>IF('WL &amp; Q'!O93="","",'WL &amp; Q'!O93)</f>
        <v>1.2</v>
      </c>
      <c r="C93" s="6">
        <f t="shared" si="1"/>
        <v>36.833300630139185</v>
      </c>
      <c r="D93" s="4">
        <f>IF('WL &amp; Q'!Q93="","",'WL &amp; Q'!Q93)</f>
        <v>0</v>
      </c>
      <c r="E93" s="8">
        <v>4.8</v>
      </c>
      <c r="F93" s="8">
        <v>5.8</v>
      </c>
      <c r="G93" s="8">
        <v>6.4</v>
      </c>
    </row>
    <row r="94" spans="1:7" x14ac:dyDescent="0.3">
      <c r="A94" s="1">
        <f>'WL &amp; Q'!A94</f>
        <v>46235.749999999782</v>
      </c>
      <c r="B94" s="4">
        <f>IF('WL &amp; Q'!O94="","",'WL &amp; Q'!O94)</f>
        <v>1.1599999999999999</v>
      </c>
      <c r="C94" s="6">
        <f t="shared" si="1"/>
        <v>35.145246598678284</v>
      </c>
      <c r="D94" s="4">
        <f>IF('WL &amp; Q'!Q94="","",'WL &amp; Q'!Q94)</f>
        <v>0</v>
      </c>
      <c r="E94" s="8">
        <v>4.8</v>
      </c>
      <c r="F94" s="8">
        <v>5.8</v>
      </c>
      <c r="G94" s="8">
        <v>6.4</v>
      </c>
    </row>
    <row r="95" spans="1:7" x14ac:dyDescent="0.3">
      <c r="A95" s="1">
        <f>'WL &amp; Q'!A95</f>
        <v>46235.791666666446</v>
      </c>
      <c r="B95" s="4">
        <f>IF('WL &amp; Q'!O95="","",'WL &amp; Q'!O95)</f>
        <v>1.1299999999999999</v>
      </c>
      <c r="C95" s="6">
        <f t="shared" si="1"/>
        <v>33.89374670162605</v>
      </c>
      <c r="D95" s="4">
        <f>IF('WL &amp; Q'!Q95="","",'WL &amp; Q'!Q95)</f>
        <v>0.5</v>
      </c>
      <c r="E95" s="8">
        <v>4.8</v>
      </c>
      <c r="F95" s="8">
        <v>5.8</v>
      </c>
      <c r="G95" s="8">
        <v>6.4</v>
      </c>
    </row>
    <row r="96" spans="1:7" x14ac:dyDescent="0.3">
      <c r="A96" s="1">
        <f>'WL &amp; Q'!A96</f>
        <v>46235.83333333311</v>
      </c>
      <c r="B96" s="4">
        <f>IF('WL &amp; Q'!O96="","",'WL &amp; Q'!O96)</f>
        <v>1.08</v>
      </c>
      <c r="C96" s="6">
        <f t="shared" si="1"/>
        <v>31.836214508789663</v>
      </c>
      <c r="D96" s="4">
        <f>IF('WL &amp; Q'!Q96="","",'WL &amp; Q'!Q96)</f>
        <v>0</v>
      </c>
      <c r="E96" s="8">
        <v>4.8</v>
      </c>
      <c r="F96" s="8">
        <v>5.8</v>
      </c>
      <c r="G96" s="8">
        <v>6.4</v>
      </c>
    </row>
    <row r="97" spans="1:7" x14ac:dyDescent="0.3">
      <c r="A97" s="1">
        <f>'WL &amp; Q'!A97</f>
        <v>46235.874999999774</v>
      </c>
      <c r="B97" s="4">
        <f>IF('WL &amp; Q'!O97="","",'WL &amp; Q'!O97)</f>
        <v>1</v>
      </c>
      <c r="C97" s="6">
        <f t="shared" si="1"/>
        <v>28.62</v>
      </c>
      <c r="D97" s="4">
        <f>IF('WL &amp; Q'!Q97="","",'WL &amp; Q'!Q97)</f>
        <v>0</v>
      </c>
      <c r="E97" s="8">
        <v>4.8</v>
      </c>
      <c r="F97" s="8">
        <v>5.8</v>
      </c>
      <c r="G97" s="8">
        <v>6.4</v>
      </c>
    </row>
    <row r="98" spans="1:7" x14ac:dyDescent="0.3">
      <c r="A98" s="1">
        <f>'WL &amp; Q'!A98</f>
        <v>46235.916666666439</v>
      </c>
      <c r="B98" s="4">
        <f>IF('WL &amp; Q'!O98="","",'WL &amp; Q'!O98)</f>
        <v>1.01</v>
      </c>
      <c r="C98" s="6">
        <f t="shared" si="1"/>
        <v>29.016802012810686</v>
      </c>
      <c r="D98" s="4">
        <f>IF('WL &amp; Q'!Q98="","",'WL &amp; Q'!Q98)</f>
        <v>0</v>
      </c>
      <c r="E98" s="8">
        <v>4.8</v>
      </c>
      <c r="F98" s="8">
        <v>5.8</v>
      </c>
      <c r="G98" s="8">
        <v>6.4</v>
      </c>
    </row>
    <row r="99" spans="1:7" x14ac:dyDescent="0.3">
      <c r="A99" s="1">
        <f>'WL &amp; Q'!A99</f>
        <v>46235.958333333103</v>
      </c>
      <c r="B99" s="4">
        <f>IF('WL &amp; Q'!O99="","",'WL &amp; Q'!O99)</f>
        <v>1</v>
      </c>
      <c r="C99" s="6">
        <f t="shared" si="1"/>
        <v>28.62</v>
      </c>
      <c r="D99" s="4">
        <f>IF('WL &amp; Q'!Q99="","",'WL &amp; Q'!Q99)</f>
        <v>0</v>
      </c>
      <c r="E99" s="8">
        <v>4.8</v>
      </c>
      <c r="F99" s="8">
        <v>5.8</v>
      </c>
      <c r="G99" s="8">
        <v>6.4</v>
      </c>
    </row>
    <row r="100" spans="1:7" x14ac:dyDescent="0.3">
      <c r="A100" s="1">
        <f>'WL &amp; Q'!A100</f>
        <v>46235.999999999767</v>
      </c>
      <c r="B100" s="4">
        <f>IF('WL &amp; Q'!O100="","",'WL &amp; Q'!O100)</f>
        <v>0.99</v>
      </c>
      <c r="C100" s="6">
        <f t="shared" si="1"/>
        <v>28.224718014987882</v>
      </c>
      <c r="D100" s="4">
        <f>IF('WL &amp; Q'!Q100="","",'WL &amp; Q'!Q100)</f>
        <v>1</v>
      </c>
      <c r="E100" s="8">
        <v>4.8</v>
      </c>
      <c r="F100" s="8">
        <v>5.8</v>
      </c>
      <c r="G100" s="8">
        <v>6.4</v>
      </c>
    </row>
    <row r="101" spans="1:7" x14ac:dyDescent="0.3">
      <c r="A101" s="1">
        <f>'WL &amp; Q'!A101</f>
        <v>46236.041666666431</v>
      </c>
      <c r="B101" s="4">
        <f>IF('WL &amp; Q'!O101="","",'WL &amp; Q'!O101)</f>
        <v>0.97</v>
      </c>
      <c r="C101" s="6">
        <f t="shared" si="1"/>
        <v>27.438752055896515</v>
      </c>
      <c r="D101" s="4">
        <f>IF('WL &amp; Q'!Q101="","",'WL &amp; Q'!Q101)</f>
        <v>0</v>
      </c>
      <c r="E101" s="8">
        <v>4.8</v>
      </c>
      <c r="F101" s="8">
        <v>5.8</v>
      </c>
      <c r="G101" s="8">
        <v>6.4</v>
      </c>
    </row>
    <row r="102" spans="1:7" x14ac:dyDescent="0.3">
      <c r="A102" s="1">
        <f>'WL &amp; Q'!A102</f>
        <v>46236.083333333096</v>
      </c>
      <c r="B102" s="4">
        <f>IF('WL &amp; Q'!O102="","",'WL &amp; Q'!O102)</f>
        <v>0.95</v>
      </c>
      <c r="C102" s="6">
        <f t="shared" si="1"/>
        <v>26.658981570242144</v>
      </c>
      <c r="D102" s="4">
        <f>IF('WL &amp; Q'!Q102="","",'WL &amp; Q'!Q102)</f>
        <v>0</v>
      </c>
      <c r="E102" s="8">
        <v>4.8</v>
      </c>
      <c r="F102" s="8">
        <v>5.8</v>
      </c>
      <c r="G102" s="8">
        <v>6.4</v>
      </c>
    </row>
    <row r="103" spans="1:7" x14ac:dyDescent="0.3">
      <c r="A103" s="1">
        <f>'WL &amp; Q'!A103</f>
        <v>46236.12499999976</v>
      </c>
      <c r="B103" s="4">
        <f>IF('WL &amp; Q'!O103="","",'WL &amp; Q'!O103)</f>
        <v>0.94</v>
      </c>
      <c r="C103" s="6">
        <f t="shared" si="1"/>
        <v>26.271444542051679</v>
      </c>
      <c r="D103" s="4">
        <f>IF('WL &amp; Q'!Q103="","",'WL &amp; Q'!Q103)</f>
        <v>0</v>
      </c>
      <c r="E103" s="8">
        <v>4.8</v>
      </c>
      <c r="F103" s="8">
        <v>5.8</v>
      </c>
      <c r="G103" s="8">
        <v>6.4</v>
      </c>
    </row>
    <row r="104" spans="1:7" x14ac:dyDescent="0.3">
      <c r="A104" s="1">
        <f>'WL &amp; Q'!A104</f>
        <v>46236.166666666424</v>
      </c>
      <c r="B104" s="4">
        <f>IF('WL &amp; Q'!O104="","",'WL &amp; Q'!O104)</f>
        <v>0.9</v>
      </c>
      <c r="C104" s="6">
        <f t="shared" si="1"/>
        <v>24.737192802536985</v>
      </c>
      <c r="D104" s="4">
        <f>IF('WL &amp; Q'!Q104="","",'WL &amp; Q'!Q104)</f>
        <v>0</v>
      </c>
      <c r="E104" s="8">
        <v>4.8</v>
      </c>
      <c r="F104" s="8">
        <v>5.8</v>
      </c>
      <c r="G104" s="8">
        <v>6.4</v>
      </c>
    </row>
    <row r="105" spans="1:7" x14ac:dyDescent="0.3">
      <c r="A105" s="1">
        <f>'WL &amp; Q'!A105</f>
        <v>46236.208333333088</v>
      </c>
      <c r="B105" s="4">
        <f>IF('WL &amp; Q'!O105="","",'WL &amp; Q'!O105)</f>
        <v>0.85</v>
      </c>
      <c r="C105" s="6">
        <f t="shared" si="1"/>
        <v>22.855963763230644</v>
      </c>
      <c r="D105" s="4">
        <f>IF('WL &amp; Q'!Q105="","",'WL &amp; Q'!Q105)</f>
        <v>0</v>
      </c>
      <c r="E105" s="8">
        <v>4.8</v>
      </c>
      <c r="F105" s="8">
        <v>5.8</v>
      </c>
      <c r="G105" s="8">
        <v>6.4</v>
      </c>
    </row>
    <row r="106" spans="1:7" x14ac:dyDescent="0.3">
      <c r="A106" s="1">
        <f>'WL &amp; Q'!A106</f>
        <v>46236.249999999753</v>
      </c>
      <c r="B106" s="4">
        <f>IF('WL &amp; Q'!O106="","",'WL &amp; Q'!O106)</f>
        <v>0.87</v>
      </c>
      <c r="C106" s="6">
        <f t="shared" si="1"/>
        <v>23.60349809359256</v>
      </c>
      <c r="D106" s="4">
        <f>IF('WL &amp; Q'!Q106="","",'WL &amp; Q'!Q106)</f>
        <v>0.3</v>
      </c>
      <c r="E106" s="8">
        <v>4.8</v>
      </c>
      <c r="F106" s="8">
        <v>5.8</v>
      </c>
      <c r="G106" s="8">
        <v>6.4</v>
      </c>
    </row>
    <row r="107" spans="1:7" x14ac:dyDescent="0.3">
      <c r="A107" s="1">
        <f>'WL &amp; Q'!A107</f>
        <v>46236.291666666417</v>
      </c>
      <c r="B107" s="4">
        <f>IF('WL &amp; Q'!O107="","",'WL &amp; Q'!O107)</f>
        <v>0.9</v>
      </c>
      <c r="C107" s="6">
        <f t="shared" si="1"/>
        <v>24.737192802536985</v>
      </c>
      <c r="D107" s="4">
        <f>IF('WL &amp; Q'!Q107="","",'WL &amp; Q'!Q107)</f>
        <v>0</v>
      </c>
      <c r="E107" s="8">
        <v>4.8</v>
      </c>
      <c r="F107" s="8">
        <v>5.8</v>
      </c>
      <c r="G107" s="8">
        <v>6.4</v>
      </c>
    </row>
    <row r="108" spans="1:7" x14ac:dyDescent="0.3">
      <c r="A108" s="1">
        <f>'WL &amp; Q'!A108</f>
        <v>46236.333333333081</v>
      </c>
      <c r="B108" s="4">
        <f>IF('WL &amp; Q'!O108="","",'WL &amp; Q'!O108)</f>
        <v>0.89</v>
      </c>
      <c r="C108" s="6">
        <f t="shared" si="1"/>
        <v>24.357657566155829</v>
      </c>
      <c r="D108" s="4">
        <f>IF('WL &amp; Q'!Q108="","",'WL &amp; Q'!Q108)</f>
        <v>0</v>
      </c>
      <c r="E108" s="8">
        <v>4.8</v>
      </c>
      <c r="F108" s="8">
        <v>5.8</v>
      </c>
      <c r="G108" s="8">
        <v>6.4</v>
      </c>
    </row>
    <row r="109" spans="1:7" x14ac:dyDescent="0.3">
      <c r="A109" s="1">
        <f>'WL &amp; Q'!A109</f>
        <v>46236.374999999745</v>
      </c>
      <c r="B109" s="4">
        <f>IF('WL &amp; Q'!O109="","",'WL &amp; Q'!O109)</f>
        <v>0.87</v>
      </c>
      <c r="C109" s="6">
        <f t="shared" si="1"/>
        <v>23.60349809359256</v>
      </c>
      <c r="D109" s="4">
        <f>IF('WL &amp; Q'!Q109="","",'WL &amp; Q'!Q109)</f>
        <v>0</v>
      </c>
      <c r="E109" s="8">
        <v>4.8</v>
      </c>
      <c r="F109" s="8">
        <v>5.8</v>
      </c>
      <c r="G109" s="8">
        <v>6.4</v>
      </c>
    </row>
    <row r="110" spans="1:7" x14ac:dyDescent="0.3">
      <c r="A110" s="1">
        <f>'WL &amp; Q'!A110</f>
        <v>46236.41666666641</v>
      </c>
      <c r="B110" s="4">
        <f>IF('WL &amp; Q'!O110="","",'WL &amp; Q'!O110)</f>
        <v>0.85</v>
      </c>
      <c r="C110" s="6">
        <f t="shared" si="1"/>
        <v>22.855963763230644</v>
      </c>
      <c r="D110" s="4">
        <f>IF('WL &amp; Q'!Q110="","",'WL &amp; Q'!Q110)</f>
        <v>0</v>
      </c>
      <c r="E110" s="8">
        <v>4.8</v>
      </c>
      <c r="F110" s="8">
        <v>5.8</v>
      </c>
      <c r="G110" s="8">
        <v>6.4</v>
      </c>
    </row>
    <row r="111" spans="1:7" x14ac:dyDescent="0.3">
      <c r="A111" s="1">
        <f>'WL &amp; Q'!A111</f>
        <v>46236.458333333074</v>
      </c>
      <c r="B111" s="4">
        <f>IF('WL &amp; Q'!O111="","",'WL &amp; Q'!O111)</f>
        <v>0.68</v>
      </c>
      <c r="C111" s="6">
        <f t="shared" si="1"/>
        <v>16.783999689944796</v>
      </c>
      <c r="D111" s="4">
        <f>IF('WL &amp; Q'!Q111="","",'WL &amp; Q'!Q111)</f>
        <v>0</v>
      </c>
      <c r="E111" s="8">
        <v>4.8</v>
      </c>
      <c r="F111" s="8">
        <v>5.8</v>
      </c>
      <c r="G111" s="8">
        <v>6.4</v>
      </c>
    </row>
    <row r="112" spans="1:7" x14ac:dyDescent="0.3">
      <c r="A112" s="1">
        <f>'WL &amp; Q'!A112</f>
        <v>46236.499999999738</v>
      </c>
      <c r="B112" s="4">
        <f>IF('WL &amp; Q'!O112="","",'WL &amp; Q'!O112)</f>
        <v>0.7</v>
      </c>
      <c r="C112" s="6">
        <f t="shared" si="1"/>
        <v>17.470941004264056</v>
      </c>
      <c r="D112" s="4">
        <f>IF('WL &amp; Q'!Q112="","",'WL &amp; Q'!Q112)</f>
        <v>0</v>
      </c>
      <c r="E112" s="8">
        <v>4.8</v>
      </c>
      <c r="F112" s="8">
        <v>5.8</v>
      </c>
      <c r="G112" s="8">
        <v>6.4</v>
      </c>
    </row>
    <row r="113" spans="1:7" x14ac:dyDescent="0.3">
      <c r="A113" s="1">
        <f>'WL &amp; Q'!A113</f>
        <v>46236.541666666402</v>
      </c>
      <c r="B113" s="4">
        <f>IF('WL &amp; Q'!O113="","",'WL &amp; Q'!O113)</f>
        <v>0.87</v>
      </c>
      <c r="C113" s="6">
        <f t="shared" si="1"/>
        <v>23.60349809359256</v>
      </c>
      <c r="D113" s="4">
        <f>IF('WL &amp; Q'!Q113="","",'WL &amp; Q'!Q113)</f>
        <v>0.5</v>
      </c>
      <c r="E113" s="8">
        <v>4.8</v>
      </c>
      <c r="F113" s="8">
        <v>5.8</v>
      </c>
      <c r="G113" s="8">
        <v>6.4</v>
      </c>
    </row>
    <row r="114" spans="1:7" x14ac:dyDescent="0.3">
      <c r="A114" s="1">
        <f>'WL &amp; Q'!A114</f>
        <v>46236.583333333067</v>
      </c>
      <c r="B114" s="4">
        <f>IF('WL &amp; Q'!O114="","",'WL &amp; Q'!O114)</f>
        <v>0.88</v>
      </c>
      <c r="C114" s="6">
        <f t="shared" si="1"/>
        <v>23.979755525950928</v>
      </c>
      <c r="D114" s="4">
        <f>IF('WL &amp; Q'!Q114="","",'WL &amp; Q'!Q114)</f>
        <v>3.1</v>
      </c>
      <c r="E114" s="8">
        <v>4.8</v>
      </c>
      <c r="F114" s="8">
        <v>5.8</v>
      </c>
      <c r="G114" s="8">
        <v>6.4</v>
      </c>
    </row>
    <row r="115" spans="1:7" x14ac:dyDescent="0.3">
      <c r="A115" s="1">
        <f>'WL &amp; Q'!A115</f>
        <v>46236.624999999731</v>
      </c>
      <c r="B115" s="4">
        <f>IF('WL &amp; Q'!O115="","",'WL &amp; Q'!O115)</f>
        <v>0.86</v>
      </c>
      <c r="C115" s="6">
        <f t="shared" si="1"/>
        <v>23.228896892293509</v>
      </c>
      <c r="D115" s="4">
        <f>IF('WL &amp; Q'!Q115="","",'WL &amp; Q'!Q115)</f>
        <v>0</v>
      </c>
      <c r="E115" s="8">
        <v>4.8</v>
      </c>
      <c r="F115" s="8">
        <v>5.8</v>
      </c>
      <c r="G115" s="8">
        <v>6.4</v>
      </c>
    </row>
    <row r="116" spans="1:7" x14ac:dyDescent="0.3">
      <c r="A116" s="1">
        <f>'WL &amp; Q'!A116</f>
        <v>46236.666666666395</v>
      </c>
      <c r="B116" s="4">
        <f>IF('WL &amp; Q'!O116="","",'WL &amp; Q'!O116)</f>
        <v>0.85</v>
      </c>
      <c r="C116" s="6">
        <f t="shared" si="1"/>
        <v>22.855963763230644</v>
      </c>
      <c r="D116" s="4">
        <f>IF('WL &amp; Q'!Q116="","",'WL &amp; Q'!Q116)</f>
        <v>0</v>
      </c>
      <c r="E116" s="8">
        <v>4.8</v>
      </c>
      <c r="F116" s="8">
        <v>5.8</v>
      </c>
      <c r="G116" s="8">
        <v>6.4</v>
      </c>
    </row>
    <row r="117" spans="1:7" x14ac:dyDescent="0.3">
      <c r="A117" s="1">
        <f>'WL &amp; Q'!A117</f>
        <v>46236.708333333059</v>
      </c>
      <c r="B117" s="4">
        <f>IF('WL &amp; Q'!O117="","",'WL &amp; Q'!O117)</f>
        <v>0.88</v>
      </c>
      <c r="C117" s="6">
        <f t="shared" si="1"/>
        <v>23.979755525950928</v>
      </c>
      <c r="D117" s="4">
        <f>IF('WL &amp; Q'!Q117="","",'WL &amp; Q'!Q117)</f>
        <v>0.6</v>
      </c>
      <c r="E117" s="8">
        <v>4.8</v>
      </c>
      <c r="F117" s="8">
        <v>5.8</v>
      </c>
      <c r="G117" s="8">
        <v>6.4</v>
      </c>
    </row>
    <row r="118" spans="1:7" x14ac:dyDescent="0.3">
      <c r="A118" s="1">
        <f>'WL &amp; Q'!A118</f>
        <v>46236.749999999724</v>
      </c>
      <c r="B118" s="4">
        <f>IF('WL &amp; Q'!O118="","",'WL &amp; Q'!O118)</f>
        <v>1.01</v>
      </c>
      <c r="C118" s="6">
        <f t="shared" si="1"/>
        <v>29.016802012810686</v>
      </c>
      <c r="D118" s="4">
        <f>IF('WL &amp; Q'!Q118="","",'WL &amp; Q'!Q118)</f>
        <v>5.8</v>
      </c>
      <c r="E118" s="8">
        <v>4.8</v>
      </c>
      <c r="F118" s="8">
        <v>5.8</v>
      </c>
      <c r="G118" s="8">
        <v>6.4</v>
      </c>
    </row>
    <row r="119" spans="1:7" x14ac:dyDescent="0.3">
      <c r="A119" s="1">
        <f>'WL &amp; Q'!A119</f>
        <v>46236.791666666388</v>
      </c>
      <c r="B119" s="4">
        <f>IF('WL &amp; Q'!O119="","",'WL &amp; Q'!O119)</f>
        <v>1.1000000000000001</v>
      </c>
      <c r="C119" s="6">
        <f t="shared" si="1"/>
        <v>32.654935264364688</v>
      </c>
      <c r="D119" s="4">
        <f>IF('WL &amp; Q'!Q119="","",'WL &amp; Q'!Q119)</f>
        <v>0</v>
      </c>
      <c r="E119" s="8">
        <v>4.8</v>
      </c>
      <c r="F119" s="8">
        <v>5.8</v>
      </c>
      <c r="G119" s="8">
        <v>6.4</v>
      </c>
    </row>
    <row r="120" spans="1:7" x14ac:dyDescent="0.3">
      <c r="A120" s="1">
        <f>'WL &amp; Q'!A120</f>
        <v>46236.833333333052</v>
      </c>
      <c r="B120" s="4">
        <f>IF('WL &amp; Q'!O120="","",'WL &amp; Q'!O120)</f>
        <v>1.35</v>
      </c>
      <c r="C120" s="6">
        <f t="shared" si="1"/>
        <v>43.353633139499159</v>
      </c>
      <c r="D120" s="4">
        <f>IF('WL &amp; Q'!Q120="","",'WL &amp; Q'!Q120)</f>
        <v>1.1000000000000001</v>
      </c>
      <c r="E120" s="8">
        <v>4.8</v>
      </c>
      <c r="F120" s="8">
        <v>5.8</v>
      </c>
      <c r="G120" s="8">
        <v>6.4</v>
      </c>
    </row>
    <row r="121" spans="1:7" x14ac:dyDescent="0.3">
      <c r="A121" s="1">
        <f>'WL &amp; Q'!A121</f>
        <v>46236.874999999716</v>
      </c>
      <c r="B121" s="4">
        <f>IF('WL &amp; Q'!O121="","",'WL &amp; Q'!O121)</f>
        <v>1.37</v>
      </c>
      <c r="C121" s="6">
        <f t="shared" si="1"/>
        <v>44.244933862607056</v>
      </c>
      <c r="D121" s="4">
        <f>IF('WL &amp; Q'!Q121="","",'WL &amp; Q'!Q121)</f>
        <v>1</v>
      </c>
      <c r="E121" s="8">
        <v>4.8</v>
      </c>
      <c r="F121" s="8">
        <v>5.8</v>
      </c>
      <c r="G121" s="8">
        <v>6.4</v>
      </c>
    </row>
    <row r="122" spans="1:7" x14ac:dyDescent="0.3">
      <c r="A122" s="1">
        <f>'WL &amp; Q'!A122</f>
        <v>46236.91666666638</v>
      </c>
      <c r="B122" s="4">
        <f>IF('WL &amp; Q'!O122="","",'WL &amp; Q'!O122)</f>
        <v>1.73</v>
      </c>
      <c r="C122" s="6">
        <f t="shared" si="1"/>
        <v>61.105151744315336</v>
      </c>
      <c r="D122" s="4">
        <f>IF('WL &amp; Q'!Q122="","",'WL &amp; Q'!Q122)</f>
        <v>3.3</v>
      </c>
      <c r="E122" s="8">
        <v>4.8</v>
      </c>
      <c r="F122" s="8">
        <v>5.8</v>
      </c>
      <c r="G122" s="8">
        <v>6.4</v>
      </c>
    </row>
    <row r="123" spans="1:7" x14ac:dyDescent="0.3">
      <c r="A123" s="1">
        <f>'WL &amp; Q'!A123</f>
        <v>46236.958333333045</v>
      </c>
      <c r="B123" s="4">
        <f>IF('WL &amp; Q'!O123="","",'WL &amp; Q'!O123)</f>
        <v>2.0299999999999998</v>
      </c>
      <c r="C123" s="6">
        <f t="shared" si="1"/>
        <v>76.239957702826899</v>
      </c>
      <c r="D123" s="4">
        <f>IF('WL &amp; Q'!Q123="","",'WL &amp; Q'!Q123)</f>
        <v>13</v>
      </c>
      <c r="E123" s="8">
        <v>4.8</v>
      </c>
      <c r="F123" s="8">
        <v>5.8</v>
      </c>
      <c r="G123" s="8">
        <v>6.4</v>
      </c>
    </row>
    <row r="124" spans="1:7" x14ac:dyDescent="0.3">
      <c r="A124" s="1">
        <f>'WL &amp; Q'!A124</f>
        <v>46236.999999999709</v>
      </c>
      <c r="B124" s="4">
        <f>IF('WL &amp; Q'!O124="","",'WL &amp; Q'!O124)</f>
        <v>2.96</v>
      </c>
      <c r="C124" s="6">
        <f t="shared" si="1"/>
        <v>128.48223986958718</v>
      </c>
      <c r="D124" s="4">
        <f>IF('WL &amp; Q'!Q124="","",'WL &amp; Q'!Q124)</f>
        <v>3.2</v>
      </c>
      <c r="E124" s="8">
        <v>4.8</v>
      </c>
      <c r="F124" s="8">
        <v>5.8</v>
      </c>
      <c r="G124" s="8">
        <v>6.4</v>
      </c>
    </row>
    <row r="125" spans="1:7" x14ac:dyDescent="0.3">
      <c r="A125" s="1">
        <f>'WL &amp; Q'!A125</f>
        <v>46237.041666666373</v>
      </c>
      <c r="B125" s="4">
        <f>IF('WL &amp; Q'!O125="","",'WL &amp; Q'!O125)</f>
        <v>3.95</v>
      </c>
      <c r="C125" s="6">
        <f t="shared" si="1"/>
        <v>191.53171188623961</v>
      </c>
      <c r="D125" s="4">
        <f>IF('WL &amp; Q'!Q125="","",'WL &amp; Q'!Q125)</f>
        <v>3.5</v>
      </c>
      <c r="E125" s="8">
        <v>4.8</v>
      </c>
      <c r="F125" s="8">
        <v>5.8</v>
      </c>
      <c r="G125" s="8">
        <v>6.4</v>
      </c>
    </row>
    <row r="126" spans="1:7" x14ac:dyDescent="0.3">
      <c r="A126" s="1">
        <f>'WL &amp; Q'!A126</f>
        <v>46237.083333333037</v>
      </c>
      <c r="B126" s="4">
        <f>IF('WL &amp; Q'!O126="","",'WL &amp; Q'!O126)</f>
        <v>3.84</v>
      </c>
      <c r="C126" s="6">
        <f t="shared" si="1"/>
        <v>184.19047917051574</v>
      </c>
      <c r="D126" s="4">
        <f>IF('WL &amp; Q'!Q126="","",'WL &amp; Q'!Q126)</f>
        <v>2.2000000000000002</v>
      </c>
      <c r="E126" s="8">
        <v>4.8</v>
      </c>
      <c r="F126" s="8">
        <v>5.8</v>
      </c>
      <c r="G126" s="8">
        <v>6.4</v>
      </c>
    </row>
    <row r="127" spans="1:7" x14ac:dyDescent="0.3">
      <c r="A127" s="1">
        <f>'WL &amp; Q'!A127</f>
        <v>46237.124999999702</v>
      </c>
      <c r="B127" s="4">
        <f>IF('WL &amp; Q'!O127="","",'WL &amp; Q'!O127)</f>
        <v>3.47</v>
      </c>
      <c r="C127" s="6">
        <f t="shared" si="1"/>
        <v>160.094921907985</v>
      </c>
      <c r="D127" s="4">
        <f>IF('WL &amp; Q'!Q127="","",'WL &amp; Q'!Q127)</f>
        <v>0.5</v>
      </c>
      <c r="E127" s="8">
        <v>4.8</v>
      </c>
      <c r="F127" s="8">
        <v>5.8</v>
      </c>
      <c r="G127" s="8">
        <v>6.4</v>
      </c>
    </row>
    <row r="128" spans="1:7" x14ac:dyDescent="0.3">
      <c r="A128" s="1">
        <f>'WL &amp; Q'!A128</f>
        <v>46237.166666666366</v>
      </c>
      <c r="B128" s="4">
        <f>IF('WL &amp; Q'!O128="","",'WL &amp; Q'!O128)</f>
        <v>3.1</v>
      </c>
      <c r="C128" s="6">
        <f t="shared" si="1"/>
        <v>136.9669993301267</v>
      </c>
      <c r="D128" s="4">
        <f>IF('WL &amp; Q'!Q128="","",'WL &amp; Q'!Q128)</f>
        <v>0.7</v>
      </c>
      <c r="E128" s="8">
        <v>4.8</v>
      </c>
      <c r="F128" s="8">
        <v>5.8</v>
      </c>
      <c r="G128" s="8">
        <v>6.4</v>
      </c>
    </row>
    <row r="129" spans="1:7" x14ac:dyDescent="0.3">
      <c r="A129" s="1">
        <f>'WL &amp; Q'!A129</f>
        <v>46237.20833333303</v>
      </c>
      <c r="B129" s="4">
        <f>IF('WL &amp; Q'!O129="","",'WL &amp; Q'!O129)</f>
        <v>2.87</v>
      </c>
      <c r="C129" s="6">
        <f t="shared" si="1"/>
        <v>123.10809135017973</v>
      </c>
      <c r="D129" s="4">
        <f>IF('WL &amp; Q'!Q129="","",'WL &amp; Q'!Q129)</f>
        <v>0</v>
      </c>
      <c r="E129" s="8">
        <v>4.8</v>
      </c>
      <c r="F129" s="8">
        <v>5.8</v>
      </c>
      <c r="G129" s="8">
        <v>6.4</v>
      </c>
    </row>
    <row r="130" spans="1:7" x14ac:dyDescent="0.3">
      <c r="A130" s="1">
        <f>'WL &amp; Q'!A130</f>
        <v>46237.249999999694</v>
      </c>
      <c r="B130" s="4">
        <f>IF('WL &amp; Q'!O130="","",'WL &amp; Q'!O130)</f>
        <v>2.42</v>
      </c>
      <c r="C130" s="6">
        <f t="shared" si="1"/>
        <v>97.228443398278458</v>
      </c>
      <c r="D130" s="4">
        <f>IF('WL &amp; Q'!Q130="","",'WL &amp; Q'!Q130)</f>
        <v>0</v>
      </c>
      <c r="E130" s="8">
        <v>4.8</v>
      </c>
      <c r="F130" s="8">
        <v>5.8</v>
      </c>
      <c r="G130" s="8">
        <v>6.4</v>
      </c>
    </row>
    <row r="131" spans="1:7" x14ac:dyDescent="0.3">
      <c r="A131" s="1">
        <f>'WL &amp; Q'!A131</f>
        <v>46237.291666666359</v>
      </c>
      <c r="B131" s="4">
        <f>IF('WL &amp; Q'!O131="","",'WL &amp; Q'!O131)</f>
        <v>2.2000000000000002</v>
      </c>
      <c r="C131" s="6">
        <f t="shared" si="1"/>
        <v>85.214624605162825</v>
      </c>
      <c r="D131" s="4">
        <f>IF('WL &amp; Q'!Q131="","",'WL &amp; Q'!Q131)</f>
        <v>0.6</v>
      </c>
      <c r="E131" s="8">
        <v>4.8</v>
      </c>
      <c r="F131" s="8">
        <v>5.8</v>
      </c>
      <c r="G131" s="8">
        <v>6.4</v>
      </c>
    </row>
    <row r="132" spans="1:7" x14ac:dyDescent="0.3">
      <c r="A132" s="1">
        <f>'WL &amp; Q'!A132</f>
        <v>46237.333333333023</v>
      </c>
      <c r="B132" s="4">
        <f>IF('WL &amp; Q'!O132="","",'WL &amp; Q'!O132)</f>
        <v>2.0299999999999998</v>
      </c>
      <c r="C132" s="6">
        <f t="shared" si="1"/>
        <v>76.239957702826899</v>
      </c>
      <c r="D132" s="4">
        <f>IF('WL &amp; Q'!Q132="","",'WL &amp; Q'!Q132)</f>
        <v>1.6</v>
      </c>
      <c r="E132" s="8">
        <v>4.8</v>
      </c>
      <c r="F132" s="8">
        <v>5.8</v>
      </c>
      <c r="G132" s="8">
        <v>6.4</v>
      </c>
    </row>
    <row r="133" spans="1:7" x14ac:dyDescent="0.3">
      <c r="A133" s="1">
        <f>'WL &amp; Q'!A133</f>
        <v>46237.374999999687</v>
      </c>
      <c r="B133" s="4">
        <f>IF('WL &amp; Q'!O133="","",'WL &amp; Q'!O133)</f>
        <v>1.83</v>
      </c>
      <c r="C133" s="6">
        <f t="shared" si="1"/>
        <v>66.04644515861574</v>
      </c>
      <c r="D133" s="4">
        <f>IF('WL &amp; Q'!Q133="","",'WL &amp; Q'!Q133)</f>
        <v>1.6</v>
      </c>
      <c r="E133" s="8">
        <v>4.8</v>
      </c>
      <c r="F133" s="8">
        <v>5.8</v>
      </c>
      <c r="G133" s="8">
        <v>6.4</v>
      </c>
    </row>
    <row r="134" spans="1:7" x14ac:dyDescent="0.3">
      <c r="A134" s="1">
        <f>'WL &amp; Q'!A134</f>
        <v>46237.416666666351</v>
      </c>
      <c r="B134" s="4">
        <f>IF('WL &amp; Q'!O134="","",'WL &amp; Q'!O134)</f>
        <v>1.95</v>
      </c>
      <c r="C134" s="6">
        <f t="shared" ref="C134:C197" si="2">IF(B134="","",28.62*(B134)^1.3838)</f>
        <v>72.11398988239138</v>
      </c>
      <c r="D134" s="4">
        <f>IF('WL &amp; Q'!Q134="","",'WL &amp; Q'!Q134)</f>
        <v>0</v>
      </c>
      <c r="E134" s="8">
        <v>4.8</v>
      </c>
      <c r="F134" s="8">
        <v>5.8</v>
      </c>
      <c r="G134" s="8">
        <v>6.4</v>
      </c>
    </row>
    <row r="135" spans="1:7" x14ac:dyDescent="0.3">
      <c r="A135" s="1">
        <f>'WL &amp; Q'!A135</f>
        <v>46237.458333333016</v>
      </c>
      <c r="B135" s="4">
        <f>IF('WL &amp; Q'!O135="","",'WL &amp; Q'!O135)</f>
        <v>2.68</v>
      </c>
      <c r="C135" s="6">
        <f t="shared" si="2"/>
        <v>111.97538321219923</v>
      </c>
      <c r="D135" s="4">
        <f>IF('WL &amp; Q'!Q135="","",'WL &amp; Q'!Q135)</f>
        <v>12.3</v>
      </c>
      <c r="E135" s="8">
        <v>4.8</v>
      </c>
      <c r="F135" s="8">
        <v>5.8</v>
      </c>
      <c r="G135" s="8">
        <v>6.4</v>
      </c>
    </row>
    <row r="136" spans="1:7" x14ac:dyDescent="0.3">
      <c r="A136" s="1">
        <f>'WL &amp; Q'!A136</f>
        <v>46237.49999999968</v>
      </c>
      <c r="B136" s="4">
        <f>IF('WL &amp; Q'!O136="","",'WL &amp; Q'!O136)</f>
        <v>3.3</v>
      </c>
      <c r="C136" s="6">
        <f t="shared" si="2"/>
        <v>149.34449526033052</v>
      </c>
      <c r="D136" s="4">
        <f>IF('WL &amp; Q'!Q136="","",'WL &amp; Q'!Q136)</f>
        <v>8.6</v>
      </c>
      <c r="E136" s="8">
        <v>4.8</v>
      </c>
      <c r="F136" s="8">
        <v>5.8</v>
      </c>
      <c r="G136" s="8">
        <v>6.4</v>
      </c>
    </row>
    <row r="137" spans="1:7" x14ac:dyDescent="0.3">
      <c r="A137" s="1">
        <f>'WL &amp; Q'!A137</f>
        <v>46237.541666666344</v>
      </c>
      <c r="B137" s="4">
        <f>IF('WL &amp; Q'!O137="","",'WL &amp; Q'!O137)</f>
        <v>5.25</v>
      </c>
      <c r="C137" s="6">
        <f t="shared" si="2"/>
        <v>283.93967014619773</v>
      </c>
      <c r="D137" s="4">
        <f>IF('WL &amp; Q'!Q137="","",'WL &amp; Q'!Q137)</f>
        <v>6</v>
      </c>
      <c r="E137" s="8">
        <v>4.8</v>
      </c>
      <c r="F137" s="8">
        <v>5.8</v>
      </c>
      <c r="G137" s="8">
        <v>6.4</v>
      </c>
    </row>
    <row r="138" spans="1:7" x14ac:dyDescent="0.3">
      <c r="A138" s="1">
        <f>'WL &amp; Q'!A138</f>
        <v>46237.583333333008</v>
      </c>
      <c r="B138" s="4">
        <f>IF('WL &amp; Q'!O138="","",'WL &amp; Q'!O138)</f>
        <v>6.24</v>
      </c>
      <c r="C138" s="6">
        <f t="shared" si="2"/>
        <v>360.61689080523763</v>
      </c>
      <c r="D138" s="4">
        <f>IF('WL &amp; Q'!Q138="","",'WL &amp; Q'!Q138)</f>
        <v>5.2</v>
      </c>
      <c r="E138" s="8">
        <v>4.8</v>
      </c>
      <c r="F138" s="8">
        <v>5.8</v>
      </c>
      <c r="G138" s="8">
        <v>6.4</v>
      </c>
    </row>
    <row r="139" spans="1:7" x14ac:dyDescent="0.3">
      <c r="A139" s="1">
        <f>'WL &amp; Q'!A139</f>
        <v>46237.624999999673</v>
      </c>
      <c r="B139" s="4">
        <f>IF('WL &amp; Q'!O139="","",'WL &amp; Q'!O139)</f>
        <v>5.85</v>
      </c>
      <c r="C139" s="6">
        <f t="shared" si="2"/>
        <v>329.80703630262889</v>
      </c>
      <c r="D139" s="4">
        <f>IF('WL &amp; Q'!Q139="","",'WL &amp; Q'!Q139)</f>
        <v>1.7</v>
      </c>
      <c r="E139" s="8">
        <v>4.8</v>
      </c>
      <c r="F139" s="8">
        <v>5.8</v>
      </c>
      <c r="G139" s="8">
        <v>6.4</v>
      </c>
    </row>
    <row r="140" spans="1:7" x14ac:dyDescent="0.3">
      <c r="A140" s="1">
        <f>'WL &amp; Q'!A140</f>
        <v>46237.666666666337</v>
      </c>
      <c r="B140" s="4">
        <f>IF('WL &amp; Q'!O140="","",'WL &amp; Q'!O140)</f>
        <v>5.1100000000000003</v>
      </c>
      <c r="C140" s="6">
        <f t="shared" si="2"/>
        <v>273.51583277698268</v>
      </c>
      <c r="D140" s="4">
        <f>IF('WL &amp; Q'!Q140="","",'WL &amp; Q'!Q140)</f>
        <v>0.3</v>
      </c>
      <c r="E140" s="8">
        <v>4.8</v>
      </c>
      <c r="F140" s="8">
        <v>5.8</v>
      </c>
      <c r="G140" s="8">
        <v>6.4</v>
      </c>
    </row>
    <row r="141" spans="1:7" x14ac:dyDescent="0.3">
      <c r="A141" s="1">
        <f>'WL &amp; Q'!A141</f>
        <v>46237.708333333001</v>
      </c>
      <c r="B141" s="4">
        <f>IF('WL &amp; Q'!O141="","",'WL &amp; Q'!O141)</f>
        <v>4.3099999999999996</v>
      </c>
      <c r="C141" s="6">
        <f t="shared" si="2"/>
        <v>216.10224363331344</v>
      </c>
      <c r="D141" s="4">
        <f>IF('WL &amp; Q'!Q141="","",'WL &amp; Q'!Q141)</f>
        <v>0</v>
      </c>
      <c r="E141" s="8">
        <v>4.8</v>
      </c>
      <c r="F141" s="8">
        <v>5.8</v>
      </c>
      <c r="G141" s="8">
        <v>6.4</v>
      </c>
    </row>
    <row r="142" spans="1:7" x14ac:dyDescent="0.3">
      <c r="A142" s="1">
        <f>'WL &amp; Q'!A142</f>
        <v>46237.749999999665</v>
      </c>
      <c r="B142" s="4">
        <f>IF('WL &amp; Q'!O142="","",'WL &amp; Q'!O142)</f>
        <v>3.41</v>
      </c>
      <c r="C142" s="6">
        <f t="shared" si="2"/>
        <v>156.27702643185071</v>
      </c>
      <c r="D142" s="4">
        <f>IF('WL &amp; Q'!Q142="","",'WL &amp; Q'!Q142)</f>
        <v>0.6</v>
      </c>
      <c r="E142" s="8">
        <v>4.8</v>
      </c>
      <c r="F142" s="8">
        <v>5.8</v>
      </c>
      <c r="G142" s="8">
        <v>6.4</v>
      </c>
    </row>
    <row r="143" spans="1:7" x14ac:dyDescent="0.3">
      <c r="A143" s="1">
        <f>'WL &amp; Q'!A143</f>
        <v>46237.79166666633</v>
      </c>
      <c r="B143" s="4">
        <f>IF('WL &amp; Q'!O143="","",'WL &amp; Q'!O143)</f>
        <v>2.82</v>
      </c>
      <c r="C143" s="6">
        <f t="shared" si="2"/>
        <v>120.15015779786469</v>
      </c>
      <c r="D143" s="4">
        <f>IF('WL &amp; Q'!Q143="","",'WL &amp; Q'!Q143)</f>
        <v>0</v>
      </c>
      <c r="E143" s="8">
        <v>4.8</v>
      </c>
      <c r="F143" s="8">
        <v>5.8</v>
      </c>
      <c r="G143" s="8">
        <v>6.4</v>
      </c>
    </row>
    <row r="144" spans="1:7" x14ac:dyDescent="0.3">
      <c r="A144" s="1">
        <f>'WL &amp; Q'!A144</f>
        <v>46237.833333332994</v>
      </c>
      <c r="B144" s="4">
        <f>IF('WL &amp; Q'!O144="","",'WL &amp; Q'!O144)</f>
        <v>2.63</v>
      </c>
      <c r="C144" s="6">
        <f t="shared" si="2"/>
        <v>109.09488634608397</v>
      </c>
      <c r="D144" s="4">
        <f>IF('WL &amp; Q'!Q144="","",'WL &amp; Q'!Q144)</f>
        <v>0</v>
      </c>
      <c r="E144" s="8">
        <v>4.8</v>
      </c>
      <c r="F144" s="8">
        <v>5.8</v>
      </c>
      <c r="G144" s="8">
        <v>6.4</v>
      </c>
    </row>
    <row r="145" spans="1:7" x14ac:dyDescent="0.3">
      <c r="A145" s="1">
        <f>'WL &amp; Q'!A145</f>
        <v>46237.874999999658</v>
      </c>
      <c r="B145" s="4">
        <f>IF('WL &amp; Q'!O145="","",'WL &amp; Q'!O145)</f>
        <v>2.1800000000000002</v>
      </c>
      <c r="C145" s="6">
        <f t="shared" si="2"/>
        <v>84.144498285291462</v>
      </c>
      <c r="D145" s="4">
        <f>IF('WL &amp; Q'!Q145="","",'WL &amp; Q'!Q145)</f>
        <v>0</v>
      </c>
      <c r="E145" s="8">
        <v>4.8</v>
      </c>
      <c r="F145" s="8">
        <v>5.8</v>
      </c>
      <c r="G145" s="8">
        <v>6.4</v>
      </c>
    </row>
    <row r="146" spans="1:7" x14ac:dyDescent="0.3">
      <c r="A146" s="1">
        <f>'WL &amp; Q'!A146</f>
        <v>46237.916666666322</v>
      </c>
      <c r="B146" s="4">
        <f>IF('WL &amp; Q'!O146="","",'WL &amp; Q'!O146)</f>
        <v>2.0299999999999998</v>
      </c>
      <c r="C146" s="6">
        <f t="shared" si="2"/>
        <v>76.239957702826899</v>
      </c>
      <c r="D146" s="4">
        <f>IF('WL &amp; Q'!Q146="","",'WL &amp; Q'!Q146)</f>
        <v>0</v>
      </c>
      <c r="E146" s="8">
        <v>4.8</v>
      </c>
      <c r="F146" s="8">
        <v>5.8</v>
      </c>
      <c r="G146" s="8">
        <v>6.4</v>
      </c>
    </row>
    <row r="147" spans="1:7" x14ac:dyDescent="0.3">
      <c r="A147" s="1">
        <f>'WL &amp; Q'!A147</f>
        <v>46237.958333332987</v>
      </c>
      <c r="B147" s="4">
        <f>IF('WL &amp; Q'!O147="","",'WL &amp; Q'!O147)</f>
        <v>1.93</v>
      </c>
      <c r="C147" s="6">
        <f t="shared" si="2"/>
        <v>71.092507688753486</v>
      </c>
      <c r="D147" s="4">
        <f>IF('WL &amp; Q'!Q147="","",'WL &amp; Q'!Q147)</f>
        <v>0</v>
      </c>
      <c r="E147" s="8">
        <v>4.8</v>
      </c>
      <c r="F147" s="8">
        <v>5.8</v>
      </c>
      <c r="G147" s="8">
        <v>6.4</v>
      </c>
    </row>
    <row r="148" spans="1:7" x14ac:dyDescent="0.3">
      <c r="A148" s="1">
        <f>'WL &amp; Q'!A148</f>
        <v>46237.999999999651</v>
      </c>
      <c r="B148" s="4">
        <f>IF('WL &amp; Q'!O148="","",'WL &amp; Q'!O148)</f>
        <v>1.85</v>
      </c>
      <c r="C148" s="6">
        <f t="shared" si="2"/>
        <v>67.04738857228098</v>
      </c>
      <c r="D148" s="4">
        <f>IF('WL &amp; Q'!Q148="","",'WL &amp; Q'!Q148)</f>
        <v>0</v>
      </c>
      <c r="E148" s="8">
        <v>4.8</v>
      </c>
      <c r="F148" s="8">
        <v>5.8</v>
      </c>
      <c r="G148" s="8">
        <v>6.4</v>
      </c>
    </row>
    <row r="149" spans="1:7" x14ac:dyDescent="0.3">
      <c r="A149" s="1">
        <f>'WL &amp; Q'!A149</f>
        <v>46238.041666666315</v>
      </c>
      <c r="B149" s="4">
        <f>IF('WL &amp; Q'!O149="","",'WL &amp; Q'!O149)</f>
        <v>1.71</v>
      </c>
      <c r="C149" s="6">
        <f t="shared" si="2"/>
        <v>60.129784446054941</v>
      </c>
      <c r="D149" s="4">
        <f>IF('WL &amp; Q'!Q149="","",'WL &amp; Q'!Q149)</f>
        <v>0</v>
      </c>
      <c r="E149" s="8">
        <v>4.8</v>
      </c>
      <c r="F149" s="8">
        <v>5.8</v>
      </c>
      <c r="G149" s="8">
        <v>6.4</v>
      </c>
    </row>
    <row r="150" spans="1:7" x14ac:dyDescent="0.3">
      <c r="A150" s="1">
        <f>'WL &amp; Q'!A150</f>
        <v>46238.083333332979</v>
      </c>
      <c r="B150" s="4">
        <f>IF('WL &amp; Q'!O150="","",'WL &amp; Q'!O150)</f>
        <v>1.62</v>
      </c>
      <c r="C150" s="6">
        <f t="shared" si="2"/>
        <v>55.795157331793753</v>
      </c>
      <c r="D150" s="4">
        <f>IF('WL &amp; Q'!Q150="","",'WL &amp; Q'!Q150)</f>
        <v>0</v>
      </c>
      <c r="E150" s="8">
        <v>4.8</v>
      </c>
      <c r="F150" s="8">
        <v>5.8</v>
      </c>
      <c r="G150" s="8">
        <v>6.4</v>
      </c>
    </row>
    <row r="151" spans="1:7" x14ac:dyDescent="0.3">
      <c r="A151" s="1">
        <f>'WL &amp; Q'!A151</f>
        <v>46238.124999999643</v>
      </c>
      <c r="B151" s="4">
        <f>IF('WL &amp; Q'!O151="","",'WL &amp; Q'!O151)</f>
        <v>1.67</v>
      </c>
      <c r="C151" s="6">
        <f t="shared" si="2"/>
        <v>58.192187386435826</v>
      </c>
      <c r="D151" s="4">
        <f>IF('WL &amp; Q'!Q151="","",'WL &amp; Q'!Q151)</f>
        <v>0</v>
      </c>
      <c r="E151" s="8">
        <v>4.8</v>
      </c>
      <c r="F151" s="8">
        <v>5.8</v>
      </c>
      <c r="G151" s="8">
        <v>6.4</v>
      </c>
    </row>
    <row r="152" spans="1:7" x14ac:dyDescent="0.3">
      <c r="A152" s="1">
        <f>'WL &amp; Q'!A152</f>
        <v>46238.166666666308</v>
      </c>
      <c r="B152" s="4">
        <f>IF('WL &amp; Q'!O152="","",'WL &amp; Q'!O152)</f>
        <v>1.6</v>
      </c>
      <c r="C152" s="6">
        <f t="shared" si="2"/>
        <v>54.844219638821464</v>
      </c>
      <c r="D152" s="4">
        <f>IF('WL &amp; Q'!Q152="","",'WL &amp; Q'!Q152)</f>
        <v>19.5</v>
      </c>
      <c r="E152" s="8">
        <v>4.8</v>
      </c>
      <c r="F152" s="8">
        <v>5.8</v>
      </c>
      <c r="G152" s="8">
        <v>6.4</v>
      </c>
    </row>
    <row r="153" spans="1:7" x14ac:dyDescent="0.3">
      <c r="A153" s="1">
        <f>'WL &amp; Q'!A153</f>
        <v>46238.208333332972</v>
      </c>
      <c r="B153" s="4">
        <f>IF('WL &amp; Q'!O153="","",'WL &amp; Q'!O153)</f>
        <v>1.71</v>
      </c>
      <c r="C153" s="6">
        <f t="shared" si="2"/>
        <v>60.129784446054941</v>
      </c>
      <c r="D153" s="4">
        <f>IF('WL &amp; Q'!Q153="","",'WL &amp; Q'!Q153)</f>
        <v>0</v>
      </c>
      <c r="E153" s="8">
        <v>4.8</v>
      </c>
      <c r="F153" s="8">
        <v>5.8</v>
      </c>
      <c r="G153" s="8">
        <v>6.4</v>
      </c>
    </row>
    <row r="154" spans="1:7" x14ac:dyDescent="0.3">
      <c r="A154" s="1">
        <f>'WL &amp; Q'!A154</f>
        <v>46238.249999999636</v>
      </c>
      <c r="B154" s="4">
        <f>IF('WL &amp; Q'!O154="","",'WL &amp; Q'!O154)</f>
        <v>1.75</v>
      </c>
      <c r="C154" s="6">
        <f t="shared" si="2"/>
        <v>62.084856435093684</v>
      </c>
      <c r="D154" s="4">
        <f>IF('WL &amp; Q'!Q154="","",'WL &amp; Q'!Q154)</f>
        <v>0</v>
      </c>
      <c r="E154" s="8">
        <v>4.8</v>
      </c>
      <c r="F154" s="8">
        <v>5.8</v>
      </c>
      <c r="G154" s="8">
        <v>6.4</v>
      </c>
    </row>
    <row r="155" spans="1:7" x14ac:dyDescent="0.3">
      <c r="A155" s="1">
        <f>'WL &amp; Q'!A155</f>
        <v>46238.2916666663</v>
      </c>
      <c r="B155" s="4">
        <f>IF('WL &amp; Q'!O155="","",'WL &amp; Q'!O155)</f>
        <v>1.85</v>
      </c>
      <c r="C155" s="6">
        <f t="shared" si="2"/>
        <v>67.04738857228098</v>
      </c>
      <c r="D155" s="4">
        <f>IF('WL &amp; Q'!Q155="","",'WL &amp; Q'!Q155)</f>
        <v>0.6</v>
      </c>
      <c r="E155" s="8">
        <v>4.8</v>
      </c>
      <c r="F155" s="8">
        <v>5.8</v>
      </c>
      <c r="G155" s="8">
        <v>6.4</v>
      </c>
    </row>
    <row r="156" spans="1:7" x14ac:dyDescent="0.3">
      <c r="A156" s="1">
        <f>'WL &amp; Q'!A156</f>
        <v>46238.333333332965</v>
      </c>
      <c r="B156" s="4">
        <f>IF('WL &amp; Q'!O156="","",'WL &amp; Q'!O156)</f>
        <v>2.14</v>
      </c>
      <c r="C156" s="6">
        <f t="shared" si="2"/>
        <v>82.015551387121576</v>
      </c>
      <c r="D156" s="4">
        <f>IF('WL &amp; Q'!Q156="","",'WL &amp; Q'!Q156)</f>
        <v>0</v>
      </c>
      <c r="E156" s="8">
        <v>4.8</v>
      </c>
      <c r="F156" s="8">
        <v>5.8</v>
      </c>
      <c r="G156" s="8">
        <v>6.4</v>
      </c>
    </row>
    <row r="157" spans="1:7" x14ac:dyDescent="0.3">
      <c r="A157" s="1">
        <f>'WL &amp; Q'!A157</f>
        <v>46238.374999999629</v>
      </c>
      <c r="B157" s="4">
        <f>IF('WL &amp; Q'!O157="","",'WL &amp; Q'!O157)</f>
        <v>2.0499999999999998</v>
      </c>
      <c r="C157" s="6">
        <f t="shared" si="2"/>
        <v>77.28133618162687</v>
      </c>
      <c r="D157" s="4">
        <f>IF('WL &amp; Q'!Q157="","",'WL &amp; Q'!Q157)</f>
        <v>0</v>
      </c>
      <c r="E157" s="8">
        <v>4.8</v>
      </c>
      <c r="F157" s="8">
        <v>5.8</v>
      </c>
      <c r="G157" s="8">
        <v>6.4</v>
      </c>
    </row>
    <row r="158" spans="1:7" x14ac:dyDescent="0.3">
      <c r="A158" s="1">
        <f>'WL &amp; Q'!A158</f>
        <v>46238.416666666293</v>
      </c>
      <c r="B158" s="4">
        <f>IF('WL &amp; Q'!O158="","",'WL &amp; Q'!O158)</f>
        <v>1.95</v>
      </c>
      <c r="C158" s="6">
        <f t="shared" si="2"/>
        <v>72.11398988239138</v>
      </c>
      <c r="D158" s="4">
        <f>IF('WL &amp; Q'!Q158="","",'WL &amp; Q'!Q158)</f>
        <v>0</v>
      </c>
      <c r="E158" s="8">
        <v>4.8</v>
      </c>
      <c r="F158" s="8">
        <v>5.8</v>
      </c>
      <c r="G158" s="8">
        <v>6.4</v>
      </c>
    </row>
    <row r="159" spans="1:7" x14ac:dyDescent="0.3">
      <c r="A159" s="1">
        <f>'WL &amp; Q'!A159</f>
        <v>46238.458333332957</v>
      </c>
      <c r="B159" s="4">
        <f>IF('WL &amp; Q'!O159="","",'WL &amp; Q'!O159)</f>
        <v>1.8</v>
      </c>
      <c r="C159" s="6">
        <f t="shared" si="2"/>
        <v>64.552894727495826</v>
      </c>
      <c r="D159" s="4">
        <f>IF('WL &amp; Q'!Q159="","",'WL &amp; Q'!Q159)</f>
        <v>0</v>
      </c>
      <c r="E159" s="8">
        <v>4.8</v>
      </c>
      <c r="F159" s="8">
        <v>5.8</v>
      </c>
      <c r="G159" s="8">
        <v>6.4</v>
      </c>
    </row>
    <row r="160" spans="1:7" x14ac:dyDescent="0.3">
      <c r="A160" s="1">
        <f>'WL &amp; Q'!A160</f>
        <v>46238.499999999622</v>
      </c>
      <c r="B160" s="4">
        <f>IF('WL &amp; Q'!O160="","",'WL &amp; Q'!O160)</f>
        <v>1.79</v>
      </c>
      <c r="C160" s="6">
        <f t="shared" si="2"/>
        <v>64.057156100172492</v>
      </c>
      <c r="D160" s="4">
        <f>IF('WL &amp; Q'!Q160="","",'WL &amp; Q'!Q160)</f>
        <v>11</v>
      </c>
      <c r="E160" s="8">
        <v>4.8</v>
      </c>
      <c r="F160" s="8">
        <v>5.8</v>
      </c>
      <c r="G160" s="8">
        <v>6.4</v>
      </c>
    </row>
    <row r="161" spans="1:7" x14ac:dyDescent="0.3">
      <c r="A161" s="1">
        <f>'WL &amp; Q'!A161</f>
        <v>46238.541666666286</v>
      </c>
      <c r="B161" s="4" t="str">
        <f>IF('WL &amp; Q'!O161="","",'WL &amp; Q'!O161)</f>
        <v/>
      </c>
      <c r="C161" s="6" t="str">
        <f t="shared" si="2"/>
        <v/>
      </c>
      <c r="D161" s="4" t="str">
        <f>IF('WL &amp; Q'!Q161="","",'WL &amp; Q'!Q161)</f>
        <v/>
      </c>
      <c r="E161" s="8">
        <v>4.8</v>
      </c>
      <c r="F161" s="8">
        <v>5.8</v>
      </c>
      <c r="G161" s="8">
        <v>6.4</v>
      </c>
    </row>
    <row r="162" spans="1:7" x14ac:dyDescent="0.3">
      <c r="A162" s="1">
        <f>'WL &amp; Q'!A162</f>
        <v>46238.58333333295</v>
      </c>
      <c r="B162" s="4" t="str">
        <f>IF('WL &amp; Q'!O162="","",'WL &amp; Q'!O162)</f>
        <v/>
      </c>
      <c r="C162" s="6" t="str">
        <f t="shared" si="2"/>
        <v/>
      </c>
      <c r="D162" s="4" t="str">
        <f>IF('WL &amp; Q'!Q162="","",'WL &amp; Q'!Q162)</f>
        <v/>
      </c>
      <c r="E162" s="8">
        <v>4.8</v>
      </c>
      <c r="F162" s="8">
        <v>5.8</v>
      </c>
      <c r="G162" s="8">
        <v>6.4</v>
      </c>
    </row>
    <row r="163" spans="1:7" x14ac:dyDescent="0.3">
      <c r="A163" s="1">
        <f>'WL &amp; Q'!A163</f>
        <v>46238.624999999614</v>
      </c>
      <c r="B163" s="4" t="str">
        <f>IF('WL &amp; Q'!O163="","",'WL &amp; Q'!O163)</f>
        <v/>
      </c>
      <c r="C163" s="6" t="str">
        <f t="shared" si="2"/>
        <v/>
      </c>
      <c r="D163" s="4" t="str">
        <f>IF('WL &amp; Q'!Q163="","",'WL &amp; Q'!Q163)</f>
        <v/>
      </c>
      <c r="E163" s="8">
        <v>4.8</v>
      </c>
      <c r="F163" s="8">
        <v>5.8</v>
      </c>
      <c r="G163" s="8">
        <v>6.4</v>
      </c>
    </row>
    <row r="164" spans="1:7" x14ac:dyDescent="0.3">
      <c r="A164" s="1">
        <f>'WL &amp; Q'!A164</f>
        <v>46238.666666666279</v>
      </c>
      <c r="B164" s="4" t="str">
        <f>IF('WL &amp; Q'!O164="","",'WL &amp; Q'!O164)</f>
        <v/>
      </c>
      <c r="C164" s="6" t="str">
        <f t="shared" si="2"/>
        <v/>
      </c>
      <c r="D164" s="4" t="str">
        <f>IF('WL &amp; Q'!Q164="","",'WL &amp; Q'!Q164)</f>
        <v/>
      </c>
      <c r="E164" s="8">
        <v>4.8</v>
      </c>
      <c r="F164" s="8">
        <v>5.8</v>
      </c>
      <c r="G164" s="8">
        <v>6.4</v>
      </c>
    </row>
    <row r="165" spans="1:7" x14ac:dyDescent="0.3">
      <c r="A165" s="1">
        <f>'WL &amp; Q'!A165</f>
        <v>46238.708333332943</v>
      </c>
      <c r="B165" s="4" t="str">
        <f>IF('WL &amp; Q'!O165="","",'WL &amp; Q'!O165)</f>
        <v/>
      </c>
      <c r="C165" s="6" t="str">
        <f t="shared" si="2"/>
        <v/>
      </c>
      <c r="D165" s="4" t="str">
        <f>IF('WL &amp; Q'!Q165="","",'WL &amp; Q'!Q165)</f>
        <v/>
      </c>
      <c r="E165" s="8">
        <v>4.8</v>
      </c>
      <c r="F165" s="8">
        <v>5.8</v>
      </c>
      <c r="G165" s="8">
        <v>6.4</v>
      </c>
    </row>
    <row r="166" spans="1:7" x14ac:dyDescent="0.3">
      <c r="A166" s="1">
        <f>'WL &amp; Q'!A166</f>
        <v>46238.749999999607</v>
      </c>
      <c r="B166" s="4" t="str">
        <f>IF('WL &amp; Q'!O166="","",'WL &amp; Q'!O166)</f>
        <v/>
      </c>
      <c r="C166" s="6" t="str">
        <f t="shared" si="2"/>
        <v/>
      </c>
      <c r="D166" s="4" t="str">
        <f>IF('WL &amp; Q'!Q166="","",'WL &amp; Q'!Q166)</f>
        <v/>
      </c>
      <c r="E166" s="8">
        <v>4.8</v>
      </c>
      <c r="F166" s="8">
        <v>5.8</v>
      </c>
      <c r="G166" s="8">
        <v>6.4</v>
      </c>
    </row>
    <row r="167" spans="1:7" x14ac:dyDescent="0.3">
      <c r="A167" s="1">
        <f>'WL &amp; Q'!A167</f>
        <v>46238.791666666271</v>
      </c>
      <c r="B167" s="4" t="str">
        <f>IF('WL &amp; Q'!O167="","",'WL &amp; Q'!O167)</f>
        <v/>
      </c>
      <c r="C167" s="6" t="str">
        <f t="shared" si="2"/>
        <v/>
      </c>
      <c r="D167" s="4" t="str">
        <f>IF('WL &amp; Q'!Q167="","",'WL &amp; Q'!Q167)</f>
        <v/>
      </c>
      <c r="E167" s="8">
        <v>4.8</v>
      </c>
      <c r="F167" s="8">
        <v>5.8</v>
      </c>
      <c r="G167" s="8">
        <v>6.4</v>
      </c>
    </row>
    <row r="168" spans="1:7" x14ac:dyDescent="0.3">
      <c r="A168" s="1">
        <f>'WL &amp; Q'!A168</f>
        <v>46238.833333332936</v>
      </c>
      <c r="B168" s="4" t="str">
        <f>IF('WL &amp; Q'!O168="","",'WL &amp; Q'!O168)</f>
        <v/>
      </c>
      <c r="C168" s="6" t="str">
        <f t="shared" si="2"/>
        <v/>
      </c>
      <c r="D168" s="4" t="str">
        <f>IF('WL &amp; Q'!Q168="","",'WL &amp; Q'!Q168)</f>
        <v/>
      </c>
      <c r="E168" s="8">
        <v>4.8</v>
      </c>
      <c r="F168" s="8">
        <v>5.8</v>
      </c>
      <c r="G168" s="8">
        <v>6.4</v>
      </c>
    </row>
    <row r="169" spans="1:7" x14ac:dyDescent="0.3">
      <c r="A169" s="1">
        <f>'WL &amp; Q'!A169</f>
        <v>46238.8749999996</v>
      </c>
      <c r="B169" s="4" t="str">
        <f>IF('WL &amp; Q'!O169="","",'WL &amp; Q'!O169)</f>
        <v/>
      </c>
      <c r="C169" s="6" t="str">
        <f t="shared" si="2"/>
        <v/>
      </c>
      <c r="D169" s="4" t="str">
        <f>IF('WL &amp; Q'!Q169="","",'WL &amp; Q'!Q169)</f>
        <v/>
      </c>
      <c r="E169" s="8">
        <v>4.8</v>
      </c>
      <c r="F169" s="8">
        <v>5.8</v>
      </c>
      <c r="G169" s="8">
        <v>6.4</v>
      </c>
    </row>
    <row r="170" spans="1:7" x14ac:dyDescent="0.3">
      <c r="A170" s="1">
        <f>'WL &amp; Q'!A170</f>
        <v>46238.916666666264</v>
      </c>
      <c r="B170" s="4" t="str">
        <f>IF('WL &amp; Q'!O170="","",'WL &amp; Q'!O170)</f>
        <v/>
      </c>
      <c r="C170" s="6" t="str">
        <f t="shared" si="2"/>
        <v/>
      </c>
      <c r="D170" s="4" t="str">
        <f>IF('WL &amp; Q'!Q170="","",'WL &amp; Q'!Q170)</f>
        <v/>
      </c>
      <c r="E170" s="8">
        <v>4.8</v>
      </c>
      <c r="F170" s="8">
        <v>5.8</v>
      </c>
      <c r="G170" s="8">
        <v>6.4</v>
      </c>
    </row>
    <row r="171" spans="1:7" x14ac:dyDescent="0.3">
      <c r="A171" s="1">
        <f>'WL &amp; Q'!A171</f>
        <v>46238.958333332928</v>
      </c>
      <c r="B171" s="4" t="str">
        <f>IF('WL &amp; Q'!O171="","",'WL &amp; Q'!O171)</f>
        <v/>
      </c>
      <c r="C171" s="6" t="str">
        <f t="shared" si="2"/>
        <v/>
      </c>
      <c r="D171" s="4" t="str">
        <f>IF('WL &amp; Q'!Q171="","",'WL &amp; Q'!Q171)</f>
        <v/>
      </c>
      <c r="E171" s="8">
        <v>4.8</v>
      </c>
      <c r="F171" s="8">
        <v>5.8</v>
      </c>
      <c r="G171" s="8">
        <v>6.4</v>
      </c>
    </row>
    <row r="172" spans="1:7" x14ac:dyDescent="0.3">
      <c r="A172" s="1">
        <f>'WL &amp; Q'!A172</f>
        <v>46238.999999999593</v>
      </c>
      <c r="B172" s="4" t="str">
        <f>IF('WL &amp; Q'!O172="","",'WL &amp; Q'!O172)</f>
        <v/>
      </c>
      <c r="C172" s="6" t="str">
        <f t="shared" si="2"/>
        <v/>
      </c>
      <c r="D172" s="4" t="str">
        <f>IF('WL &amp; Q'!Q172="","",'WL &amp; Q'!Q172)</f>
        <v/>
      </c>
      <c r="E172" s="8">
        <v>4.8</v>
      </c>
      <c r="F172" s="8">
        <v>5.8</v>
      </c>
      <c r="G172" s="8">
        <v>6.4</v>
      </c>
    </row>
    <row r="173" spans="1:7" x14ac:dyDescent="0.3">
      <c r="A173" s="1">
        <f>'WL &amp; Q'!A173</f>
        <v>46239.041666666257</v>
      </c>
      <c r="B173" s="4" t="str">
        <f>IF('WL &amp; Q'!O173="","",'WL &amp; Q'!O173)</f>
        <v/>
      </c>
      <c r="C173" s="6" t="str">
        <f t="shared" si="2"/>
        <v/>
      </c>
      <c r="D173" s="4" t="str">
        <f>IF('WL &amp; Q'!Q173="","",'WL &amp; Q'!Q173)</f>
        <v/>
      </c>
      <c r="E173" s="8">
        <v>4.8</v>
      </c>
      <c r="F173" s="8">
        <v>5.8</v>
      </c>
      <c r="G173" s="8">
        <v>6.4</v>
      </c>
    </row>
    <row r="174" spans="1:7" x14ac:dyDescent="0.3">
      <c r="A174" s="1">
        <f>'WL &amp; Q'!A174</f>
        <v>46239.083333332921</v>
      </c>
      <c r="B174" s="4" t="str">
        <f>IF('WL &amp; Q'!O174="","",'WL &amp; Q'!O174)</f>
        <v/>
      </c>
      <c r="C174" s="6" t="str">
        <f t="shared" si="2"/>
        <v/>
      </c>
      <c r="D174" s="4" t="str">
        <f>IF('WL &amp; Q'!Q174="","",'WL &amp; Q'!Q174)</f>
        <v/>
      </c>
      <c r="E174" s="8">
        <v>4.8</v>
      </c>
      <c r="F174" s="8">
        <v>5.8</v>
      </c>
      <c r="G174" s="8">
        <v>6.4</v>
      </c>
    </row>
    <row r="175" spans="1:7" x14ac:dyDescent="0.3">
      <c r="A175" s="1">
        <f>'WL &amp; Q'!A175</f>
        <v>46239.124999999585</v>
      </c>
      <c r="B175" s="4" t="str">
        <f>IF('WL &amp; Q'!O175="","",'WL &amp; Q'!O175)</f>
        <v/>
      </c>
      <c r="C175" s="6" t="str">
        <f t="shared" si="2"/>
        <v/>
      </c>
      <c r="D175" s="4" t="str">
        <f>IF('WL &amp; Q'!Q175="","",'WL &amp; Q'!Q175)</f>
        <v/>
      </c>
      <c r="E175" s="8">
        <v>4.8</v>
      </c>
      <c r="F175" s="8">
        <v>5.8</v>
      </c>
      <c r="G175" s="8">
        <v>6.4</v>
      </c>
    </row>
    <row r="176" spans="1:7" x14ac:dyDescent="0.3">
      <c r="A176" s="1">
        <f>'WL &amp; Q'!A176</f>
        <v>46239.16666666625</v>
      </c>
      <c r="B176" s="4" t="str">
        <f>IF('WL &amp; Q'!O176="","",'WL &amp; Q'!O176)</f>
        <v/>
      </c>
      <c r="C176" s="6" t="str">
        <f t="shared" si="2"/>
        <v/>
      </c>
      <c r="D176" s="4" t="str">
        <f>IF('WL &amp; Q'!Q176="","",'WL &amp; Q'!Q176)</f>
        <v/>
      </c>
      <c r="E176" s="8">
        <v>4.8</v>
      </c>
      <c r="F176" s="8">
        <v>5.8</v>
      </c>
      <c r="G176" s="8">
        <v>6.4</v>
      </c>
    </row>
    <row r="177" spans="1:7" x14ac:dyDescent="0.3">
      <c r="A177" s="1">
        <f>'WL &amp; Q'!A177</f>
        <v>46239.208333332914</v>
      </c>
      <c r="B177" s="4" t="str">
        <f>IF('WL &amp; Q'!O177="","",'WL &amp; Q'!O177)</f>
        <v/>
      </c>
      <c r="C177" s="6" t="str">
        <f t="shared" si="2"/>
        <v/>
      </c>
      <c r="D177" s="4" t="str">
        <f>IF('WL &amp; Q'!Q177="","",'WL &amp; Q'!Q177)</f>
        <v/>
      </c>
      <c r="E177" s="8">
        <v>4.8</v>
      </c>
      <c r="F177" s="8">
        <v>5.8</v>
      </c>
      <c r="G177" s="8">
        <v>6.4</v>
      </c>
    </row>
    <row r="178" spans="1:7" x14ac:dyDescent="0.3">
      <c r="A178" s="1">
        <f>'WL &amp; Q'!A178</f>
        <v>46239.249999999578</v>
      </c>
      <c r="B178" s="4" t="str">
        <f>IF('WL &amp; Q'!O178="","",'WL &amp; Q'!O178)</f>
        <v/>
      </c>
      <c r="C178" s="6" t="str">
        <f t="shared" si="2"/>
        <v/>
      </c>
      <c r="D178" s="4" t="str">
        <f>IF('WL &amp; Q'!Q178="","",'WL &amp; Q'!Q178)</f>
        <v/>
      </c>
      <c r="E178" s="8">
        <v>4.8</v>
      </c>
      <c r="F178" s="8">
        <v>5.8</v>
      </c>
      <c r="G178" s="8">
        <v>6.4</v>
      </c>
    </row>
    <row r="179" spans="1:7" x14ac:dyDescent="0.3">
      <c r="A179" s="1">
        <f>'WL &amp; Q'!A179</f>
        <v>46239.291666666242</v>
      </c>
      <c r="B179" s="4" t="str">
        <f>IF('WL &amp; Q'!O179="","",'WL &amp; Q'!O179)</f>
        <v/>
      </c>
      <c r="C179" s="6" t="str">
        <f t="shared" si="2"/>
        <v/>
      </c>
      <c r="D179" s="4" t="str">
        <f>IF('WL &amp; Q'!Q179="","",'WL &amp; Q'!Q179)</f>
        <v/>
      </c>
      <c r="E179" s="8">
        <v>4.8</v>
      </c>
      <c r="F179" s="8">
        <v>5.8</v>
      </c>
      <c r="G179" s="8">
        <v>6.4</v>
      </c>
    </row>
    <row r="180" spans="1:7" x14ac:dyDescent="0.3">
      <c r="A180" s="1">
        <f>'WL &amp; Q'!A180</f>
        <v>46239.333333332906</v>
      </c>
      <c r="B180" s="4" t="str">
        <f>IF('WL &amp; Q'!O180="","",'WL &amp; Q'!O180)</f>
        <v/>
      </c>
      <c r="C180" s="6" t="str">
        <f t="shared" si="2"/>
        <v/>
      </c>
      <c r="D180" s="4" t="str">
        <f>IF('WL &amp; Q'!Q180="","",'WL &amp; Q'!Q180)</f>
        <v/>
      </c>
      <c r="E180" s="8">
        <v>4.8</v>
      </c>
      <c r="F180" s="8">
        <v>5.8</v>
      </c>
      <c r="G180" s="8">
        <v>6.4</v>
      </c>
    </row>
    <row r="181" spans="1:7" x14ac:dyDescent="0.3">
      <c r="A181" s="1">
        <f>'WL &amp; Q'!A181</f>
        <v>46239.374999999571</v>
      </c>
      <c r="B181" s="4" t="str">
        <f>IF('WL &amp; Q'!O181="","",'WL &amp; Q'!O181)</f>
        <v/>
      </c>
      <c r="C181" s="6" t="str">
        <f t="shared" si="2"/>
        <v/>
      </c>
      <c r="D181" s="4" t="str">
        <f>IF('WL &amp; Q'!Q181="","",'WL &amp; Q'!Q181)</f>
        <v/>
      </c>
      <c r="E181" s="8">
        <v>4.8</v>
      </c>
      <c r="F181" s="8">
        <v>5.8</v>
      </c>
      <c r="G181" s="8">
        <v>6.4</v>
      </c>
    </row>
    <row r="182" spans="1:7" x14ac:dyDescent="0.3">
      <c r="A182" s="1">
        <f>'WL &amp; Q'!A182</f>
        <v>46239.416666666235</v>
      </c>
      <c r="B182" s="4" t="str">
        <f>IF('WL &amp; Q'!O182="","",'WL &amp; Q'!O182)</f>
        <v/>
      </c>
      <c r="C182" s="6" t="str">
        <f t="shared" si="2"/>
        <v/>
      </c>
      <c r="D182" s="4" t="str">
        <f>IF('WL &amp; Q'!Q182="","",'WL &amp; Q'!Q182)</f>
        <v/>
      </c>
      <c r="E182" s="8">
        <v>4.8</v>
      </c>
      <c r="F182" s="8">
        <v>5.8</v>
      </c>
      <c r="G182" s="8">
        <v>6.4</v>
      </c>
    </row>
    <row r="183" spans="1:7" x14ac:dyDescent="0.3">
      <c r="A183" s="1">
        <f>'WL &amp; Q'!A183</f>
        <v>46239.458333332899</v>
      </c>
      <c r="B183" s="4" t="str">
        <f>IF('WL &amp; Q'!O183="","",'WL &amp; Q'!O183)</f>
        <v/>
      </c>
      <c r="C183" s="6" t="str">
        <f t="shared" si="2"/>
        <v/>
      </c>
      <c r="D183" s="4" t="str">
        <f>IF('WL &amp; Q'!Q183="","",'WL &amp; Q'!Q183)</f>
        <v/>
      </c>
      <c r="E183" s="8">
        <v>4.8</v>
      </c>
      <c r="F183" s="8">
        <v>5.8</v>
      </c>
      <c r="G183" s="8">
        <v>6.4</v>
      </c>
    </row>
    <row r="184" spans="1:7" x14ac:dyDescent="0.3">
      <c r="A184" s="1">
        <f>'WL &amp; Q'!A184</f>
        <v>46239.499999999563</v>
      </c>
      <c r="B184" s="4" t="str">
        <f>IF('WL &amp; Q'!O184="","",'WL &amp; Q'!O184)</f>
        <v/>
      </c>
      <c r="C184" s="6" t="str">
        <f t="shared" si="2"/>
        <v/>
      </c>
      <c r="D184" s="4" t="str">
        <f>IF('WL &amp; Q'!Q184="","",'WL &amp; Q'!Q184)</f>
        <v/>
      </c>
      <c r="E184" s="8">
        <v>4.8</v>
      </c>
      <c r="F184" s="8">
        <v>5.8</v>
      </c>
      <c r="G184" s="8">
        <v>6.4</v>
      </c>
    </row>
    <row r="185" spans="1:7" x14ac:dyDescent="0.3">
      <c r="A185" s="1">
        <f>'WL &amp; Q'!A185</f>
        <v>46239.541666666228</v>
      </c>
      <c r="B185" s="4" t="str">
        <f>IF('WL &amp; Q'!O185="","",'WL &amp; Q'!O185)</f>
        <v/>
      </c>
      <c r="C185" s="6" t="str">
        <f t="shared" si="2"/>
        <v/>
      </c>
      <c r="D185" s="4" t="str">
        <f>IF('WL &amp; Q'!Q185="","",'WL &amp; Q'!Q185)</f>
        <v/>
      </c>
      <c r="E185" s="8">
        <v>4.8</v>
      </c>
      <c r="F185" s="8">
        <v>5.8</v>
      </c>
      <c r="G185" s="8">
        <v>6.4</v>
      </c>
    </row>
    <row r="186" spans="1:7" x14ac:dyDescent="0.3">
      <c r="A186" s="1">
        <f>'WL &amp; Q'!A186</f>
        <v>46239.583333332892</v>
      </c>
      <c r="B186" s="4" t="str">
        <f>IF('WL &amp; Q'!O186="","",'WL &amp; Q'!O186)</f>
        <v/>
      </c>
      <c r="C186" s="6" t="str">
        <f t="shared" si="2"/>
        <v/>
      </c>
      <c r="D186" s="4" t="str">
        <f>IF('WL &amp; Q'!Q186="","",'WL &amp; Q'!Q186)</f>
        <v/>
      </c>
      <c r="E186" s="8">
        <v>4.8</v>
      </c>
      <c r="F186" s="8">
        <v>5.8</v>
      </c>
      <c r="G186" s="8">
        <v>6.4</v>
      </c>
    </row>
    <row r="187" spans="1:7" x14ac:dyDescent="0.3">
      <c r="A187" s="1">
        <f>'WL &amp; Q'!A187</f>
        <v>46239.624999999556</v>
      </c>
      <c r="B187" s="4" t="str">
        <f>IF('WL &amp; Q'!O187="","",'WL &amp; Q'!O187)</f>
        <v/>
      </c>
      <c r="C187" s="6" t="str">
        <f t="shared" si="2"/>
        <v/>
      </c>
      <c r="D187" s="4" t="str">
        <f>IF('WL &amp; Q'!Q187="","",'WL &amp; Q'!Q187)</f>
        <v/>
      </c>
      <c r="E187" s="8">
        <v>4.8</v>
      </c>
      <c r="F187" s="8">
        <v>5.8</v>
      </c>
      <c r="G187" s="8">
        <v>6.4</v>
      </c>
    </row>
    <row r="188" spans="1:7" x14ac:dyDescent="0.3">
      <c r="A188" s="1">
        <f>'WL &amp; Q'!A188</f>
        <v>46239.66666666622</v>
      </c>
      <c r="B188" s="4" t="str">
        <f>IF('WL &amp; Q'!O188="","",'WL &amp; Q'!O188)</f>
        <v/>
      </c>
      <c r="C188" s="6" t="str">
        <f t="shared" si="2"/>
        <v/>
      </c>
      <c r="D188" s="4" t="str">
        <f>IF('WL &amp; Q'!Q188="","",'WL &amp; Q'!Q188)</f>
        <v/>
      </c>
      <c r="E188" s="8">
        <v>4.8</v>
      </c>
      <c r="F188" s="8">
        <v>5.8</v>
      </c>
      <c r="G188" s="8">
        <v>6.4</v>
      </c>
    </row>
    <row r="189" spans="1:7" x14ac:dyDescent="0.3">
      <c r="A189" s="1">
        <f>'WL &amp; Q'!A189</f>
        <v>46239.708333332885</v>
      </c>
      <c r="B189" s="4" t="str">
        <f>IF('WL &amp; Q'!O189="","",'WL &amp; Q'!O189)</f>
        <v/>
      </c>
      <c r="C189" s="6" t="str">
        <f t="shared" si="2"/>
        <v/>
      </c>
      <c r="D189" s="4" t="str">
        <f>IF('WL &amp; Q'!Q189="","",'WL &amp; Q'!Q189)</f>
        <v/>
      </c>
      <c r="E189" s="8">
        <v>4.8</v>
      </c>
      <c r="F189" s="8">
        <v>5.8</v>
      </c>
      <c r="G189" s="8">
        <v>6.4</v>
      </c>
    </row>
    <row r="190" spans="1:7" x14ac:dyDescent="0.3">
      <c r="A190" s="1">
        <f>'WL &amp; Q'!A190</f>
        <v>46239.749999999549</v>
      </c>
      <c r="B190" s="4" t="str">
        <f>IF('WL &amp; Q'!O190="","",'WL &amp; Q'!O190)</f>
        <v/>
      </c>
      <c r="C190" s="6" t="str">
        <f t="shared" si="2"/>
        <v/>
      </c>
      <c r="D190" s="4" t="str">
        <f>IF('WL &amp; Q'!Q190="","",'WL &amp; Q'!Q190)</f>
        <v/>
      </c>
      <c r="E190" s="8">
        <v>4.8</v>
      </c>
      <c r="F190" s="8">
        <v>5.8</v>
      </c>
      <c r="G190" s="8">
        <v>6.4</v>
      </c>
    </row>
    <row r="191" spans="1:7" x14ac:dyDescent="0.3">
      <c r="A191" s="1">
        <f>'WL &amp; Q'!A191</f>
        <v>46239.791666666213</v>
      </c>
      <c r="B191" s="4" t="str">
        <f>IF('WL &amp; Q'!O191="","",'WL &amp; Q'!O191)</f>
        <v/>
      </c>
      <c r="C191" s="6" t="str">
        <f t="shared" si="2"/>
        <v/>
      </c>
      <c r="D191" s="4" t="str">
        <f>IF('WL &amp; Q'!Q191="","",'WL &amp; Q'!Q191)</f>
        <v/>
      </c>
      <c r="E191" s="8">
        <v>4.8</v>
      </c>
      <c r="F191" s="8">
        <v>5.8</v>
      </c>
      <c r="G191" s="8">
        <v>6.4</v>
      </c>
    </row>
    <row r="192" spans="1:7" x14ac:dyDescent="0.3">
      <c r="A192" s="1">
        <f>'WL &amp; Q'!A192</f>
        <v>46239.833333332877</v>
      </c>
      <c r="B192" s="4" t="str">
        <f>IF('WL &amp; Q'!O192="","",'WL &amp; Q'!O192)</f>
        <v/>
      </c>
      <c r="C192" s="6" t="str">
        <f t="shared" si="2"/>
        <v/>
      </c>
      <c r="D192" s="4" t="str">
        <f>IF('WL &amp; Q'!Q192="","",'WL &amp; Q'!Q192)</f>
        <v/>
      </c>
      <c r="E192" s="8">
        <v>4.8</v>
      </c>
      <c r="F192" s="8">
        <v>5.8</v>
      </c>
      <c r="G192" s="8">
        <v>6.4</v>
      </c>
    </row>
    <row r="193" spans="1:7" x14ac:dyDescent="0.3">
      <c r="A193" s="1">
        <f>'WL &amp; Q'!A193</f>
        <v>46239.874999999542</v>
      </c>
      <c r="B193" s="4" t="str">
        <f>IF('WL &amp; Q'!O193="","",'WL &amp; Q'!O193)</f>
        <v/>
      </c>
      <c r="C193" s="6" t="str">
        <f t="shared" si="2"/>
        <v/>
      </c>
      <c r="D193" s="4" t="str">
        <f>IF('WL &amp; Q'!Q193="","",'WL &amp; Q'!Q193)</f>
        <v/>
      </c>
      <c r="E193" s="8">
        <v>4.8</v>
      </c>
      <c r="F193" s="8">
        <v>5.8</v>
      </c>
      <c r="G193" s="8">
        <v>6.4</v>
      </c>
    </row>
    <row r="194" spans="1:7" x14ac:dyDescent="0.3">
      <c r="A194" s="1">
        <f>'WL &amp; Q'!A194</f>
        <v>46239.916666666206</v>
      </c>
      <c r="B194" s="4" t="str">
        <f>IF('WL &amp; Q'!O194="","",'WL &amp; Q'!O194)</f>
        <v/>
      </c>
      <c r="C194" s="6" t="str">
        <f t="shared" si="2"/>
        <v/>
      </c>
      <c r="D194" s="4" t="str">
        <f>IF('WL &amp; Q'!Q194="","",'WL &amp; Q'!Q194)</f>
        <v/>
      </c>
      <c r="E194" s="8">
        <v>4.8</v>
      </c>
      <c r="F194" s="8">
        <v>5.8</v>
      </c>
      <c r="G194" s="8">
        <v>6.4</v>
      </c>
    </row>
    <row r="195" spans="1:7" x14ac:dyDescent="0.3">
      <c r="A195" s="1">
        <f>'WL &amp; Q'!A195</f>
        <v>46239.95833333287</v>
      </c>
      <c r="B195" s="4" t="str">
        <f>IF('WL &amp; Q'!O195="","",'WL &amp; Q'!O195)</f>
        <v/>
      </c>
      <c r="C195" s="6" t="str">
        <f t="shared" si="2"/>
        <v/>
      </c>
      <c r="D195" s="4" t="str">
        <f>IF('WL &amp; Q'!Q195="","",'WL &amp; Q'!Q195)</f>
        <v/>
      </c>
      <c r="E195" s="8">
        <v>4.8</v>
      </c>
      <c r="F195" s="8">
        <v>5.8</v>
      </c>
      <c r="G195" s="8">
        <v>6.4</v>
      </c>
    </row>
    <row r="196" spans="1:7" x14ac:dyDescent="0.3">
      <c r="A196" s="1">
        <f>'WL &amp; Q'!A196</f>
        <v>46239.999999999534</v>
      </c>
      <c r="B196" s="4" t="str">
        <f>IF('WL &amp; Q'!O196="","",'WL &amp; Q'!O196)</f>
        <v/>
      </c>
      <c r="C196" s="6" t="str">
        <f t="shared" si="2"/>
        <v/>
      </c>
      <c r="D196" s="4" t="str">
        <f>IF('WL &amp; Q'!Q196="","",'WL &amp; Q'!Q196)</f>
        <v/>
      </c>
      <c r="E196" s="8">
        <v>4.8</v>
      </c>
      <c r="F196" s="8">
        <v>5.8</v>
      </c>
      <c r="G196" s="8">
        <v>6.4</v>
      </c>
    </row>
    <row r="197" spans="1:7" x14ac:dyDescent="0.3">
      <c r="A197" s="1">
        <f>'WL &amp; Q'!A197</f>
        <v>46240.041666666199</v>
      </c>
      <c r="B197" s="4" t="str">
        <f>IF('WL &amp; Q'!O197="","",'WL &amp; Q'!O197)</f>
        <v/>
      </c>
      <c r="C197" s="6" t="str">
        <f t="shared" si="2"/>
        <v/>
      </c>
      <c r="D197" s="4" t="str">
        <f>IF('WL &amp; Q'!Q197="","",'WL &amp; Q'!Q197)</f>
        <v/>
      </c>
      <c r="E197" s="8">
        <v>4.8</v>
      </c>
      <c r="F197" s="8">
        <v>5.8</v>
      </c>
      <c r="G197" s="8">
        <v>6.4</v>
      </c>
    </row>
    <row r="198" spans="1:7" x14ac:dyDescent="0.3">
      <c r="A198" s="1">
        <f>'WL &amp; Q'!A198</f>
        <v>46240.083333332863</v>
      </c>
      <c r="B198" s="4" t="str">
        <f>IF('WL &amp; Q'!O198="","",'WL &amp; Q'!O198)</f>
        <v/>
      </c>
      <c r="C198" s="6" t="str">
        <f t="shared" ref="C198:C261" si="3">IF(B198="","",28.62*(B198)^1.3838)</f>
        <v/>
      </c>
      <c r="D198" s="4" t="str">
        <f>IF('WL &amp; Q'!Q198="","",'WL &amp; Q'!Q198)</f>
        <v/>
      </c>
      <c r="E198" s="8">
        <v>4.8</v>
      </c>
      <c r="F198" s="8">
        <v>5.8</v>
      </c>
      <c r="G198" s="8">
        <v>6.4</v>
      </c>
    </row>
    <row r="199" spans="1:7" x14ac:dyDescent="0.3">
      <c r="A199" s="1">
        <f>'WL &amp; Q'!A199</f>
        <v>46240.124999999527</v>
      </c>
      <c r="B199" s="4" t="str">
        <f>IF('WL &amp; Q'!O199="","",'WL &amp; Q'!O199)</f>
        <v/>
      </c>
      <c r="C199" s="6" t="str">
        <f t="shared" si="3"/>
        <v/>
      </c>
      <c r="D199" s="4" t="str">
        <f>IF('WL &amp; Q'!Q199="","",'WL &amp; Q'!Q199)</f>
        <v/>
      </c>
      <c r="E199" s="8">
        <v>4.8</v>
      </c>
      <c r="F199" s="8">
        <v>5.8</v>
      </c>
      <c r="G199" s="8">
        <v>6.4</v>
      </c>
    </row>
    <row r="200" spans="1:7" x14ac:dyDescent="0.3">
      <c r="A200" s="1">
        <f>'WL &amp; Q'!A200</f>
        <v>46240.166666666191</v>
      </c>
      <c r="B200" s="4" t="str">
        <f>IF('WL &amp; Q'!O200="","",'WL &amp; Q'!O200)</f>
        <v/>
      </c>
      <c r="C200" s="6" t="str">
        <f t="shared" si="3"/>
        <v/>
      </c>
      <c r="D200" s="4" t="str">
        <f>IF('WL &amp; Q'!Q200="","",'WL &amp; Q'!Q200)</f>
        <v/>
      </c>
      <c r="E200" s="8">
        <v>4.8</v>
      </c>
      <c r="F200" s="8">
        <v>5.8</v>
      </c>
      <c r="G200" s="8">
        <v>6.4</v>
      </c>
    </row>
    <row r="201" spans="1:7" x14ac:dyDescent="0.3">
      <c r="A201" s="1">
        <f>'WL &amp; Q'!A201</f>
        <v>46240.208333332856</v>
      </c>
      <c r="B201" s="4" t="str">
        <f>IF('WL &amp; Q'!O201="","",'WL &amp; Q'!O201)</f>
        <v/>
      </c>
      <c r="C201" s="6" t="str">
        <f t="shared" si="3"/>
        <v/>
      </c>
      <c r="D201" s="4" t="str">
        <f>IF('WL &amp; Q'!Q201="","",'WL &amp; Q'!Q201)</f>
        <v/>
      </c>
      <c r="E201" s="8">
        <v>4.8</v>
      </c>
      <c r="F201" s="8">
        <v>5.8</v>
      </c>
      <c r="G201" s="8">
        <v>6.4</v>
      </c>
    </row>
    <row r="202" spans="1:7" x14ac:dyDescent="0.3">
      <c r="A202" s="1">
        <f>'WL &amp; Q'!A202</f>
        <v>46240.24999999952</v>
      </c>
      <c r="B202" s="4" t="str">
        <f>IF('WL &amp; Q'!O202="","",'WL &amp; Q'!O202)</f>
        <v/>
      </c>
      <c r="C202" s="6" t="str">
        <f t="shared" si="3"/>
        <v/>
      </c>
      <c r="D202" s="4" t="str">
        <f>IF('WL &amp; Q'!Q202="","",'WL &amp; Q'!Q202)</f>
        <v/>
      </c>
      <c r="E202" s="8">
        <v>4.8</v>
      </c>
      <c r="F202" s="8">
        <v>5.8</v>
      </c>
      <c r="G202" s="8">
        <v>6.4</v>
      </c>
    </row>
    <row r="203" spans="1:7" x14ac:dyDescent="0.3">
      <c r="A203" s="1">
        <f>'WL &amp; Q'!A203</f>
        <v>46240.291666666184</v>
      </c>
      <c r="B203" s="4" t="str">
        <f>IF('WL &amp; Q'!O203="","",'WL &amp; Q'!O203)</f>
        <v/>
      </c>
      <c r="C203" s="6" t="str">
        <f t="shared" si="3"/>
        <v/>
      </c>
      <c r="D203" s="4" t="str">
        <f>IF('WL &amp; Q'!Q203="","",'WL &amp; Q'!Q203)</f>
        <v/>
      </c>
      <c r="E203" s="8">
        <v>4.8</v>
      </c>
      <c r="F203" s="8">
        <v>5.8</v>
      </c>
      <c r="G203" s="8">
        <v>6.4</v>
      </c>
    </row>
    <row r="204" spans="1:7" x14ac:dyDescent="0.3">
      <c r="A204" s="1">
        <f>'WL &amp; Q'!A204</f>
        <v>46240.333333332848</v>
      </c>
      <c r="B204" s="4" t="str">
        <f>IF('WL &amp; Q'!O204="","",'WL &amp; Q'!O204)</f>
        <v/>
      </c>
      <c r="C204" s="6" t="str">
        <f t="shared" si="3"/>
        <v/>
      </c>
      <c r="D204" s="4" t="str">
        <f>IF('WL &amp; Q'!Q204="","",'WL &amp; Q'!Q204)</f>
        <v/>
      </c>
      <c r="E204" s="8">
        <v>4.8</v>
      </c>
      <c r="F204" s="8">
        <v>5.8</v>
      </c>
      <c r="G204" s="8">
        <v>6.4</v>
      </c>
    </row>
    <row r="205" spans="1:7" x14ac:dyDescent="0.3">
      <c r="A205" s="1">
        <f>'WL &amp; Q'!A205</f>
        <v>46240.374999999513</v>
      </c>
      <c r="B205" s="4" t="str">
        <f>IF('WL &amp; Q'!O205="","",'WL &amp; Q'!O205)</f>
        <v/>
      </c>
      <c r="C205" s="6" t="str">
        <f t="shared" si="3"/>
        <v/>
      </c>
      <c r="D205" s="4" t="str">
        <f>IF('WL &amp; Q'!Q205="","",'WL &amp; Q'!Q205)</f>
        <v/>
      </c>
      <c r="E205" s="8">
        <v>4.8</v>
      </c>
      <c r="F205" s="8">
        <v>5.8</v>
      </c>
      <c r="G205" s="8">
        <v>6.4</v>
      </c>
    </row>
    <row r="206" spans="1:7" x14ac:dyDescent="0.3">
      <c r="A206" s="1">
        <f>'WL &amp; Q'!A206</f>
        <v>46240.416666666177</v>
      </c>
      <c r="B206" s="4" t="str">
        <f>IF('WL &amp; Q'!O206="","",'WL &amp; Q'!O206)</f>
        <v/>
      </c>
      <c r="C206" s="6" t="str">
        <f t="shared" si="3"/>
        <v/>
      </c>
      <c r="D206" s="4" t="str">
        <f>IF('WL &amp; Q'!Q206="","",'WL &amp; Q'!Q206)</f>
        <v/>
      </c>
      <c r="E206" s="8">
        <v>4.8</v>
      </c>
      <c r="F206" s="8">
        <v>5.8</v>
      </c>
      <c r="G206" s="8">
        <v>6.4</v>
      </c>
    </row>
    <row r="207" spans="1:7" x14ac:dyDescent="0.3">
      <c r="A207" s="1">
        <f>'WL &amp; Q'!A207</f>
        <v>46240.458333332841</v>
      </c>
      <c r="B207" s="4" t="str">
        <f>IF('WL &amp; Q'!O207="","",'WL &amp; Q'!O207)</f>
        <v/>
      </c>
      <c r="C207" s="6" t="str">
        <f t="shared" si="3"/>
        <v/>
      </c>
      <c r="D207" s="4" t="str">
        <f>IF('WL &amp; Q'!Q207="","",'WL &amp; Q'!Q207)</f>
        <v/>
      </c>
      <c r="E207" s="8">
        <v>4.8</v>
      </c>
      <c r="F207" s="8">
        <v>5.8</v>
      </c>
      <c r="G207" s="8">
        <v>6.4</v>
      </c>
    </row>
    <row r="208" spans="1:7" x14ac:dyDescent="0.3">
      <c r="A208" s="1">
        <f>'WL &amp; Q'!A208</f>
        <v>46240.499999999505</v>
      </c>
      <c r="B208" s="4" t="str">
        <f>IF('WL &amp; Q'!O208="","",'WL &amp; Q'!O208)</f>
        <v/>
      </c>
      <c r="C208" s="6" t="str">
        <f t="shared" si="3"/>
        <v/>
      </c>
      <c r="D208" s="4" t="str">
        <f>IF('WL &amp; Q'!Q208="","",'WL &amp; Q'!Q208)</f>
        <v/>
      </c>
      <c r="E208" s="8">
        <v>4.8</v>
      </c>
      <c r="F208" s="8">
        <v>5.8</v>
      </c>
      <c r="G208" s="8">
        <v>6.4</v>
      </c>
    </row>
    <row r="209" spans="1:7" x14ac:dyDescent="0.3">
      <c r="A209" s="1">
        <f>'WL &amp; Q'!A209</f>
        <v>46240.541666666169</v>
      </c>
      <c r="B209" s="4" t="str">
        <f>IF('WL &amp; Q'!O209="","",'WL &amp; Q'!O209)</f>
        <v/>
      </c>
      <c r="C209" s="6" t="str">
        <f t="shared" si="3"/>
        <v/>
      </c>
      <c r="D209" s="4" t="str">
        <f>IF('WL &amp; Q'!Q209="","",'WL &amp; Q'!Q209)</f>
        <v/>
      </c>
      <c r="E209" s="8">
        <v>4.8</v>
      </c>
      <c r="F209" s="8">
        <v>5.8</v>
      </c>
      <c r="G209" s="8">
        <v>6.4</v>
      </c>
    </row>
    <row r="210" spans="1:7" x14ac:dyDescent="0.3">
      <c r="A210" s="1">
        <f>'WL &amp; Q'!A210</f>
        <v>46240.583333332834</v>
      </c>
      <c r="B210" s="4" t="str">
        <f>IF('WL &amp; Q'!O210="","",'WL &amp; Q'!O210)</f>
        <v/>
      </c>
      <c r="C210" s="6" t="str">
        <f t="shared" si="3"/>
        <v/>
      </c>
      <c r="D210" s="4" t="str">
        <f>IF('WL &amp; Q'!Q210="","",'WL &amp; Q'!Q210)</f>
        <v/>
      </c>
      <c r="E210" s="8">
        <v>4.8</v>
      </c>
      <c r="F210" s="8">
        <v>5.8</v>
      </c>
      <c r="G210" s="8">
        <v>6.4</v>
      </c>
    </row>
    <row r="211" spans="1:7" x14ac:dyDescent="0.3">
      <c r="A211" s="1">
        <f>'WL &amp; Q'!A211</f>
        <v>46240.624999999498</v>
      </c>
      <c r="B211" s="4" t="str">
        <f>IF('WL &amp; Q'!O211="","",'WL &amp; Q'!O211)</f>
        <v/>
      </c>
      <c r="C211" s="6" t="str">
        <f t="shared" si="3"/>
        <v/>
      </c>
      <c r="D211" s="4" t="str">
        <f>IF('WL &amp; Q'!Q211="","",'WL &amp; Q'!Q211)</f>
        <v/>
      </c>
      <c r="E211" s="8">
        <v>4.8</v>
      </c>
      <c r="F211" s="8">
        <v>5.8</v>
      </c>
      <c r="G211" s="8">
        <v>6.4</v>
      </c>
    </row>
    <row r="212" spans="1:7" x14ac:dyDescent="0.3">
      <c r="A212" s="1">
        <f>'WL &amp; Q'!A212</f>
        <v>46240.666666666162</v>
      </c>
      <c r="B212" s="4" t="str">
        <f>IF('WL &amp; Q'!O212="","",'WL &amp; Q'!O212)</f>
        <v/>
      </c>
      <c r="C212" s="6" t="str">
        <f t="shared" si="3"/>
        <v/>
      </c>
      <c r="D212" s="4" t="str">
        <f>IF('WL &amp; Q'!Q212="","",'WL &amp; Q'!Q212)</f>
        <v/>
      </c>
      <c r="E212" s="8">
        <v>4.8</v>
      </c>
      <c r="F212" s="8">
        <v>5.8</v>
      </c>
      <c r="G212" s="8">
        <v>6.4</v>
      </c>
    </row>
    <row r="213" spans="1:7" x14ac:dyDescent="0.3">
      <c r="A213" s="1">
        <f>'WL &amp; Q'!A213</f>
        <v>46240.708333332826</v>
      </c>
      <c r="B213" s="4" t="str">
        <f>IF('WL &amp; Q'!O213="","",'WL &amp; Q'!O213)</f>
        <v/>
      </c>
      <c r="C213" s="6" t="str">
        <f t="shared" si="3"/>
        <v/>
      </c>
      <c r="D213" s="4" t="str">
        <f>IF('WL &amp; Q'!Q213="","",'WL &amp; Q'!Q213)</f>
        <v/>
      </c>
      <c r="E213" s="8">
        <v>4.8</v>
      </c>
      <c r="F213" s="8">
        <v>5.8</v>
      </c>
      <c r="G213" s="8">
        <v>6.4</v>
      </c>
    </row>
    <row r="214" spans="1:7" x14ac:dyDescent="0.3">
      <c r="A214" s="1">
        <f>'WL &amp; Q'!A214</f>
        <v>46240.749999999491</v>
      </c>
      <c r="B214" s="4" t="str">
        <f>IF('WL &amp; Q'!O214="","",'WL &amp; Q'!O214)</f>
        <v/>
      </c>
      <c r="C214" s="6" t="str">
        <f t="shared" si="3"/>
        <v/>
      </c>
      <c r="D214" s="4" t="str">
        <f>IF('WL &amp; Q'!Q214="","",'WL &amp; Q'!Q214)</f>
        <v/>
      </c>
      <c r="E214" s="8">
        <v>4.8</v>
      </c>
      <c r="F214" s="8">
        <v>5.8</v>
      </c>
      <c r="G214" s="8">
        <v>6.4</v>
      </c>
    </row>
    <row r="215" spans="1:7" x14ac:dyDescent="0.3">
      <c r="A215" s="1">
        <f>'WL &amp; Q'!A215</f>
        <v>46240.791666666155</v>
      </c>
      <c r="B215" s="4" t="str">
        <f>IF('WL &amp; Q'!O215="","",'WL &amp; Q'!O215)</f>
        <v/>
      </c>
      <c r="C215" s="6" t="str">
        <f t="shared" si="3"/>
        <v/>
      </c>
      <c r="D215" s="4" t="str">
        <f>IF('WL &amp; Q'!Q215="","",'WL &amp; Q'!Q215)</f>
        <v/>
      </c>
      <c r="E215" s="8">
        <v>4.8</v>
      </c>
      <c r="F215" s="8">
        <v>5.8</v>
      </c>
      <c r="G215" s="8">
        <v>6.4</v>
      </c>
    </row>
    <row r="216" spans="1:7" x14ac:dyDescent="0.3">
      <c r="A216" s="1">
        <f>'WL &amp; Q'!A216</f>
        <v>46240.833333332819</v>
      </c>
      <c r="B216" s="4" t="str">
        <f>IF('WL &amp; Q'!O216="","",'WL &amp; Q'!O216)</f>
        <v/>
      </c>
      <c r="C216" s="6" t="str">
        <f t="shared" si="3"/>
        <v/>
      </c>
      <c r="D216" s="4" t="str">
        <f>IF('WL &amp; Q'!Q216="","",'WL &amp; Q'!Q216)</f>
        <v/>
      </c>
      <c r="E216" s="8">
        <v>4.8</v>
      </c>
      <c r="F216" s="8">
        <v>5.8</v>
      </c>
      <c r="G216" s="8">
        <v>6.4</v>
      </c>
    </row>
    <row r="217" spans="1:7" x14ac:dyDescent="0.3">
      <c r="A217" s="1">
        <f>'WL &amp; Q'!A217</f>
        <v>46240.874999999483</v>
      </c>
      <c r="B217" s="4" t="str">
        <f>IF('WL &amp; Q'!O217="","",'WL &amp; Q'!O217)</f>
        <v/>
      </c>
      <c r="C217" s="6" t="str">
        <f t="shared" si="3"/>
        <v/>
      </c>
      <c r="D217" s="4" t="str">
        <f>IF('WL &amp; Q'!Q217="","",'WL &amp; Q'!Q217)</f>
        <v/>
      </c>
      <c r="E217" s="8">
        <v>4.8</v>
      </c>
      <c r="F217" s="8">
        <v>5.8</v>
      </c>
      <c r="G217" s="8">
        <v>6.4</v>
      </c>
    </row>
    <row r="218" spans="1:7" x14ac:dyDescent="0.3">
      <c r="A218" s="1">
        <f>'WL &amp; Q'!A218</f>
        <v>46240.916666666148</v>
      </c>
      <c r="B218" s="4" t="str">
        <f>IF('WL &amp; Q'!O218="","",'WL &amp; Q'!O218)</f>
        <v/>
      </c>
      <c r="C218" s="6" t="str">
        <f t="shared" si="3"/>
        <v/>
      </c>
      <c r="D218" s="4" t="str">
        <f>IF('WL &amp; Q'!Q218="","",'WL &amp; Q'!Q218)</f>
        <v/>
      </c>
      <c r="E218" s="8">
        <v>4.8</v>
      </c>
      <c r="F218" s="8">
        <v>5.8</v>
      </c>
      <c r="G218" s="8">
        <v>6.4</v>
      </c>
    </row>
    <row r="219" spans="1:7" x14ac:dyDescent="0.3">
      <c r="A219" s="1">
        <f>'WL &amp; Q'!A219</f>
        <v>46240.958333332812</v>
      </c>
      <c r="B219" s="4" t="str">
        <f>IF('WL &amp; Q'!O219="","",'WL &amp; Q'!O219)</f>
        <v/>
      </c>
      <c r="C219" s="6" t="str">
        <f t="shared" si="3"/>
        <v/>
      </c>
      <c r="D219" s="4" t="str">
        <f>IF('WL &amp; Q'!Q219="","",'WL &amp; Q'!Q219)</f>
        <v/>
      </c>
      <c r="E219" s="8">
        <v>4.8</v>
      </c>
      <c r="F219" s="8">
        <v>5.8</v>
      </c>
      <c r="G219" s="8">
        <v>6.4</v>
      </c>
    </row>
    <row r="220" spans="1:7" x14ac:dyDescent="0.3">
      <c r="A220" s="1">
        <f>'WL &amp; Q'!A220</f>
        <v>46240.999999999476</v>
      </c>
      <c r="B220" s="4" t="str">
        <f>IF('WL &amp; Q'!O220="","",'WL &amp; Q'!O220)</f>
        <v/>
      </c>
      <c r="C220" s="6" t="str">
        <f t="shared" si="3"/>
        <v/>
      </c>
      <c r="D220" s="4" t="str">
        <f>IF('WL &amp; Q'!Q220="","",'WL &amp; Q'!Q220)</f>
        <v/>
      </c>
      <c r="E220" s="8">
        <v>4.8</v>
      </c>
      <c r="F220" s="8">
        <v>5.8</v>
      </c>
      <c r="G220" s="8">
        <v>6.4</v>
      </c>
    </row>
    <row r="221" spans="1:7" x14ac:dyDescent="0.3">
      <c r="A221" s="1">
        <f>'WL &amp; Q'!A221</f>
        <v>46241.04166666614</v>
      </c>
      <c r="B221" s="4" t="str">
        <f>IF('WL &amp; Q'!O221="","",'WL &amp; Q'!O221)</f>
        <v/>
      </c>
      <c r="C221" s="6" t="str">
        <f t="shared" si="3"/>
        <v/>
      </c>
      <c r="D221" s="4" t="str">
        <f>IF('WL &amp; Q'!Q221="","",'WL &amp; Q'!Q221)</f>
        <v/>
      </c>
      <c r="E221" s="8">
        <v>4.8</v>
      </c>
      <c r="F221" s="8">
        <v>5.8</v>
      </c>
      <c r="G221" s="8">
        <v>6.4</v>
      </c>
    </row>
    <row r="222" spans="1:7" x14ac:dyDescent="0.3">
      <c r="A222" s="1">
        <f>'WL &amp; Q'!A222</f>
        <v>46241.083333332805</v>
      </c>
      <c r="B222" s="4" t="str">
        <f>IF('WL &amp; Q'!O222="","",'WL &amp; Q'!O222)</f>
        <v/>
      </c>
      <c r="C222" s="6" t="str">
        <f t="shared" si="3"/>
        <v/>
      </c>
      <c r="D222" s="4" t="str">
        <f>IF('WL &amp; Q'!Q222="","",'WL &amp; Q'!Q222)</f>
        <v/>
      </c>
      <c r="E222" s="8">
        <v>4.8</v>
      </c>
      <c r="F222" s="8">
        <v>5.8</v>
      </c>
      <c r="G222" s="8">
        <v>6.4</v>
      </c>
    </row>
    <row r="223" spans="1:7" x14ac:dyDescent="0.3">
      <c r="A223" s="1">
        <f>'WL &amp; Q'!A223</f>
        <v>46241.124999999469</v>
      </c>
      <c r="B223" s="4" t="str">
        <f>IF('WL &amp; Q'!O223="","",'WL &amp; Q'!O223)</f>
        <v/>
      </c>
      <c r="C223" s="6" t="str">
        <f t="shared" si="3"/>
        <v/>
      </c>
      <c r="D223" s="4" t="str">
        <f>IF('WL &amp; Q'!Q223="","",'WL &amp; Q'!Q223)</f>
        <v/>
      </c>
      <c r="E223" s="8">
        <v>4.8</v>
      </c>
      <c r="F223" s="8">
        <v>5.8</v>
      </c>
      <c r="G223" s="8">
        <v>6.4</v>
      </c>
    </row>
    <row r="224" spans="1:7" x14ac:dyDescent="0.3">
      <c r="A224" s="1">
        <f>'WL &amp; Q'!A224</f>
        <v>46241.166666666133</v>
      </c>
      <c r="B224" s="4" t="str">
        <f>IF('WL &amp; Q'!O224="","",'WL &amp; Q'!O224)</f>
        <v/>
      </c>
      <c r="C224" s="6" t="str">
        <f t="shared" si="3"/>
        <v/>
      </c>
      <c r="D224" s="4" t="str">
        <f>IF('WL &amp; Q'!Q224="","",'WL &amp; Q'!Q224)</f>
        <v/>
      </c>
      <c r="E224" s="8">
        <v>4.8</v>
      </c>
      <c r="F224" s="8">
        <v>5.8</v>
      </c>
      <c r="G224" s="8">
        <v>6.4</v>
      </c>
    </row>
    <row r="225" spans="1:7" x14ac:dyDescent="0.3">
      <c r="A225" s="1">
        <f>'WL &amp; Q'!A225</f>
        <v>46241.208333332797</v>
      </c>
      <c r="B225" s="4" t="str">
        <f>IF('WL &amp; Q'!O225="","",'WL &amp; Q'!O225)</f>
        <v/>
      </c>
      <c r="C225" s="6" t="str">
        <f t="shared" si="3"/>
        <v/>
      </c>
      <c r="D225" s="4" t="str">
        <f>IF('WL &amp; Q'!Q225="","",'WL &amp; Q'!Q225)</f>
        <v/>
      </c>
      <c r="E225" s="8">
        <v>4.8</v>
      </c>
      <c r="F225" s="8">
        <v>5.8</v>
      </c>
      <c r="G225" s="8">
        <v>6.4</v>
      </c>
    </row>
    <row r="226" spans="1:7" x14ac:dyDescent="0.3">
      <c r="A226" s="1">
        <f>'WL &amp; Q'!A226</f>
        <v>46241.249999999462</v>
      </c>
      <c r="B226" s="4" t="str">
        <f>IF('WL &amp; Q'!O226="","",'WL &amp; Q'!O226)</f>
        <v/>
      </c>
      <c r="C226" s="6" t="str">
        <f t="shared" si="3"/>
        <v/>
      </c>
      <c r="D226" s="4" t="str">
        <f>IF('WL &amp; Q'!Q226="","",'WL &amp; Q'!Q226)</f>
        <v/>
      </c>
      <c r="E226" s="8">
        <v>4.8</v>
      </c>
      <c r="F226" s="8">
        <v>5.8</v>
      </c>
      <c r="G226" s="8">
        <v>6.4</v>
      </c>
    </row>
    <row r="227" spans="1:7" x14ac:dyDescent="0.3">
      <c r="A227" s="1">
        <f>'WL &amp; Q'!A227</f>
        <v>46241.291666666126</v>
      </c>
      <c r="B227" s="4" t="str">
        <f>IF('WL &amp; Q'!O227="","",'WL &amp; Q'!O227)</f>
        <v/>
      </c>
      <c r="C227" s="6" t="str">
        <f t="shared" si="3"/>
        <v/>
      </c>
      <c r="D227" s="4" t="str">
        <f>IF('WL &amp; Q'!Q227="","",'WL &amp; Q'!Q227)</f>
        <v/>
      </c>
      <c r="E227" s="8">
        <v>4.8</v>
      </c>
      <c r="F227" s="8">
        <v>5.8</v>
      </c>
      <c r="G227" s="8">
        <v>6.4</v>
      </c>
    </row>
    <row r="228" spans="1:7" x14ac:dyDescent="0.3">
      <c r="A228" s="1">
        <f>'WL &amp; Q'!A228</f>
        <v>46241.33333333279</v>
      </c>
      <c r="B228" s="4" t="str">
        <f>IF('WL &amp; Q'!O228="","",'WL &amp; Q'!O228)</f>
        <v/>
      </c>
      <c r="C228" s="6" t="str">
        <f t="shared" si="3"/>
        <v/>
      </c>
      <c r="D228" s="4" t="str">
        <f>IF('WL &amp; Q'!Q228="","",'WL &amp; Q'!Q228)</f>
        <v/>
      </c>
      <c r="E228" s="8">
        <v>4.8</v>
      </c>
      <c r="F228" s="8">
        <v>5.8</v>
      </c>
      <c r="G228" s="8">
        <v>6.4</v>
      </c>
    </row>
    <row r="229" spans="1:7" x14ac:dyDescent="0.3">
      <c r="A229" s="1">
        <f>'WL &amp; Q'!A229</f>
        <v>46241.374999999454</v>
      </c>
      <c r="B229" s="4" t="str">
        <f>IF('WL &amp; Q'!O229="","",'WL &amp; Q'!O229)</f>
        <v/>
      </c>
      <c r="C229" s="6" t="str">
        <f t="shared" si="3"/>
        <v/>
      </c>
      <c r="D229" s="4" t="str">
        <f>IF('WL &amp; Q'!Q229="","",'WL &amp; Q'!Q229)</f>
        <v/>
      </c>
      <c r="E229" s="8">
        <v>4.8</v>
      </c>
      <c r="F229" s="8">
        <v>5.8</v>
      </c>
      <c r="G229" s="8">
        <v>6.4</v>
      </c>
    </row>
    <row r="230" spans="1:7" x14ac:dyDescent="0.3">
      <c r="A230" s="1">
        <f>'WL &amp; Q'!A230</f>
        <v>46241.416666666119</v>
      </c>
      <c r="B230" s="4" t="str">
        <f>IF('WL &amp; Q'!O230="","",'WL &amp; Q'!O230)</f>
        <v/>
      </c>
      <c r="C230" s="6" t="str">
        <f t="shared" si="3"/>
        <v/>
      </c>
      <c r="D230" s="4" t="str">
        <f>IF('WL &amp; Q'!Q230="","",'WL &amp; Q'!Q230)</f>
        <v/>
      </c>
      <c r="E230" s="8">
        <v>4.8</v>
      </c>
      <c r="F230" s="8">
        <v>5.8</v>
      </c>
      <c r="G230" s="8">
        <v>6.4</v>
      </c>
    </row>
    <row r="231" spans="1:7" x14ac:dyDescent="0.3">
      <c r="A231" s="1">
        <f>'WL &amp; Q'!A231</f>
        <v>46241.458333332783</v>
      </c>
      <c r="B231" s="4" t="str">
        <f>IF('WL &amp; Q'!O231="","",'WL &amp; Q'!O231)</f>
        <v/>
      </c>
      <c r="C231" s="6" t="str">
        <f t="shared" si="3"/>
        <v/>
      </c>
      <c r="D231" s="4" t="str">
        <f>IF('WL &amp; Q'!Q231="","",'WL &amp; Q'!Q231)</f>
        <v/>
      </c>
      <c r="E231" s="8">
        <v>4.8</v>
      </c>
      <c r="F231" s="8">
        <v>5.8</v>
      </c>
      <c r="G231" s="8">
        <v>6.4</v>
      </c>
    </row>
    <row r="232" spans="1:7" x14ac:dyDescent="0.3">
      <c r="A232" s="1">
        <f>'WL &amp; Q'!A232</f>
        <v>46241.499999999447</v>
      </c>
      <c r="B232" s="4" t="str">
        <f>IF('WL &amp; Q'!O232="","",'WL &amp; Q'!O232)</f>
        <v/>
      </c>
      <c r="C232" s="6" t="str">
        <f t="shared" si="3"/>
        <v/>
      </c>
      <c r="D232" s="4" t="str">
        <f>IF('WL &amp; Q'!Q232="","",'WL &amp; Q'!Q232)</f>
        <v/>
      </c>
      <c r="E232" s="8">
        <v>4.8</v>
      </c>
      <c r="F232" s="8">
        <v>5.8</v>
      </c>
      <c r="G232" s="8">
        <v>6.4</v>
      </c>
    </row>
    <row r="233" spans="1:7" x14ac:dyDescent="0.3">
      <c r="A233" s="1">
        <f>'WL &amp; Q'!A233</f>
        <v>46241.541666666111</v>
      </c>
      <c r="B233" s="4" t="str">
        <f>IF('WL &amp; Q'!O233="","",'WL &amp; Q'!O233)</f>
        <v/>
      </c>
      <c r="C233" s="6" t="str">
        <f t="shared" si="3"/>
        <v/>
      </c>
      <c r="D233" s="4" t="str">
        <f>IF('WL &amp; Q'!Q233="","",'WL &amp; Q'!Q233)</f>
        <v/>
      </c>
      <c r="E233" s="8">
        <v>4.8</v>
      </c>
      <c r="F233" s="8">
        <v>5.8</v>
      </c>
      <c r="G233" s="8">
        <v>6.4</v>
      </c>
    </row>
    <row r="234" spans="1:7" x14ac:dyDescent="0.3">
      <c r="A234" s="1">
        <f>'WL &amp; Q'!A234</f>
        <v>46241.583333332776</v>
      </c>
      <c r="B234" s="4" t="str">
        <f>IF('WL &amp; Q'!O234="","",'WL &amp; Q'!O234)</f>
        <v/>
      </c>
      <c r="C234" s="6" t="str">
        <f t="shared" si="3"/>
        <v/>
      </c>
      <c r="D234" s="4" t="str">
        <f>IF('WL &amp; Q'!Q234="","",'WL &amp; Q'!Q234)</f>
        <v/>
      </c>
      <c r="E234" s="8">
        <v>4.8</v>
      </c>
      <c r="F234" s="8">
        <v>5.8</v>
      </c>
      <c r="G234" s="8">
        <v>6.4</v>
      </c>
    </row>
    <row r="235" spans="1:7" x14ac:dyDescent="0.3">
      <c r="A235" s="1">
        <f>'WL &amp; Q'!A235</f>
        <v>46241.62499999944</v>
      </c>
      <c r="B235" s="4" t="str">
        <f>IF('WL &amp; Q'!O235="","",'WL &amp; Q'!O235)</f>
        <v/>
      </c>
      <c r="C235" s="6" t="str">
        <f t="shared" si="3"/>
        <v/>
      </c>
      <c r="D235" s="4" t="str">
        <f>IF('WL &amp; Q'!Q235="","",'WL &amp; Q'!Q235)</f>
        <v/>
      </c>
      <c r="E235" s="8">
        <v>4.8</v>
      </c>
      <c r="F235" s="8">
        <v>5.8</v>
      </c>
      <c r="G235" s="8">
        <v>6.4</v>
      </c>
    </row>
    <row r="236" spans="1:7" x14ac:dyDescent="0.3">
      <c r="A236" s="1">
        <f>'WL &amp; Q'!A236</f>
        <v>46241.666666666104</v>
      </c>
      <c r="B236" s="4" t="str">
        <f>IF('WL &amp; Q'!O236="","",'WL &amp; Q'!O236)</f>
        <v/>
      </c>
      <c r="C236" s="6" t="str">
        <f t="shared" si="3"/>
        <v/>
      </c>
      <c r="D236" s="4" t="str">
        <f>IF('WL &amp; Q'!Q236="","",'WL &amp; Q'!Q236)</f>
        <v/>
      </c>
      <c r="E236" s="8">
        <v>4.8</v>
      </c>
      <c r="F236" s="8">
        <v>5.8</v>
      </c>
      <c r="G236" s="8">
        <v>6.4</v>
      </c>
    </row>
    <row r="237" spans="1:7" x14ac:dyDescent="0.3">
      <c r="A237" s="1">
        <f>'WL &amp; Q'!A237</f>
        <v>46241.708333332768</v>
      </c>
      <c r="B237" s="4" t="str">
        <f>IF('WL &amp; Q'!O237="","",'WL &amp; Q'!O237)</f>
        <v/>
      </c>
      <c r="C237" s="6" t="str">
        <f t="shared" si="3"/>
        <v/>
      </c>
      <c r="D237" s="4" t="str">
        <f>IF('WL &amp; Q'!Q237="","",'WL &amp; Q'!Q237)</f>
        <v/>
      </c>
      <c r="E237" s="8">
        <v>4.8</v>
      </c>
      <c r="F237" s="8">
        <v>5.8</v>
      </c>
      <c r="G237" s="8">
        <v>6.4</v>
      </c>
    </row>
    <row r="238" spans="1:7" x14ac:dyDescent="0.3">
      <c r="A238" s="1">
        <f>'WL &amp; Q'!A238</f>
        <v>46241.749999999432</v>
      </c>
      <c r="B238" s="4" t="str">
        <f>IF('WL &amp; Q'!O238="","",'WL &amp; Q'!O238)</f>
        <v/>
      </c>
      <c r="C238" s="6" t="str">
        <f t="shared" si="3"/>
        <v/>
      </c>
      <c r="D238" s="4" t="str">
        <f>IF('WL &amp; Q'!Q238="","",'WL &amp; Q'!Q238)</f>
        <v/>
      </c>
      <c r="E238" s="8">
        <v>4.8</v>
      </c>
      <c r="F238" s="8">
        <v>5.8</v>
      </c>
      <c r="G238" s="8">
        <v>6.4</v>
      </c>
    </row>
    <row r="239" spans="1:7" x14ac:dyDescent="0.3">
      <c r="A239" s="1">
        <f>'WL &amp; Q'!A239</f>
        <v>46241.791666666097</v>
      </c>
      <c r="B239" s="4" t="str">
        <f>IF('WL &amp; Q'!O239="","",'WL &amp; Q'!O239)</f>
        <v/>
      </c>
      <c r="C239" s="6" t="str">
        <f t="shared" si="3"/>
        <v/>
      </c>
      <c r="D239" s="4" t="str">
        <f>IF('WL &amp; Q'!Q239="","",'WL &amp; Q'!Q239)</f>
        <v/>
      </c>
      <c r="E239" s="8">
        <v>4.8</v>
      </c>
      <c r="F239" s="8">
        <v>5.8</v>
      </c>
      <c r="G239" s="8">
        <v>6.4</v>
      </c>
    </row>
    <row r="240" spans="1:7" x14ac:dyDescent="0.3">
      <c r="A240" s="1">
        <f>'WL &amp; Q'!A240</f>
        <v>46241.833333332761</v>
      </c>
      <c r="B240" s="4" t="str">
        <f>IF('WL &amp; Q'!O240="","",'WL &amp; Q'!O240)</f>
        <v/>
      </c>
      <c r="C240" s="6" t="str">
        <f t="shared" si="3"/>
        <v/>
      </c>
      <c r="D240" s="4" t="str">
        <f>IF('WL &amp; Q'!Q240="","",'WL &amp; Q'!Q240)</f>
        <v/>
      </c>
      <c r="E240" s="8">
        <v>4.8</v>
      </c>
      <c r="F240" s="8">
        <v>5.8</v>
      </c>
      <c r="G240" s="8">
        <v>6.4</v>
      </c>
    </row>
    <row r="241" spans="1:7" x14ac:dyDescent="0.3">
      <c r="A241" s="1">
        <f>'WL &amp; Q'!A241</f>
        <v>46241.874999999425</v>
      </c>
      <c r="B241" s="4" t="str">
        <f>IF('WL &amp; Q'!O241="","",'WL &amp; Q'!O241)</f>
        <v/>
      </c>
      <c r="C241" s="6" t="str">
        <f t="shared" si="3"/>
        <v/>
      </c>
      <c r="D241" s="4" t="str">
        <f>IF('WL &amp; Q'!Q241="","",'WL &amp; Q'!Q241)</f>
        <v/>
      </c>
      <c r="E241" s="8">
        <v>4.8</v>
      </c>
      <c r="F241" s="8">
        <v>5.8</v>
      </c>
      <c r="G241" s="8">
        <v>6.4</v>
      </c>
    </row>
    <row r="242" spans="1:7" x14ac:dyDescent="0.3">
      <c r="A242" s="1">
        <f>'WL &amp; Q'!A242</f>
        <v>46241.916666666089</v>
      </c>
      <c r="B242" s="4" t="str">
        <f>IF('WL &amp; Q'!O242="","",'WL &amp; Q'!O242)</f>
        <v/>
      </c>
      <c r="C242" s="6" t="str">
        <f t="shared" si="3"/>
        <v/>
      </c>
      <c r="D242" s="4" t="str">
        <f>IF('WL &amp; Q'!Q242="","",'WL &amp; Q'!Q242)</f>
        <v/>
      </c>
      <c r="E242" s="8">
        <v>4.8</v>
      </c>
      <c r="F242" s="8">
        <v>5.8</v>
      </c>
      <c r="G242" s="8">
        <v>6.4</v>
      </c>
    </row>
    <row r="243" spans="1:7" x14ac:dyDescent="0.3">
      <c r="A243" s="1">
        <f>'WL &amp; Q'!A243</f>
        <v>46241.958333332754</v>
      </c>
      <c r="B243" s="4" t="str">
        <f>IF('WL &amp; Q'!O243="","",'WL &amp; Q'!O243)</f>
        <v/>
      </c>
      <c r="C243" s="6" t="str">
        <f t="shared" si="3"/>
        <v/>
      </c>
      <c r="D243" s="4" t="str">
        <f>IF('WL &amp; Q'!Q243="","",'WL &amp; Q'!Q243)</f>
        <v/>
      </c>
      <c r="E243" s="8">
        <v>4.8</v>
      </c>
      <c r="F243" s="8">
        <v>5.8</v>
      </c>
      <c r="G243" s="8">
        <v>6.4</v>
      </c>
    </row>
    <row r="244" spans="1:7" x14ac:dyDescent="0.3">
      <c r="A244" s="1">
        <f>'WL &amp; Q'!A244</f>
        <v>46241.999999999418</v>
      </c>
      <c r="B244" s="4" t="str">
        <f>IF('WL &amp; Q'!O244="","",'WL &amp; Q'!O244)</f>
        <v/>
      </c>
      <c r="C244" s="6" t="str">
        <f t="shared" si="3"/>
        <v/>
      </c>
      <c r="D244" s="4" t="str">
        <f>IF('WL &amp; Q'!Q244="","",'WL &amp; Q'!Q244)</f>
        <v/>
      </c>
      <c r="E244" s="8">
        <v>4.8</v>
      </c>
      <c r="F244" s="8">
        <v>5.8</v>
      </c>
      <c r="G244" s="8">
        <v>6.4</v>
      </c>
    </row>
    <row r="245" spans="1:7" x14ac:dyDescent="0.3">
      <c r="A245" s="1">
        <f>'WL &amp; Q'!A245</f>
        <v>46242.041666666082</v>
      </c>
      <c r="B245" s="4" t="str">
        <f>IF('WL &amp; Q'!O245="","",'WL &amp; Q'!O245)</f>
        <v/>
      </c>
      <c r="C245" s="6" t="str">
        <f t="shared" si="3"/>
        <v/>
      </c>
      <c r="D245" s="4" t="str">
        <f>IF('WL &amp; Q'!Q245="","",'WL &amp; Q'!Q245)</f>
        <v/>
      </c>
      <c r="E245" s="8">
        <v>4.8</v>
      </c>
      <c r="F245" s="8">
        <v>5.8</v>
      </c>
      <c r="G245" s="8">
        <v>6.4</v>
      </c>
    </row>
    <row r="246" spans="1:7" x14ac:dyDescent="0.3">
      <c r="A246" s="1">
        <f>'WL &amp; Q'!A246</f>
        <v>46242.083333332746</v>
      </c>
      <c r="B246" s="4" t="str">
        <f>IF('WL &amp; Q'!O246="","",'WL &amp; Q'!O246)</f>
        <v/>
      </c>
      <c r="C246" s="6" t="str">
        <f t="shared" si="3"/>
        <v/>
      </c>
      <c r="D246" s="4" t="str">
        <f>IF('WL &amp; Q'!Q246="","",'WL &amp; Q'!Q246)</f>
        <v/>
      </c>
      <c r="E246" s="8">
        <v>4.8</v>
      </c>
      <c r="F246" s="8">
        <v>5.8</v>
      </c>
      <c r="G246" s="8">
        <v>6.4</v>
      </c>
    </row>
    <row r="247" spans="1:7" x14ac:dyDescent="0.3">
      <c r="A247" s="1">
        <f>'WL &amp; Q'!A247</f>
        <v>46242.124999999411</v>
      </c>
      <c r="B247" s="4" t="str">
        <f>IF('WL &amp; Q'!O247="","",'WL &amp; Q'!O247)</f>
        <v/>
      </c>
      <c r="C247" s="6" t="str">
        <f t="shared" si="3"/>
        <v/>
      </c>
      <c r="D247" s="4" t="str">
        <f>IF('WL &amp; Q'!Q247="","",'WL &amp; Q'!Q247)</f>
        <v/>
      </c>
      <c r="E247" s="8">
        <v>4.8</v>
      </c>
      <c r="F247" s="8">
        <v>5.8</v>
      </c>
      <c r="G247" s="8">
        <v>6.4</v>
      </c>
    </row>
    <row r="248" spans="1:7" x14ac:dyDescent="0.3">
      <c r="A248" s="1">
        <f>'WL &amp; Q'!A248</f>
        <v>46242.166666666075</v>
      </c>
      <c r="B248" s="4" t="str">
        <f>IF('WL &amp; Q'!O248="","",'WL &amp; Q'!O248)</f>
        <v/>
      </c>
      <c r="C248" s="6" t="str">
        <f t="shared" si="3"/>
        <v/>
      </c>
      <c r="D248" s="4" t="str">
        <f>IF('WL &amp; Q'!Q248="","",'WL &amp; Q'!Q248)</f>
        <v/>
      </c>
      <c r="E248" s="8">
        <v>4.8</v>
      </c>
      <c r="F248" s="8">
        <v>5.8</v>
      </c>
      <c r="G248" s="8">
        <v>6.4</v>
      </c>
    </row>
    <row r="249" spans="1:7" x14ac:dyDescent="0.3">
      <c r="A249" s="1">
        <f>'WL &amp; Q'!A249</f>
        <v>46242.208333332739</v>
      </c>
      <c r="B249" s="4" t="str">
        <f>IF('WL &amp; Q'!O249="","",'WL &amp; Q'!O249)</f>
        <v/>
      </c>
      <c r="C249" s="6" t="str">
        <f t="shared" si="3"/>
        <v/>
      </c>
      <c r="D249" s="4" t="str">
        <f>IF('WL &amp; Q'!Q249="","",'WL &amp; Q'!Q249)</f>
        <v/>
      </c>
      <c r="E249" s="8">
        <v>4.8</v>
      </c>
      <c r="F249" s="8">
        <v>5.8</v>
      </c>
      <c r="G249" s="8">
        <v>6.4</v>
      </c>
    </row>
    <row r="250" spans="1:7" x14ac:dyDescent="0.3">
      <c r="A250" s="1">
        <f>'WL &amp; Q'!A250</f>
        <v>46242.249999999403</v>
      </c>
      <c r="B250" s="4" t="str">
        <f>IF('WL &amp; Q'!O250="","",'WL &amp; Q'!O250)</f>
        <v/>
      </c>
      <c r="C250" s="6" t="str">
        <f t="shared" si="3"/>
        <v/>
      </c>
      <c r="D250" s="4" t="str">
        <f>IF('WL &amp; Q'!Q250="","",'WL &amp; Q'!Q250)</f>
        <v/>
      </c>
      <c r="E250" s="8">
        <v>4.8</v>
      </c>
      <c r="F250" s="8">
        <v>5.8</v>
      </c>
      <c r="G250" s="8">
        <v>6.4</v>
      </c>
    </row>
    <row r="251" spans="1:7" x14ac:dyDescent="0.3">
      <c r="A251" s="1">
        <f>'WL &amp; Q'!A251</f>
        <v>46242.291666666068</v>
      </c>
      <c r="B251" s="4" t="str">
        <f>IF('WL &amp; Q'!O251="","",'WL &amp; Q'!O251)</f>
        <v/>
      </c>
      <c r="C251" s="6" t="str">
        <f t="shared" si="3"/>
        <v/>
      </c>
      <c r="D251" s="4" t="str">
        <f>IF('WL &amp; Q'!Q251="","",'WL &amp; Q'!Q251)</f>
        <v/>
      </c>
      <c r="E251" s="8">
        <v>4.8</v>
      </c>
      <c r="F251" s="8">
        <v>5.8</v>
      </c>
      <c r="G251" s="8">
        <v>6.4</v>
      </c>
    </row>
    <row r="252" spans="1:7" x14ac:dyDescent="0.3">
      <c r="A252" s="1">
        <f>'WL &amp; Q'!A252</f>
        <v>46242.333333332732</v>
      </c>
      <c r="B252" s="4" t="str">
        <f>IF('WL &amp; Q'!O252="","",'WL &amp; Q'!O252)</f>
        <v/>
      </c>
      <c r="C252" s="6" t="str">
        <f t="shared" si="3"/>
        <v/>
      </c>
      <c r="D252" s="4" t="str">
        <f>IF('WL &amp; Q'!Q252="","",'WL &amp; Q'!Q252)</f>
        <v/>
      </c>
      <c r="E252" s="8">
        <v>4.8</v>
      </c>
      <c r="F252" s="8">
        <v>5.8</v>
      </c>
      <c r="G252" s="8">
        <v>6.4</v>
      </c>
    </row>
    <row r="253" spans="1:7" x14ac:dyDescent="0.3">
      <c r="A253" s="1">
        <f>'WL &amp; Q'!A253</f>
        <v>46242.374999999396</v>
      </c>
      <c r="B253" s="4" t="str">
        <f>IF('WL &amp; Q'!O253="","",'WL &amp; Q'!O253)</f>
        <v/>
      </c>
      <c r="C253" s="6" t="str">
        <f t="shared" si="3"/>
        <v/>
      </c>
      <c r="D253" s="4" t="str">
        <f>IF('WL &amp; Q'!Q253="","",'WL &amp; Q'!Q253)</f>
        <v/>
      </c>
      <c r="E253" s="8">
        <v>4.8</v>
      </c>
      <c r="F253" s="8">
        <v>5.8</v>
      </c>
      <c r="G253" s="8">
        <v>6.4</v>
      </c>
    </row>
    <row r="254" spans="1:7" x14ac:dyDescent="0.3">
      <c r="A254" s="1">
        <f>'WL &amp; Q'!A254</f>
        <v>46242.41666666606</v>
      </c>
      <c r="B254" s="4" t="str">
        <f>IF('WL &amp; Q'!O254="","",'WL &amp; Q'!O254)</f>
        <v/>
      </c>
      <c r="C254" s="6" t="str">
        <f t="shared" si="3"/>
        <v/>
      </c>
      <c r="D254" s="4" t="str">
        <f>IF('WL &amp; Q'!Q254="","",'WL &amp; Q'!Q254)</f>
        <v/>
      </c>
      <c r="E254" s="8">
        <v>4.8</v>
      </c>
      <c r="F254" s="8">
        <v>5.8</v>
      </c>
      <c r="G254" s="8">
        <v>6.4</v>
      </c>
    </row>
    <row r="255" spans="1:7" x14ac:dyDescent="0.3">
      <c r="A255" s="1">
        <f>'WL &amp; Q'!A255</f>
        <v>46242.458333332725</v>
      </c>
      <c r="B255" s="4" t="str">
        <f>IF('WL &amp; Q'!O255="","",'WL &amp; Q'!O255)</f>
        <v/>
      </c>
      <c r="C255" s="6" t="str">
        <f t="shared" si="3"/>
        <v/>
      </c>
      <c r="D255" s="4" t="str">
        <f>IF('WL &amp; Q'!Q255="","",'WL &amp; Q'!Q255)</f>
        <v/>
      </c>
      <c r="E255" s="8">
        <v>4.8</v>
      </c>
      <c r="F255" s="8">
        <v>5.8</v>
      </c>
      <c r="G255" s="8">
        <v>6.4</v>
      </c>
    </row>
    <row r="256" spans="1:7" x14ac:dyDescent="0.3">
      <c r="A256" s="1">
        <f>'WL &amp; Q'!A256</f>
        <v>46242.499999999389</v>
      </c>
      <c r="B256" s="4" t="str">
        <f>IF('WL &amp; Q'!O256="","",'WL &amp; Q'!O256)</f>
        <v/>
      </c>
      <c r="C256" s="6" t="str">
        <f t="shared" si="3"/>
        <v/>
      </c>
      <c r="D256" s="4" t="str">
        <f>IF('WL &amp; Q'!Q256="","",'WL &amp; Q'!Q256)</f>
        <v/>
      </c>
      <c r="E256" s="8">
        <v>4.8</v>
      </c>
      <c r="F256" s="8">
        <v>5.8</v>
      </c>
      <c r="G256" s="8">
        <v>6.4</v>
      </c>
    </row>
    <row r="257" spans="1:7" x14ac:dyDescent="0.3">
      <c r="A257" s="1">
        <f>'WL &amp; Q'!A257</f>
        <v>46242.541666666053</v>
      </c>
      <c r="B257" s="4" t="str">
        <f>IF('WL &amp; Q'!O257="","",'WL &amp; Q'!O257)</f>
        <v/>
      </c>
      <c r="C257" s="6" t="str">
        <f t="shared" si="3"/>
        <v/>
      </c>
      <c r="D257" s="4" t="str">
        <f>IF('WL &amp; Q'!Q257="","",'WL &amp; Q'!Q257)</f>
        <v/>
      </c>
      <c r="E257" s="8">
        <v>4.8</v>
      </c>
      <c r="F257" s="8">
        <v>5.8</v>
      </c>
      <c r="G257" s="8">
        <v>6.4</v>
      </c>
    </row>
    <row r="258" spans="1:7" x14ac:dyDescent="0.3">
      <c r="A258" s="1">
        <f>'WL &amp; Q'!A258</f>
        <v>46242.583333332717</v>
      </c>
      <c r="B258" s="4" t="str">
        <f>IF('WL &amp; Q'!O258="","",'WL &amp; Q'!O258)</f>
        <v/>
      </c>
      <c r="C258" s="6" t="str">
        <f t="shared" si="3"/>
        <v/>
      </c>
      <c r="D258" s="4" t="str">
        <f>IF('WL &amp; Q'!Q258="","",'WL &amp; Q'!Q258)</f>
        <v/>
      </c>
      <c r="E258" s="8">
        <v>4.8</v>
      </c>
      <c r="F258" s="8">
        <v>5.8</v>
      </c>
      <c r="G258" s="8">
        <v>6.4</v>
      </c>
    </row>
    <row r="259" spans="1:7" x14ac:dyDescent="0.3">
      <c r="A259" s="1">
        <f>'WL &amp; Q'!A259</f>
        <v>46242.624999999382</v>
      </c>
      <c r="B259" s="4" t="str">
        <f>IF('WL &amp; Q'!O259="","",'WL &amp; Q'!O259)</f>
        <v/>
      </c>
      <c r="C259" s="6" t="str">
        <f t="shared" si="3"/>
        <v/>
      </c>
      <c r="D259" s="4" t="str">
        <f>IF('WL &amp; Q'!Q259="","",'WL &amp; Q'!Q259)</f>
        <v/>
      </c>
      <c r="E259" s="8">
        <v>4.8</v>
      </c>
      <c r="F259" s="8">
        <v>5.8</v>
      </c>
      <c r="G259" s="8">
        <v>6.4</v>
      </c>
    </row>
    <row r="260" spans="1:7" x14ac:dyDescent="0.3">
      <c r="A260" s="1">
        <f>'WL &amp; Q'!A260</f>
        <v>46242.666666666046</v>
      </c>
      <c r="B260" s="4" t="str">
        <f>IF('WL &amp; Q'!O260="","",'WL &amp; Q'!O260)</f>
        <v/>
      </c>
      <c r="C260" s="6" t="str">
        <f t="shared" si="3"/>
        <v/>
      </c>
      <c r="D260" s="4" t="str">
        <f>IF('WL &amp; Q'!Q260="","",'WL &amp; Q'!Q260)</f>
        <v/>
      </c>
      <c r="E260" s="8">
        <v>4.8</v>
      </c>
      <c r="F260" s="8">
        <v>5.8</v>
      </c>
      <c r="G260" s="8">
        <v>6.4</v>
      </c>
    </row>
    <row r="261" spans="1:7" x14ac:dyDescent="0.3">
      <c r="A261" s="1">
        <f>'WL &amp; Q'!A261</f>
        <v>46242.70833333271</v>
      </c>
      <c r="B261" s="4" t="str">
        <f>IF('WL &amp; Q'!O261="","",'WL &amp; Q'!O261)</f>
        <v/>
      </c>
      <c r="C261" s="6" t="str">
        <f t="shared" si="3"/>
        <v/>
      </c>
      <c r="D261" s="4" t="str">
        <f>IF('WL &amp; Q'!Q261="","",'WL &amp; Q'!Q261)</f>
        <v/>
      </c>
      <c r="E261" s="8">
        <v>4.8</v>
      </c>
      <c r="F261" s="8">
        <v>5.8</v>
      </c>
      <c r="G261" s="8">
        <v>6.4</v>
      </c>
    </row>
    <row r="262" spans="1:7" x14ac:dyDescent="0.3">
      <c r="A262" s="1">
        <f>'WL &amp; Q'!A262</f>
        <v>46242.749999999374</v>
      </c>
      <c r="B262" s="4" t="str">
        <f>IF('WL &amp; Q'!O262="","",'WL &amp; Q'!O262)</f>
        <v/>
      </c>
      <c r="C262" s="6" t="str">
        <f t="shared" ref="C262:C268" si="4">IF(B262="","",28.62*(B262)^1.3838)</f>
        <v/>
      </c>
      <c r="D262" s="4" t="str">
        <f>IF('WL &amp; Q'!Q262="","",'WL &amp; Q'!Q262)</f>
        <v/>
      </c>
      <c r="E262" s="8">
        <v>4.8</v>
      </c>
      <c r="F262" s="8">
        <v>5.8</v>
      </c>
      <c r="G262" s="8">
        <v>6.4</v>
      </c>
    </row>
    <row r="263" spans="1:7" x14ac:dyDescent="0.3">
      <c r="A263" s="1">
        <f>'WL &amp; Q'!A263</f>
        <v>46242.791666666039</v>
      </c>
      <c r="B263" s="4" t="str">
        <f>IF('WL &amp; Q'!O263="","",'WL &amp; Q'!O263)</f>
        <v/>
      </c>
      <c r="C263" s="6" t="str">
        <f t="shared" si="4"/>
        <v/>
      </c>
      <c r="D263" s="4" t="str">
        <f>IF('WL &amp; Q'!Q263="","",'WL &amp; Q'!Q263)</f>
        <v/>
      </c>
      <c r="E263" s="8">
        <v>4.8</v>
      </c>
      <c r="F263" s="8">
        <v>5.8</v>
      </c>
      <c r="G263" s="8">
        <v>6.4</v>
      </c>
    </row>
    <row r="264" spans="1:7" x14ac:dyDescent="0.3">
      <c r="A264" s="1">
        <f>'WL &amp; Q'!A264</f>
        <v>46242.833333332703</v>
      </c>
      <c r="B264" s="4" t="str">
        <f>IF('WL &amp; Q'!O264="","",'WL &amp; Q'!O264)</f>
        <v/>
      </c>
      <c r="C264" s="6" t="str">
        <f t="shared" si="4"/>
        <v/>
      </c>
      <c r="D264" s="4" t="str">
        <f>IF('WL &amp; Q'!Q264="","",'WL &amp; Q'!Q264)</f>
        <v/>
      </c>
      <c r="E264" s="8">
        <v>4.8</v>
      </c>
      <c r="F264" s="8">
        <v>5.8</v>
      </c>
      <c r="G264" s="8">
        <v>6.4</v>
      </c>
    </row>
    <row r="265" spans="1:7" x14ac:dyDescent="0.3">
      <c r="A265" s="1">
        <f>'WL &amp; Q'!A265</f>
        <v>46242.874999999367</v>
      </c>
      <c r="B265" s="4" t="str">
        <f>IF('WL &amp; Q'!O265="","",'WL &amp; Q'!O265)</f>
        <v/>
      </c>
      <c r="C265" s="6" t="str">
        <f t="shared" si="4"/>
        <v/>
      </c>
      <c r="D265" s="4" t="str">
        <f>IF('WL &amp; Q'!Q265="","",'WL &amp; Q'!Q265)</f>
        <v/>
      </c>
      <c r="E265" s="8">
        <v>4.8</v>
      </c>
      <c r="F265" s="8">
        <v>5.8</v>
      </c>
      <c r="G265" s="8">
        <v>6.4</v>
      </c>
    </row>
    <row r="266" spans="1:7" x14ac:dyDescent="0.3">
      <c r="A266" s="1">
        <f>'WL &amp; Q'!A266</f>
        <v>46242.916666666031</v>
      </c>
      <c r="B266" s="4" t="str">
        <f>IF('WL &amp; Q'!O266="","",'WL &amp; Q'!O266)</f>
        <v/>
      </c>
      <c r="C266" s="6" t="str">
        <f t="shared" si="4"/>
        <v/>
      </c>
      <c r="D266" s="4" t="str">
        <f>IF('WL &amp; Q'!Q266="","",'WL &amp; Q'!Q266)</f>
        <v/>
      </c>
      <c r="E266" s="8">
        <v>4.8</v>
      </c>
      <c r="F266" s="8">
        <v>5.8</v>
      </c>
      <c r="G266" s="8">
        <v>6.4</v>
      </c>
    </row>
    <row r="267" spans="1:7" x14ac:dyDescent="0.3">
      <c r="A267" s="1">
        <f>'WL &amp; Q'!A267</f>
        <v>46242.958333332695</v>
      </c>
      <c r="B267" s="4" t="str">
        <f>IF('WL &amp; Q'!O267="","",'WL &amp; Q'!O267)</f>
        <v/>
      </c>
      <c r="C267" s="6" t="str">
        <f t="shared" si="4"/>
        <v/>
      </c>
      <c r="D267" s="4" t="str">
        <f>IF('WL &amp; Q'!Q267="","",'WL &amp; Q'!Q267)</f>
        <v/>
      </c>
      <c r="E267" s="8">
        <v>4.8</v>
      </c>
      <c r="F267" s="8">
        <v>5.8</v>
      </c>
      <c r="G267" s="8">
        <v>6.4</v>
      </c>
    </row>
    <row r="268" spans="1:7" x14ac:dyDescent="0.3">
      <c r="A268" s="1">
        <f>'WL &amp; Q'!A268</f>
        <v>46242.99999999936</v>
      </c>
      <c r="B268" s="4" t="str">
        <f>IF('WL &amp; Q'!O268="","",'WL &amp; Q'!O268)</f>
        <v/>
      </c>
      <c r="C268" s="6" t="str">
        <f t="shared" si="4"/>
        <v/>
      </c>
      <c r="D268" s="4" t="str">
        <f>IF('WL &amp; Q'!Q268="","",'WL &amp; Q'!Q268)</f>
        <v/>
      </c>
      <c r="E268" s="8">
        <v>4.8</v>
      </c>
      <c r="F268" s="8">
        <v>5.8</v>
      </c>
      <c r="G268" s="8">
        <v>6.4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40B5-84D5-4883-8BF4-2F2B5EDEE0AC}">
  <dimension ref="A1:Q268"/>
  <sheetViews>
    <sheetView workbookViewId="0">
      <selection activeCell="K30" sqref="K30"/>
    </sheetView>
  </sheetViews>
  <sheetFormatPr defaultRowHeight="14.4" x14ac:dyDescent="0.3"/>
  <cols>
    <col min="1" max="1" width="17.88671875" customWidth="1"/>
    <col min="2" max="3" width="7.6640625" style="3" customWidth="1"/>
    <col min="4" max="4" width="7.88671875" style="7" customWidth="1"/>
    <col min="5" max="7" width="5.6640625" style="8" customWidth="1"/>
    <col min="10" max="10" width="15.44140625" customWidth="1"/>
    <col min="11" max="11" width="15.33203125" bestFit="1" customWidth="1"/>
    <col min="12" max="12" width="15" customWidth="1"/>
    <col min="13" max="13" width="16.33203125" customWidth="1"/>
    <col min="14" max="16" width="10.109375" customWidth="1"/>
  </cols>
  <sheetData>
    <row r="1" spans="1:17" ht="21" x14ac:dyDescent="0.4">
      <c r="A1" s="2" t="str">
        <f>'WL &amp; Q'!A1</f>
        <v>2026 Kelani Flood</v>
      </c>
    </row>
    <row r="2" spans="1:17" x14ac:dyDescent="0.3">
      <c r="A2" s="11" t="s">
        <v>6</v>
      </c>
      <c r="C2" s="11"/>
      <c r="I2" s="18" t="s">
        <v>24</v>
      </c>
      <c r="J2" s="17" t="s">
        <v>20</v>
      </c>
      <c r="K2" s="17" t="s">
        <v>21</v>
      </c>
      <c r="L2" s="17" t="s">
        <v>22</v>
      </c>
      <c r="M2" s="17" t="s">
        <v>23</v>
      </c>
    </row>
    <row r="3" spans="1:17" x14ac:dyDescent="0.3">
      <c r="A3" s="11"/>
      <c r="C3" s="11"/>
      <c r="I3" s="18">
        <v>0</v>
      </c>
      <c r="J3" s="19">
        <f>Hanwella!J3</f>
        <v>46235.3125</v>
      </c>
      <c r="K3" s="19">
        <f>Hanwella!K3</f>
        <v>46237.479166666664</v>
      </c>
      <c r="L3" s="19">
        <f>Hanwella!L3</f>
        <v>46237.5625</v>
      </c>
      <c r="M3" s="19">
        <f>Hanwella!M3</f>
        <v>46237.645833333336</v>
      </c>
      <c r="Q3" s="20"/>
    </row>
    <row r="4" spans="1:17" ht="16.2" x14ac:dyDescent="0.3">
      <c r="B4" s="3" t="s">
        <v>8</v>
      </c>
      <c r="C4" s="3" t="s">
        <v>9</v>
      </c>
      <c r="D4" s="7" t="s">
        <v>10</v>
      </c>
      <c r="E4" s="8" t="s">
        <v>17</v>
      </c>
      <c r="F4" s="8" t="s">
        <v>18</v>
      </c>
      <c r="G4" s="8" t="s">
        <v>19</v>
      </c>
      <c r="I4" s="18">
        <v>5</v>
      </c>
      <c r="J4" s="19">
        <f>Hanwella!J4</f>
        <v>46235.3125</v>
      </c>
      <c r="K4" s="19">
        <f>Hanwella!K4</f>
        <v>46237.479166666664</v>
      </c>
      <c r="L4" s="19">
        <f>Hanwella!L4</f>
        <v>46237.5625</v>
      </c>
      <c r="M4" s="19">
        <f>Hanwella!M4</f>
        <v>46237.645833333336</v>
      </c>
      <c r="Q4" s="20"/>
    </row>
    <row r="5" spans="1:17" x14ac:dyDescent="0.3">
      <c r="A5" s="1">
        <f>'WL &amp; Q'!A5</f>
        <v>46232.041666666664</v>
      </c>
      <c r="B5" s="4">
        <f>IF('WL &amp; Q'!R5="","",'WL &amp; Q'!R5)</f>
        <v>0.42</v>
      </c>
      <c r="C5" s="6">
        <f t="shared" ref="C5:C69" si="0">IF(B5="","",IF(B5&gt;2.5,19.135*(B5+0.5)^2-29.477*(B5+0.5)+32.54,3.0494*((B5+0.5)^2.8875)))</f>
        <v>2.3969101110500004</v>
      </c>
      <c r="D5" s="4">
        <f>IF('WL &amp; Q'!T5="","",'WL &amp; Q'!T5)</f>
        <v>1.5</v>
      </c>
      <c r="E5" s="8">
        <v>1.5</v>
      </c>
      <c r="F5" s="8">
        <v>3</v>
      </c>
      <c r="G5" s="8">
        <v>4.5</v>
      </c>
      <c r="K5" s="1"/>
      <c r="Q5" s="20"/>
    </row>
    <row r="6" spans="1:17" x14ac:dyDescent="0.3">
      <c r="A6" s="1">
        <f>'WL &amp; Q'!A6</f>
        <v>46232.083333333328</v>
      </c>
      <c r="B6" s="4">
        <f>IF('WL &amp; Q'!R6="","",'WL &amp; Q'!R6)</f>
        <v>0.42</v>
      </c>
      <c r="C6" s="6">
        <f t="shared" si="0"/>
        <v>2.3969101110500004</v>
      </c>
      <c r="D6" s="4">
        <f>IF('WL &amp; Q'!T6="","",'WL &amp; Q'!T6)</f>
        <v>0</v>
      </c>
      <c r="E6" s="8">
        <v>1.5</v>
      </c>
      <c r="F6" s="8">
        <v>3</v>
      </c>
      <c r="G6" s="8">
        <v>4.5</v>
      </c>
      <c r="K6" s="1"/>
      <c r="M6" s="1"/>
    </row>
    <row r="7" spans="1:17" x14ac:dyDescent="0.3">
      <c r="A7" s="1">
        <f>'WL &amp; Q'!A7</f>
        <v>46232.124999999993</v>
      </c>
      <c r="B7" s="4">
        <f>IF('WL &amp; Q'!R7="","",'WL &amp; Q'!R7)</f>
        <v>0.41</v>
      </c>
      <c r="C7" s="6">
        <f t="shared" si="0"/>
        <v>2.3224502323231424</v>
      </c>
      <c r="D7" s="4">
        <f>IF('WL &amp; Q'!T7="","",'WL &amp; Q'!T7)</f>
        <v>1</v>
      </c>
      <c r="E7" s="8">
        <v>1.5</v>
      </c>
      <c r="F7" s="8">
        <v>3</v>
      </c>
      <c r="G7" s="8">
        <v>4.5</v>
      </c>
    </row>
    <row r="8" spans="1:17" x14ac:dyDescent="0.3">
      <c r="A8" s="1">
        <f>'WL &amp; Q'!A8</f>
        <v>46232.166666666657</v>
      </c>
      <c r="B8" s="4">
        <f>IF('WL &amp; Q'!R8="","",'WL &amp; Q'!R8)</f>
        <v>0.42</v>
      </c>
      <c r="C8" s="6">
        <f t="shared" si="0"/>
        <v>2.3969101110500004</v>
      </c>
      <c r="D8" s="4">
        <f>IF('WL &amp; Q'!T8="","",'WL &amp; Q'!T8)</f>
        <v>0</v>
      </c>
      <c r="E8" s="8">
        <v>1.5</v>
      </c>
      <c r="F8" s="8">
        <v>3</v>
      </c>
      <c r="G8" s="8">
        <v>4.5</v>
      </c>
    </row>
    <row r="9" spans="1:17" x14ac:dyDescent="0.3">
      <c r="A9" s="1">
        <f>'WL &amp; Q'!A9</f>
        <v>46232.208333333321</v>
      </c>
      <c r="B9" s="4">
        <f>IF('WL &amp; Q'!R9="","",'WL &amp; Q'!R9)</f>
        <v>0.44</v>
      </c>
      <c r="C9" s="6">
        <f t="shared" si="0"/>
        <v>2.5504750137381222</v>
      </c>
      <c r="D9" s="4">
        <f>IF('WL &amp; Q'!T9="","",'WL &amp; Q'!T9)</f>
        <v>0</v>
      </c>
      <c r="E9" s="8">
        <v>1.5</v>
      </c>
      <c r="F9" s="8">
        <v>3</v>
      </c>
      <c r="G9" s="8">
        <v>4.5</v>
      </c>
    </row>
    <row r="10" spans="1:17" x14ac:dyDescent="0.3">
      <c r="A10" s="1">
        <f>'WL &amp; Q'!A10</f>
        <v>46232.249999999985</v>
      </c>
      <c r="B10" s="4">
        <f>IF('WL &amp; Q'!R10="","",'WL &amp; Q'!R10)</f>
        <v>0.45</v>
      </c>
      <c r="C10" s="6">
        <f t="shared" si="0"/>
        <v>2.6296097796156164</v>
      </c>
      <c r="D10" s="4">
        <f>IF('WL &amp; Q'!T10="","",'WL &amp; Q'!T10)</f>
        <v>0</v>
      </c>
      <c r="E10" s="8">
        <v>1.5</v>
      </c>
      <c r="F10" s="8">
        <v>3</v>
      </c>
      <c r="G10" s="8">
        <v>4.5</v>
      </c>
    </row>
    <row r="11" spans="1:17" x14ac:dyDescent="0.3">
      <c r="A11" s="1">
        <f>'WL &amp; Q'!A11</f>
        <v>46232.29166666665</v>
      </c>
      <c r="B11" s="4">
        <f>IF('WL &amp; Q'!R11="","",'WL &amp; Q'!R11)</f>
        <v>0.45</v>
      </c>
      <c r="C11" s="6">
        <f t="shared" si="0"/>
        <v>2.6296097796156164</v>
      </c>
      <c r="D11" s="4">
        <f>IF('WL &amp; Q'!T11="","",'WL &amp; Q'!T11)</f>
        <v>1.2</v>
      </c>
      <c r="E11" s="8">
        <v>1.5</v>
      </c>
      <c r="F11" s="8">
        <v>3</v>
      </c>
      <c r="G11" s="8">
        <v>4.5</v>
      </c>
    </row>
    <row r="12" spans="1:17" x14ac:dyDescent="0.3">
      <c r="A12" s="1">
        <f>'WL &amp; Q'!A12</f>
        <v>46232.333333333314</v>
      </c>
      <c r="B12" s="4">
        <f>IF('WL &amp; Q'!R12="","",'WL &amp; Q'!R12)</f>
        <v>0.46</v>
      </c>
      <c r="C12" s="6">
        <f t="shared" si="0"/>
        <v>2.7103325533560008</v>
      </c>
      <c r="D12" s="4">
        <f>IF('WL &amp; Q'!T12="","",'WL &amp; Q'!T12)</f>
        <v>0</v>
      </c>
      <c r="E12" s="8">
        <v>1.5</v>
      </c>
      <c r="F12" s="8">
        <v>3</v>
      </c>
      <c r="G12" s="8">
        <v>4.5</v>
      </c>
    </row>
    <row r="13" spans="1:17" x14ac:dyDescent="0.3">
      <c r="A13" s="1">
        <f>'WL &amp; Q'!A13</f>
        <v>46232.374999999978</v>
      </c>
      <c r="B13" s="4">
        <f>IF('WL &amp; Q'!R13="","",'WL &amp; Q'!R13)</f>
        <v>0.46</v>
      </c>
      <c r="C13" s="6">
        <f t="shared" si="0"/>
        <v>2.7103325533560008</v>
      </c>
      <c r="D13" s="4">
        <f>IF('WL &amp; Q'!T13="","",'WL &amp; Q'!T13)</f>
        <v>0</v>
      </c>
      <c r="E13" s="8">
        <v>1.5</v>
      </c>
      <c r="F13" s="8">
        <v>3</v>
      </c>
      <c r="G13" s="8">
        <v>4.5</v>
      </c>
    </row>
    <row r="14" spans="1:17" x14ac:dyDescent="0.3">
      <c r="A14" s="1">
        <f>'WL &amp; Q'!A14</f>
        <v>46232.416666666642</v>
      </c>
      <c r="B14" s="4">
        <f>IF('WL &amp; Q'!R14="","",'WL &amp; Q'!R14)</f>
        <v>0.47</v>
      </c>
      <c r="C14" s="6">
        <f t="shared" si="0"/>
        <v>2.7926581615765333</v>
      </c>
      <c r="D14" s="4">
        <f>IF('WL &amp; Q'!T14="","",'WL &amp; Q'!T14)</f>
        <v>0</v>
      </c>
      <c r="E14" s="8">
        <v>1.5</v>
      </c>
      <c r="F14" s="8">
        <v>3</v>
      </c>
      <c r="G14" s="8">
        <v>4.5</v>
      </c>
    </row>
    <row r="15" spans="1:17" x14ac:dyDescent="0.3">
      <c r="A15" s="1">
        <f>'WL &amp; Q'!A15</f>
        <v>46232.458333333307</v>
      </c>
      <c r="B15" s="4">
        <f>IF('WL &amp; Q'!R15="","",'WL &amp; Q'!R15)</f>
        <v>0.48</v>
      </c>
      <c r="C15" s="6">
        <f t="shared" si="0"/>
        <v>2.8766014135290252</v>
      </c>
      <c r="D15" s="4">
        <f>IF('WL &amp; Q'!T15="","",'WL &amp; Q'!T15)</f>
        <v>1.6</v>
      </c>
      <c r="E15" s="8">
        <v>1.5</v>
      </c>
      <c r="F15" s="8">
        <v>3</v>
      </c>
      <c r="G15" s="8">
        <v>4.5</v>
      </c>
    </row>
    <row r="16" spans="1:17" x14ac:dyDescent="0.3">
      <c r="A16" s="1">
        <f>'WL &amp; Q'!A16</f>
        <v>46232.499999999971</v>
      </c>
      <c r="B16" s="4">
        <f>IF('WL &amp; Q'!R16="","",'WL &amp; Q'!R16)</f>
        <v>0.48</v>
      </c>
      <c r="C16" s="6">
        <f t="shared" si="0"/>
        <v>2.8766014135290252</v>
      </c>
      <c r="D16" s="4">
        <f>IF('WL &amp; Q'!T16="","",'WL &amp; Q'!T16)</f>
        <v>0</v>
      </c>
      <c r="E16" s="8">
        <v>1.5</v>
      </c>
      <c r="F16" s="8">
        <v>3</v>
      </c>
      <c r="G16" s="8">
        <v>4.5</v>
      </c>
    </row>
    <row r="17" spans="1:7" x14ac:dyDescent="0.3">
      <c r="A17" s="1">
        <f>'WL &amp; Q'!A17</f>
        <v>46232.541666666635</v>
      </c>
      <c r="B17" s="4">
        <f>IF('WL &amp; Q'!R17="","",'WL &amp; Q'!R17)</f>
        <v>0.48</v>
      </c>
      <c r="C17" s="6">
        <f t="shared" si="0"/>
        <v>2.8766014135290252</v>
      </c>
      <c r="D17" s="4">
        <f>IF('WL &amp; Q'!T17="","",'WL &amp; Q'!T17)</f>
        <v>0</v>
      </c>
      <c r="E17" s="8">
        <v>1.5</v>
      </c>
      <c r="F17" s="8">
        <v>3</v>
      </c>
      <c r="G17" s="8">
        <v>4.5</v>
      </c>
    </row>
    <row r="18" spans="1:7" x14ac:dyDescent="0.3">
      <c r="A18" s="1">
        <f>'WL &amp; Q'!A18</f>
        <v>46232.583333333299</v>
      </c>
      <c r="B18" s="4">
        <f>IF('WL &amp; Q'!R18="","",'WL &amp; Q'!R18)</f>
        <v>0.47</v>
      </c>
      <c r="C18" s="6">
        <f t="shared" si="0"/>
        <v>2.7926581615765333</v>
      </c>
      <c r="D18" s="4">
        <f>IF('WL &amp; Q'!T18="","",'WL &amp; Q'!T18)</f>
        <v>0</v>
      </c>
      <c r="E18" s="8">
        <v>1.5</v>
      </c>
      <c r="F18" s="8">
        <v>3</v>
      </c>
      <c r="G18" s="8">
        <v>4.5</v>
      </c>
    </row>
    <row r="19" spans="1:7" x14ac:dyDescent="0.3">
      <c r="A19" s="1">
        <f>'WL &amp; Q'!A19</f>
        <v>46232.624999999964</v>
      </c>
      <c r="B19" s="4">
        <f>IF('WL &amp; Q'!R19="","",'WL &amp; Q'!R19)</f>
        <v>0.47</v>
      </c>
      <c r="C19" s="6">
        <f t="shared" si="0"/>
        <v>2.7926581615765333</v>
      </c>
      <c r="D19" s="4">
        <f>IF('WL &amp; Q'!T19="","",'WL &amp; Q'!T19)</f>
        <v>0</v>
      </c>
      <c r="E19" s="8">
        <v>1.5</v>
      </c>
      <c r="F19" s="8">
        <v>3</v>
      </c>
      <c r="G19" s="8">
        <v>4.5</v>
      </c>
    </row>
    <row r="20" spans="1:7" x14ac:dyDescent="0.3">
      <c r="A20" s="1">
        <f>'WL &amp; Q'!A20</f>
        <v>46232.666666666628</v>
      </c>
      <c r="B20" s="4">
        <f>IF('WL &amp; Q'!R20="","",'WL &amp; Q'!R20)</f>
        <v>0.46</v>
      </c>
      <c r="C20" s="6">
        <f t="shared" si="0"/>
        <v>2.7103325533560008</v>
      </c>
      <c r="D20" s="4">
        <f>IF('WL &amp; Q'!T20="","",'WL &amp; Q'!T20)</f>
        <v>0</v>
      </c>
      <c r="E20" s="8">
        <v>1.5</v>
      </c>
      <c r="F20" s="8">
        <v>3</v>
      </c>
      <c r="G20" s="8">
        <v>4.5</v>
      </c>
    </row>
    <row r="21" spans="1:7" x14ac:dyDescent="0.3">
      <c r="A21" s="1">
        <f>'WL &amp; Q'!A21</f>
        <v>46232.708333333292</v>
      </c>
      <c r="B21" s="4">
        <f>IF('WL &amp; Q'!R21="","",'WL &amp; Q'!R21)</f>
        <v>0.46</v>
      </c>
      <c r="C21" s="6">
        <f t="shared" si="0"/>
        <v>2.7103325533560008</v>
      </c>
      <c r="D21" s="4">
        <f>IF('WL &amp; Q'!T21="","",'WL &amp; Q'!T21)</f>
        <v>0</v>
      </c>
      <c r="E21" s="8">
        <v>1.5</v>
      </c>
      <c r="F21" s="8">
        <v>3</v>
      </c>
      <c r="G21" s="8">
        <v>4.5</v>
      </c>
    </row>
    <row r="22" spans="1:7" x14ac:dyDescent="0.3">
      <c r="A22" s="1">
        <f>'WL &amp; Q'!A22</f>
        <v>46232.749999999956</v>
      </c>
      <c r="B22" s="4">
        <f>IF('WL &amp; Q'!R22="","",'WL &amp; Q'!R22)</f>
        <v>0.46</v>
      </c>
      <c r="C22" s="6">
        <f t="shared" si="0"/>
        <v>2.7103325533560008</v>
      </c>
      <c r="D22" s="4">
        <f>IF('WL &amp; Q'!T22="","",'WL &amp; Q'!T22)</f>
        <v>0</v>
      </c>
      <c r="E22" s="8">
        <v>1.5</v>
      </c>
      <c r="F22" s="8">
        <v>3</v>
      </c>
      <c r="G22" s="8">
        <v>4.5</v>
      </c>
    </row>
    <row r="23" spans="1:7" x14ac:dyDescent="0.3">
      <c r="A23" s="1">
        <f>'WL &amp; Q'!A23</f>
        <v>46232.791666666621</v>
      </c>
      <c r="B23" s="4">
        <f>IF('WL &amp; Q'!R23="","",'WL &amp; Q'!R23)</f>
        <v>0.46</v>
      </c>
      <c r="C23" s="6">
        <f t="shared" si="0"/>
        <v>2.7103325533560008</v>
      </c>
      <c r="D23" s="4">
        <f>IF('WL &amp; Q'!T23="","",'WL &amp; Q'!T23)</f>
        <v>0</v>
      </c>
      <c r="E23" s="8">
        <v>1.5</v>
      </c>
      <c r="F23" s="8">
        <v>3</v>
      </c>
      <c r="G23" s="8">
        <v>4.5</v>
      </c>
    </row>
    <row r="24" spans="1:7" x14ac:dyDescent="0.3">
      <c r="A24" s="1">
        <f>'WL &amp; Q'!A24</f>
        <v>46232.833333333285</v>
      </c>
      <c r="B24" s="4">
        <f>IF('WL &amp; Q'!R24="","",'WL &amp; Q'!R24)</f>
        <v>0.44</v>
      </c>
      <c r="C24" s="6">
        <f t="shared" si="0"/>
        <v>2.5504750137381222</v>
      </c>
      <c r="D24" s="4">
        <f>IF('WL &amp; Q'!T24="","",'WL &amp; Q'!T24)</f>
        <v>0</v>
      </c>
      <c r="E24" s="8">
        <v>1.5</v>
      </c>
      <c r="F24" s="8">
        <v>3</v>
      </c>
      <c r="G24" s="8">
        <v>4.5</v>
      </c>
    </row>
    <row r="25" spans="1:7" x14ac:dyDescent="0.3">
      <c r="A25" s="1">
        <f>'WL &amp; Q'!A25</f>
        <v>46232.874999999949</v>
      </c>
      <c r="B25" s="4">
        <f>IF('WL &amp; Q'!R25="","",'WL &amp; Q'!R25)</f>
        <v>0.44</v>
      </c>
      <c r="C25" s="6">
        <f t="shared" si="0"/>
        <v>2.5504750137381222</v>
      </c>
      <c r="D25" s="4">
        <f>IF('WL &amp; Q'!T25="","",'WL &amp; Q'!T25)</f>
        <v>0</v>
      </c>
      <c r="E25" s="8">
        <v>1.5</v>
      </c>
      <c r="F25" s="8">
        <v>3</v>
      </c>
      <c r="G25" s="8">
        <v>4.5</v>
      </c>
    </row>
    <row r="26" spans="1:7" x14ac:dyDescent="0.3">
      <c r="A26" s="1">
        <f>'WL &amp; Q'!A26</f>
        <v>46232.916666666613</v>
      </c>
      <c r="B26" s="4">
        <f>IF('WL &amp; Q'!R26="","",'WL &amp; Q'!R26)</f>
        <v>0.44</v>
      </c>
      <c r="C26" s="6">
        <f t="shared" si="0"/>
        <v>2.5504750137381222</v>
      </c>
      <c r="D26" s="4">
        <f>IF('WL &amp; Q'!T26="","",'WL &amp; Q'!T26)</f>
        <v>0</v>
      </c>
      <c r="E26" s="8">
        <v>1.5</v>
      </c>
      <c r="F26" s="8">
        <v>3</v>
      </c>
      <c r="G26" s="8">
        <v>4.5</v>
      </c>
    </row>
    <row r="27" spans="1:7" x14ac:dyDescent="0.3">
      <c r="A27" s="1">
        <f>'WL &amp; Q'!A27</f>
        <v>46232.958333333278</v>
      </c>
      <c r="B27" s="4">
        <f>IF('WL &amp; Q'!R27="","",'WL &amp; Q'!R27)</f>
        <v>0.44</v>
      </c>
      <c r="C27" s="6">
        <f t="shared" si="0"/>
        <v>2.5504750137381222</v>
      </c>
      <c r="D27" s="4">
        <f>IF('WL &amp; Q'!T27="","",'WL &amp; Q'!T27)</f>
        <v>0</v>
      </c>
      <c r="E27" s="8">
        <v>1.5</v>
      </c>
      <c r="F27" s="8">
        <v>3</v>
      </c>
      <c r="G27" s="8">
        <v>4.5</v>
      </c>
    </row>
    <row r="28" spans="1:7" x14ac:dyDescent="0.3">
      <c r="A28" s="1">
        <f>'WL &amp; Q'!A28</f>
        <v>46232.999999999942</v>
      </c>
      <c r="B28" s="4">
        <f>IF('WL &amp; Q'!R28="","",'WL &amp; Q'!R28)</f>
        <v>0.44</v>
      </c>
      <c r="C28" s="6">
        <f t="shared" si="0"/>
        <v>2.5504750137381222</v>
      </c>
      <c r="D28" s="4">
        <f>IF('WL &amp; Q'!T28="","",'WL &amp; Q'!T28)</f>
        <v>0</v>
      </c>
      <c r="E28" s="8">
        <v>1.5</v>
      </c>
      <c r="F28" s="8">
        <v>3</v>
      </c>
      <c r="G28" s="8">
        <v>4.5</v>
      </c>
    </row>
    <row r="29" spans="1:7" x14ac:dyDescent="0.3">
      <c r="A29" s="1">
        <f>'WL &amp; Q'!A29</f>
        <v>46233.041666666606</v>
      </c>
      <c r="B29" s="4">
        <f>IF('WL &amp; Q'!R29="","",'WL &amp; Q'!R29)</f>
        <v>0.44</v>
      </c>
      <c r="C29" s="6">
        <f t="shared" si="0"/>
        <v>2.5504750137381222</v>
      </c>
      <c r="D29" s="4">
        <f>IF('WL &amp; Q'!T29="","",'WL &amp; Q'!T29)</f>
        <v>0</v>
      </c>
      <c r="E29" s="8">
        <v>1.5</v>
      </c>
      <c r="F29" s="8">
        <v>3</v>
      </c>
      <c r="G29" s="8">
        <v>4.5</v>
      </c>
    </row>
    <row r="30" spans="1:7" x14ac:dyDescent="0.3">
      <c r="A30" s="1">
        <f>'WL &amp; Q'!A30</f>
        <v>46233.08333333327</v>
      </c>
      <c r="B30" s="4">
        <f>IF('WL &amp; Q'!R30="","",'WL &amp; Q'!R30)</f>
        <v>0.43</v>
      </c>
      <c r="C30" s="6">
        <f t="shared" si="0"/>
        <v>2.4729134115373199</v>
      </c>
      <c r="D30" s="4">
        <f>IF('WL &amp; Q'!T30="","",'WL &amp; Q'!T30)</f>
        <v>0</v>
      </c>
      <c r="E30" s="8">
        <v>1.5</v>
      </c>
      <c r="F30" s="8">
        <v>3</v>
      </c>
      <c r="G30" s="8">
        <v>4.5</v>
      </c>
    </row>
    <row r="31" spans="1:7" x14ac:dyDescent="0.3">
      <c r="A31" s="1">
        <f>'WL &amp; Q'!A31</f>
        <v>46233.124999999935</v>
      </c>
      <c r="B31" s="4">
        <f>IF('WL &amp; Q'!R31="","",'WL &amp; Q'!R31)</f>
        <v>0.43</v>
      </c>
      <c r="C31" s="6">
        <f t="shared" si="0"/>
        <v>2.4729134115373199</v>
      </c>
      <c r="D31" s="4">
        <f>IF('WL &amp; Q'!T31="","",'WL &amp; Q'!T31)</f>
        <v>0</v>
      </c>
      <c r="E31" s="8">
        <v>1.5</v>
      </c>
      <c r="F31" s="8">
        <v>3</v>
      </c>
      <c r="G31" s="8">
        <v>4.5</v>
      </c>
    </row>
    <row r="32" spans="1:7" x14ac:dyDescent="0.3">
      <c r="A32" s="1">
        <f>'WL &amp; Q'!A32</f>
        <v>46233.166666666599</v>
      </c>
      <c r="B32" s="4">
        <f>IF('WL &amp; Q'!R32="","",'WL &amp; Q'!R32)</f>
        <v>0.43</v>
      </c>
      <c r="C32" s="6">
        <f t="shared" si="0"/>
        <v>2.4729134115373199</v>
      </c>
      <c r="D32" s="4">
        <f>IF('WL &amp; Q'!T32="","",'WL &amp; Q'!T32)</f>
        <v>0</v>
      </c>
      <c r="E32" s="8">
        <v>1.5</v>
      </c>
      <c r="F32" s="8">
        <v>3</v>
      </c>
      <c r="G32" s="8">
        <v>4.5</v>
      </c>
    </row>
    <row r="33" spans="1:7" x14ac:dyDescent="0.3">
      <c r="A33" s="1">
        <f>'WL &amp; Q'!A33</f>
        <v>46233.208333333263</v>
      </c>
      <c r="B33" s="4">
        <f>IF('WL &amp; Q'!R33="","",'WL &amp; Q'!R33)</f>
        <v>0.43</v>
      </c>
      <c r="C33" s="6">
        <f t="shared" si="0"/>
        <v>2.4729134115373199</v>
      </c>
      <c r="D33" s="4">
        <f>IF('WL &amp; Q'!T33="","",'WL &amp; Q'!T33)</f>
        <v>0</v>
      </c>
      <c r="E33" s="8">
        <v>1.5</v>
      </c>
      <c r="F33" s="8">
        <v>3</v>
      </c>
      <c r="G33" s="8">
        <v>4.5</v>
      </c>
    </row>
    <row r="34" spans="1:7" x14ac:dyDescent="0.3">
      <c r="A34" s="1">
        <f>'WL &amp; Q'!A34</f>
        <v>46233.249999999927</v>
      </c>
      <c r="B34" s="4">
        <f>IF('WL &amp; Q'!R34="","",'WL &amp; Q'!R34)</f>
        <v>0.43</v>
      </c>
      <c r="C34" s="6">
        <f t="shared" si="0"/>
        <v>2.4729134115373199</v>
      </c>
      <c r="D34" s="4">
        <f>IF('WL &amp; Q'!T34="","",'WL &amp; Q'!T34)</f>
        <v>0</v>
      </c>
      <c r="E34" s="8">
        <v>1.5</v>
      </c>
      <c r="F34" s="8">
        <v>3</v>
      </c>
      <c r="G34" s="8">
        <v>4.5</v>
      </c>
    </row>
    <row r="35" spans="1:7" x14ac:dyDescent="0.3">
      <c r="A35" s="1">
        <f>'WL &amp; Q'!A35</f>
        <v>46233.291666666591</v>
      </c>
      <c r="B35" s="4">
        <f>IF('WL &amp; Q'!R35="","",'WL &amp; Q'!R35)</f>
        <v>0.43</v>
      </c>
      <c r="C35" s="6">
        <f t="shared" si="0"/>
        <v>2.4729134115373199</v>
      </c>
      <c r="D35" s="4">
        <f>IF('WL &amp; Q'!T35="","",'WL &amp; Q'!T35)</f>
        <v>0</v>
      </c>
      <c r="E35" s="8">
        <v>1.5</v>
      </c>
      <c r="F35" s="8">
        <v>3</v>
      </c>
      <c r="G35" s="8">
        <v>4.5</v>
      </c>
    </row>
    <row r="36" spans="1:7" x14ac:dyDescent="0.3">
      <c r="A36" s="1">
        <f>'WL &amp; Q'!A36</f>
        <v>46233.333333333256</v>
      </c>
      <c r="B36" s="4">
        <f>IF('WL &amp; Q'!R36="","",'WL &amp; Q'!R36)</f>
        <v>0.43</v>
      </c>
      <c r="C36" s="6">
        <f t="shared" si="0"/>
        <v>2.4729134115373199</v>
      </c>
      <c r="D36" s="4">
        <f>IF('WL &amp; Q'!T36="","",'WL &amp; Q'!T36)</f>
        <v>0</v>
      </c>
      <c r="E36" s="8">
        <v>1.5</v>
      </c>
      <c r="F36" s="8">
        <v>3</v>
      </c>
      <c r="G36" s="8">
        <v>4.5</v>
      </c>
    </row>
    <row r="37" spans="1:7" x14ac:dyDescent="0.3">
      <c r="A37" s="1">
        <f>'WL &amp; Q'!A37</f>
        <v>46233.37499999992</v>
      </c>
      <c r="B37" s="4">
        <f>IF('WL &amp; Q'!R37="","",'WL &amp; Q'!R37)</f>
        <v>0.43</v>
      </c>
      <c r="C37" s="6">
        <f t="shared" si="0"/>
        <v>2.4729134115373199</v>
      </c>
      <c r="D37" s="4">
        <f>IF('WL &amp; Q'!T37="","",'WL &amp; Q'!T37)</f>
        <v>0</v>
      </c>
      <c r="E37" s="8">
        <v>1.5</v>
      </c>
      <c r="F37" s="8">
        <v>3</v>
      </c>
      <c r="G37" s="8">
        <v>4.5</v>
      </c>
    </row>
    <row r="38" spans="1:7" x14ac:dyDescent="0.3">
      <c r="A38" s="1">
        <f>'WL &amp; Q'!A38</f>
        <v>46233.416666666584</v>
      </c>
      <c r="B38" s="4">
        <f>IF('WL &amp; Q'!R38="","",'WL &amp; Q'!R38)</f>
        <v>0.43</v>
      </c>
      <c r="C38" s="6">
        <f t="shared" si="0"/>
        <v>2.4729134115373199</v>
      </c>
      <c r="D38" s="4">
        <f>IF('WL &amp; Q'!T38="","",'WL &amp; Q'!T38)</f>
        <v>0</v>
      </c>
      <c r="E38" s="8">
        <v>1.5</v>
      </c>
      <c r="F38" s="8">
        <v>3</v>
      </c>
      <c r="G38" s="8">
        <v>4.5</v>
      </c>
    </row>
    <row r="39" spans="1:7" x14ac:dyDescent="0.3">
      <c r="A39" s="1">
        <f>'WL &amp; Q'!A39</f>
        <v>46233.458333333248</v>
      </c>
      <c r="B39" s="4">
        <f>IF('WL &amp; Q'!R39="","",'WL &amp; Q'!R39)</f>
        <v>0.43</v>
      </c>
      <c r="C39" s="6">
        <f t="shared" si="0"/>
        <v>2.4729134115373199</v>
      </c>
      <c r="D39" s="4">
        <f>IF('WL &amp; Q'!T39="","",'WL &amp; Q'!T39)</f>
        <v>0</v>
      </c>
      <c r="E39" s="8">
        <v>1.5</v>
      </c>
      <c r="F39" s="8">
        <v>3</v>
      </c>
      <c r="G39" s="8">
        <v>4.5</v>
      </c>
    </row>
    <row r="40" spans="1:7" x14ac:dyDescent="0.3">
      <c r="A40" s="1">
        <f>'WL &amp; Q'!A40</f>
        <v>46233.499999999913</v>
      </c>
      <c r="B40" s="4">
        <f>IF('WL &amp; Q'!R40="","",'WL &amp; Q'!R40)</f>
        <v>0.43</v>
      </c>
      <c r="C40" s="6">
        <f t="shared" si="0"/>
        <v>2.4729134115373199</v>
      </c>
      <c r="D40" s="4">
        <f>IF('WL &amp; Q'!T40="","",'WL &amp; Q'!T40)</f>
        <v>0</v>
      </c>
      <c r="E40" s="8">
        <v>1.5</v>
      </c>
      <c r="F40" s="8">
        <v>3</v>
      </c>
      <c r="G40" s="8">
        <v>4.5</v>
      </c>
    </row>
    <row r="41" spans="1:7" x14ac:dyDescent="0.3">
      <c r="A41" s="1">
        <f>'WL &amp; Q'!A41</f>
        <v>46233.541666666577</v>
      </c>
      <c r="B41" s="4">
        <f>IF('WL &amp; Q'!R41="","",'WL &amp; Q'!R41)</f>
        <v>0.43</v>
      </c>
      <c r="C41" s="6">
        <f t="shared" si="0"/>
        <v>2.4729134115373199</v>
      </c>
      <c r="D41" s="4">
        <f>IF('WL &amp; Q'!T41="","",'WL &amp; Q'!T41)</f>
        <v>0</v>
      </c>
      <c r="E41" s="8">
        <v>1.5</v>
      </c>
      <c r="F41" s="8">
        <v>3</v>
      </c>
      <c r="G41" s="8">
        <v>4.5</v>
      </c>
    </row>
    <row r="42" spans="1:7" x14ac:dyDescent="0.3">
      <c r="A42" s="1">
        <f>'WL &amp; Q'!A42</f>
        <v>46233.583333333241</v>
      </c>
      <c r="B42" s="4">
        <f>IF('WL &amp; Q'!R42="","",'WL &amp; Q'!R42)</f>
        <v>0.43</v>
      </c>
      <c r="C42" s="6">
        <f t="shared" si="0"/>
        <v>2.4729134115373199</v>
      </c>
      <c r="D42" s="4">
        <f>IF('WL &amp; Q'!T42="","",'WL &amp; Q'!T42)</f>
        <v>0</v>
      </c>
      <c r="E42" s="8">
        <v>1.5</v>
      </c>
      <c r="F42" s="8">
        <v>3</v>
      </c>
      <c r="G42" s="8">
        <v>4.5</v>
      </c>
    </row>
    <row r="43" spans="1:7" x14ac:dyDescent="0.3">
      <c r="A43" s="1">
        <f>'WL &amp; Q'!A43</f>
        <v>46233.624999999905</v>
      </c>
      <c r="B43" s="4">
        <f>IF('WL &amp; Q'!R43="","",'WL &amp; Q'!R43)</f>
        <v>0.43</v>
      </c>
      <c r="C43" s="6">
        <f t="shared" si="0"/>
        <v>2.4729134115373199</v>
      </c>
      <c r="D43" s="4">
        <f>IF('WL &amp; Q'!T43="","",'WL &amp; Q'!T43)</f>
        <v>0</v>
      </c>
      <c r="E43" s="8">
        <v>1.5</v>
      </c>
      <c r="F43" s="8">
        <v>3</v>
      </c>
      <c r="G43" s="8">
        <v>4.5</v>
      </c>
    </row>
    <row r="44" spans="1:7" x14ac:dyDescent="0.3">
      <c r="A44" s="1">
        <f>'WL &amp; Q'!A44</f>
        <v>46233.66666666657</v>
      </c>
      <c r="B44" s="4">
        <f>IF('WL &amp; Q'!R44="","",'WL &amp; Q'!R44)</f>
        <v>0.42</v>
      </c>
      <c r="C44" s="6">
        <f t="shared" si="0"/>
        <v>2.3969101110500004</v>
      </c>
      <c r="D44" s="4">
        <f>IF('WL &amp; Q'!T44="","",'WL &amp; Q'!T44)</f>
        <v>0</v>
      </c>
      <c r="E44" s="8">
        <v>1.5</v>
      </c>
      <c r="F44" s="8">
        <v>3</v>
      </c>
      <c r="G44" s="8">
        <v>4.5</v>
      </c>
    </row>
    <row r="45" spans="1:7" x14ac:dyDescent="0.3">
      <c r="A45" s="1">
        <f>'WL &amp; Q'!A45</f>
        <v>46233.708333333234</v>
      </c>
      <c r="B45" s="4">
        <f>IF('WL &amp; Q'!R45="","",'WL &amp; Q'!R45)</f>
        <v>0.42</v>
      </c>
      <c r="C45" s="6">
        <f t="shared" si="0"/>
        <v>2.3969101110500004</v>
      </c>
      <c r="D45" s="4">
        <f>IF('WL &amp; Q'!T45="","",'WL &amp; Q'!T45)</f>
        <v>0</v>
      </c>
      <c r="E45" s="8">
        <v>1.5</v>
      </c>
      <c r="F45" s="8">
        <v>3</v>
      </c>
      <c r="G45" s="8">
        <v>4.5</v>
      </c>
    </row>
    <row r="46" spans="1:7" x14ac:dyDescent="0.3">
      <c r="A46" s="1">
        <f>'WL &amp; Q'!A46</f>
        <v>46233.749999999898</v>
      </c>
      <c r="B46" s="4">
        <f>IF('WL &amp; Q'!R46="","",'WL &amp; Q'!R46)</f>
        <v>0.42</v>
      </c>
      <c r="C46" s="6">
        <f t="shared" si="0"/>
        <v>2.3969101110500004</v>
      </c>
      <c r="D46" s="4">
        <f>IF('WL &amp; Q'!T46="","",'WL &amp; Q'!T46)</f>
        <v>0.5</v>
      </c>
      <c r="E46" s="8">
        <v>1.5</v>
      </c>
      <c r="F46" s="8">
        <v>3</v>
      </c>
      <c r="G46" s="8">
        <v>4.5</v>
      </c>
    </row>
    <row r="47" spans="1:7" x14ac:dyDescent="0.3">
      <c r="A47" s="1">
        <f>'WL &amp; Q'!A47</f>
        <v>46233.791666666562</v>
      </c>
      <c r="B47" s="4">
        <f>IF('WL &amp; Q'!R47="","",'WL &amp; Q'!R47)</f>
        <v>0.42</v>
      </c>
      <c r="C47" s="6">
        <f t="shared" si="0"/>
        <v>2.3969101110500004</v>
      </c>
      <c r="D47" s="4">
        <f>IF('WL &amp; Q'!T47="","",'WL &amp; Q'!T47)</f>
        <v>0</v>
      </c>
      <c r="E47" s="8">
        <v>1.5</v>
      </c>
      <c r="F47" s="8">
        <v>3</v>
      </c>
      <c r="G47" s="8">
        <v>4.5</v>
      </c>
    </row>
    <row r="48" spans="1:7" x14ac:dyDescent="0.3">
      <c r="A48" s="1">
        <f>'WL &amp; Q'!A48</f>
        <v>46233.833333333227</v>
      </c>
      <c r="B48" s="4">
        <f>IF('WL &amp; Q'!R48="","",'WL &amp; Q'!R48)</f>
        <v>0.42</v>
      </c>
      <c r="C48" s="6">
        <f t="shared" si="0"/>
        <v>2.3969101110500004</v>
      </c>
      <c r="D48" s="4">
        <f>IF('WL &amp; Q'!T48="","",'WL &amp; Q'!T48)</f>
        <v>0</v>
      </c>
      <c r="E48" s="8">
        <v>1.5</v>
      </c>
      <c r="F48" s="8">
        <v>3</v>
      </c>
      <c r="G48" s="8">
        <v>4.5</v>
      </c>
    </row>
    <row r="49" spans="1:7" x14ac:dyDescent="0.3">
      <c r="A49" s="1">
        <f>'WL &amp; Q'!A49</f>
        <v>46233.874999999891</v>
      </c>
      <c r="B49" s="4">
        <f>IF('WL &amp; Q'!R49="","",'WL &amp; Q'!R49)</f>
        <v>0.42</v>
      </c>
      <c r="C49" s="6">
        <f t="shared" si="0"/>
        <v>2.3969101110500004</v>
      </c>
      <c r="D49" s="4">
        <f>IF('WL &amp; Q'!T49="","",'WL &amp; Q'!T49)</f>
        <v>0</v>
      </c>
      <c r="E49" s="8">
        <v>1.5</v>
      </c>
      <c r="F49" s="8">
        <v>3</v>
      </c>
      <c r="G49" s="8">
        <v>4.5</v>
      </c>
    </row>
    <row r="50" spans="1:7" x14ac:dyDescent="0.3">
      <c r="A50" s="1">
        <f>'WL &amp; Q'!A50</f>
        <v>46233.916666666555</v>
      </c>
      <c r="B50" s="4">
        <f>IF('WL &amp; Q'!R50="","",'WL &amp; Q'!R50)</f>
        <v>0.42</v>
      </c>
      <c r="C50" s="6">
        <f t="shared" si="0"/>
        <v>2.3969101110500004</v>
      </c>
      <c r="D50" s="4">
        <f>IF('WL &amp; Q'!T50="","",'WL &amp; Q'!T50)</f>
        <v>0</v>
      </c>
      <c r="E50" s="8">
        <v>1.5</v>
      </c>
      <c r="F50" s="8">
        <v>3</v>
      </c>
      <c r="G50" s="8">
        <v>4.5</v>
      </c>
    </row>
    <row r="51" spans="1:7" x14ac:dyDescent="0.3">
      <c r="A51" s="1">
        <f>'WL &amp; Q'!A51</f>
        <v>46233.958333333219</v>
      </c>
      <c r="B51" s="4">
        <f>IF('WL &amp; Q'!R51="","",'WL &amp; Q'!R51)</f>
        <v>0.42</v>
      </c>
      <c r="C51" s="6">
        <f t="shared" si="0"/>
        <v>2.3969101110500004</v>
      </c>
      <c r="D51" s="4">
        <f>IF('WL &amp; Q'!T51="","",'WL &amp; Q'!T51)</f>
        <v>0</v>
      </c>
      <c r="E51" s="8">
        <v>1.5</v>
      </c>
      <c r="F51" s="8">
        <v>3</v>
      </c>
      <c r="G51" s="8">
        <v>4.5</v>
      </c>
    </row>
    <row r="52" spans="1:7" x14ac:dyDescent="0.3">
      <c r="A52" s="1">
        <f>'WL &amp; Q'!A52</f>
        <v>46233.999999999884</v>
      </c>
      <c r="B52" s="4">
        <f>IF('WL &amp; Q'!R52="","",'WL &amp; Q'!R52)</f>
        <v>0.41</v>
      </c>
      <c r="C52" s="6">
        <f t="shared" si="0"/>
        <v>2.3224502323231424</v>
      </c>
      <c r="D52" s="4">
        <f>IF('WL &amp; Q'!T52="","",'WL &amp; Q'!T52)</f>
        <v>0</v>
      </c>
      <c r="E52" s="8">
        <v>1.5</v>
      </c>
      <c r="F52" s="8">
        <v>3</v>
      </c>
      <c r="G52" s="8">
        <v>4.5</v>
      </c>
    </row>
    <row r="53" spans="1:7" x14ac:dyDescent="0.3">
      <c r="A53" s="1">
        <f>'WL &amp; Q'!A53</f>
        <v>46234.041666666548</v>
      </c>
      <c r="B53" s="4">
        <f>IF('WL &amp; Q'!R53="","",'WL &amp; Q'!R53)</f>
        <v>0.41</v>
      </c>
      <c r="C53" s="6">
        <f t="shared" si="0"/>
        <v>2.3224502323231424</v>
      </c>
      <c r="D53" s="4">
        <f>IF('WL &amp; Q'!T53="","",'WL &amp; Q'!T53)</f>
        <v>0</v>
      </c>
      <c r="E53" s="8">
        <v>1.5</v>
      </c>
      <c r="F53" s="8">
        <v>3</v>
      </c>
      <c r="G53" s="8">
        <v>4.5</v>
      </c>
    </row>
    <row r="54" spans="1:7" x14ac:dyDescent="0.3">
      <c r="A54" s="1">
        <f>'WL &amp; Q'!A54</f>
        <v>46234.083333333212</v>
      </c>
      <c r="B54" s="4">
        <f>IF('WL &amp; Q'!R54="","",'WL &amp; Q'!R54)</f>
        <v>0.42</v>
      </c>
      <c r="C54" s="6">
        <f t="shared" si="0"/>
        <v>2.3969101110500004</v>
      </c>
      <c r="D54" s="4">
        <f>IF('WL &amp; Q'!T54="","",'WL &amp; Q'!T54)</f>
        <v>0</v>
      </c>
      <c r="E54" s="8">
        <v>1.5</v>
      </c>
      <c r="F54" s="8">
        <v>3</v>
      </c>
      <c r="G54" s="8">
        <v>4.5</v>
      </c>
    </row>
    <row r="55" spans="1:7" x14ac:dyDescent="0.3">
      <c r="A55" s="1">
        <f>'WL &amp; Q'!A55</f>
        <v>46234.124999999876</v>
      </c>
      <c r="B55" s="4">
        <f>IF('WL &amp; Q'!R55="","",'WL &amp; Q'!R55)</f>
        <v>0.42</v>
      </c>
      <c r="C55" s="6">
        <f t="shared" si="0"/>
        <v>2.3969101110500004</v>
      </c>
      <c r="D55" s="4">
        <f>IF('WL &amp; Q'!T55="","",'WL &amp; Q'!T55)</f>
        <v>0</v>
      </c>
      <c r="E55" s="8">
        <v>1.5</v>
      </c>
      <c r="F55" s="8">
        <v>3</v>
      </c>
      <c r="G55" s="8">
        <v>4.5</v>
      </c>
    </row>
    <row r="56" spans="1:7" x14ac:dyDescent="0.3">
      <c r="A56" s="1">
        <f>'WL &amp; Q'!A56</f>
        <v>46234.166666666541</v>
      </c>
      <c r="B56" s="4">
        <f>IF('WL &amp; Q'!R56="","",'WL &amp; Q'!R56)</f>
        <v>0.42</v>
      </c>
      <c r="C56" s="6">
        <f t="shared" si="0"/>
        <v>2.3969101110500004</v>
      </c>
      <c r="D56" s="4">
        <f>IF('WL &amp; Q'!T56="","",'WL &amp; Q'!T56)</f>
        <v>1</v>
      </c>
      <c r="E56" s="8">
        <v>1.5</v>
      </c>
      <c r="F56" s="8">
        <v>3</v>
      </c>
      <c r="G56" s="8">
        <v>4.5</v>
      </c>
    </row>
    <row r="57" spans="1:7" x14ac:dyDescent="0.3">
      <c r="A57" s="1">
        <f>'WL &amp; Q'!A57</f>
        <v>46234.208333333205</v>
      </c>
      <c r="B57" s="4">
        <f>IF('WL &amp; Q'!R57="","",'WL &amp; Q'!R57)</f>
        <v>0.42</v>
      </c>
      <c r="C57" s="6">
        <f t="shared" si="0"/>
        <v>2.3969101110500004</v>
      </c>
      <c r="D57" s="4">
        <f>IF('WL &amp; Q'!T57="","",'WL &amp; Q'!T57)</f>
        <v>0</v>
      </c>
      <c r="E57" s="8">
        <v>1.5</v>
      </c>
      <c r="F57" s="8">
        <v>3</v>
      </c>
      <c r="G57" s="8">
        <v>4.5</v>
      </c>
    </row>
    <row r="58" spans="1:7" x14ac:dyDescent="0.3">
      <c r="A58" s="1">
        <f>'WL &amp; Q'!A58</f>
        <v>46234.249999999869</v>
      </c>
      <c r="B58" s="4">
        <f>IF('WL &amp; Q'!R58="","",'WL &amp; Q'!R58)</f>
        <v>0.42</v>
      </c>
      <c r="C58" s="6">
        <f t="shared" si="0"/>
        <v>2.3969101110500004</v>
      </c>
      <c r="D58" s="4">
        <f>IF('WL &amp; Q'!T58="","",'WL &amp; Q'!T58)</f>
        <v>0</v>
      </c>
      <c r="E58" s="8">
        <v>1.5</v>
      </c>
      <c r="F58" s="8">
        <v>3</v>
      </c>
      <c r="G58" s="8">
        <v>4.5</v>
      </c>
    </row>
    <row r="59" spans="1:7" x14ac:dyDescent="0.3">
      <c r="A59" s="1">
        <f>'WL &amp; Q'!A59</f>
        <v>46234.291666666533</v>
      </c>
      <c r="B59" s="4">
        <f>IF('WL &amp; Q'!R59="","",'WL &amp; Q'!R59)</f>
        <v>0.42</v>
      </c>
      <c r="C59" s="6">
        <f t="shared" si="0"/>
        <v>2.3969101110500004</v>
      </c>
      <c r="D59" s="4">
        <f>IF('WL &amp; Q'!T59="","",'WL &amp; Q'!T59)</f>
        <v>0</v>
      </c>
      <c r="E59" s="8">
        <v>1.5</v>
      </c>
      <c r="F59" s="8">
        <v>3</v>
      </c>
      <c r="G59" s="8">
        <v>4.5</v>
      </c>
    </row>
    <row r="60" spans="1:7" x14ac:dyDescent="0.3">
      <c r="A60" s="1">
        <f>'WL &amp; Q'!A60</f>
        <v>46234.333333333198</v>
      </c>
      <c r="B60" s="4">
        <f>IF('WL &amp; Q'!R60="","",'WL &amp; Q'!R60)</f>
        <v>0.43</v>
      </c>
      <c r="C60" s="6">
        <f t="shared" si="0"/>
        <v>2.4729134115373199</v>
      </c>
      <c r="D60" s="4">
        <f>IF('WL &amp; Q'!T60="","",'WL &amp; Q'!T60)</f>
        <v>0</v>
      </c>
      <c r="E60" s="8">
        <v>1.5</v>
      </c>
      <c r="F60" s="8">
        <v>3</v>
      </c>
      <c r="G60" s="8">
        <v>4.5</v>
      </c>
    </row>
    <row r="61" spans="1:7" x14ac:dyDescent="0.3">
      <c r="A61" s="1">
        <f>'WL &amp; Q'!A61</f>
        <v>46234.374999999862</v>
      </c>
      <c r="B61" s="4">
        <f>IF('WL &amp; Q'!R61="","",'WL &amp; Q'!R61)</f>
        <v>0.42</v>
      </c>
      <c r="C61" s="6">
        <f t="shared" si="0"/>
        <v>2.3969101110500004</v>
      </c>
      <c r="D61" s="4">
        <f>IF('WL &amp; Q'!T61="","",'WL &amp; Q'!T61)</f>
        <v>0</v>
      </c>
      <c r="E61" s="8">
        <v>1.5</v>
      </c>
      <c r="F61" s="8">
        <v>3</v>
      </c>
      <c r="G61" s="8">
        <v>4.5</v>
      </c>
    </row>
    <row r="62" spans="1:7" x14ac:dyDescent="0.3">
      <c r="A62" s="1">
        <f>'WL &amp; Q'!A62</f>
        <v>46234.416666666526</v>
      </c>
      <c r="B62" s="4">
        <f>IF('WL &amp; Q'!R62="","",'WL &amp; Q'!R62)</f>
        <v>0.42</v>
      </c>
      <c r="C62" s="6">
        <f t="shared" si="0"/>
        <v>2.3969101110500004</v>
      </c>
      <c r="D62" s="4">
        <f>IF('WL &amp; Q'!T62="","",'WL &amp; Q'!T62)</f>
        <v>0</v>
      </c>
      <c r="E62" s="8">
        <v>1.5</v>
      </c>
      <c r="F62" s="8">
        <v>3</v>
      </c>
      <c r="G62" s="8">
        <v>4.5</v>
      </c>
    </row>
    <row r="63" spans="1:7" x14ac:dyDescent="0.3">
      <c r="A63" s="1">
        <f>'WL &amp; Q'!A63</f>
        <v>46234.45833333319</v>
      </c>
      <c r="B63" s="4">
        <f>IF('WL &amp; Q'!R63="","",'WL &amp; Q'!R63)</f>
        <v>0.42</v>
      </c>
      <c r="C63" s="6">
        <f t="shared" si="0"/>
        <v>2.3969101110500004</v>
      </c>
      <c r="D63" s="4">
        <f>IF('WL &amp; Q'!T63="","",'WL &amp; Q'!T63)</f>
        <v>0</v>
      </c>
      <c r="E63" s="8">
        <v>1.5</v>
      </c>
      <c r="F63" s="8">
        <v>3</v>
      </c>
      <c r="G63" s="8">
        <v>4.5</v>
      </c>
    </row>
    <row r="64" spans="1:7" x14ac:dyDescent="0.3">
      <c r="A64" s="1">
        <f>'WL &amp; Q'!A64</f>
        <v>46234.499999999854</v>
      </c>
      <c r="B64" s="4">
        <f>IF('WL &amp; Q'!R64="","",'WL &amp; Q'!R64)</f>
        <v>0.43</v>
      </c>
      <c r="C64" s="6">
        <f t="shared" si="0"/>
        <v>2.4729134115373199</v>
      </c>
      <c r="D64" s="4">
        <f>IF('WL &amp; Q'!T64="","",'WL &amp; Q'!T64)</f>
        <v>0</v>
      </c>
      <c r="E64" s="8">
        <v>1.5</v>
      </c>
      <c r="F64" s="8">
        <v>3</v>
      </c>
      <c r="G64" s="8">
        <v>4.5</v>
      </c>
    </row>
    <row r="65" spans="1:7" x14ac:dyDescent="0.3">
      <c r="A65" s="1">
        <f>'WL &amp; Q'!A65</f>
        <v>46234.541666666519</v>
      </c>
      <c r="B65" s="4">
        <f>IF('WL &amp; Q'!R65="","",'WL &amp; Q'!R65)</f>
        <v>0.43</v>
      </c>
      <c r="C65" s="6">
        <f t="shared" si="0"/>
        <v>2.4729134115373199</v>
      </c>
      <c r="D65" s="4">
        <f>IF('WL &amp; Q'!T65="","",'WL &amp; Q'!T65)</f>
        <v>0</v>
      </c>
      <c r="E65" s="8">
        <v>1.5</v>
      </c>
      <c r="F65" s="8">
        <v>3</v>
      </c>
      <c r="G65" s="8">
        <v>4.5</v>
      </c>
    </row>
    <row r="66" spans="1:7" x14ac:dyDescent="0.3">
      <c r="A66" s="1">
        <f>'WL &amp; Q'!A66</f>
        <v>46234.583333333183</v>
      </c>
      <c r="B66" s="4">
        <f>IF('WL &amp; Q'!R66="","",'WL &amp; Q'!R66)</f>
        <v>0.43</v>
      </c>
      <c r="C66" s="6">
        <f t="shared" si="0"/>
        <v>2.4729134115373199</v>
      </c>
      <c r="D66" s="4">
        <f>IF('WL &amp; Q'!T66="","",'WL &amp; Q'!T66)</f>
        <v>0</v>
      </c>
      <c r="E66" s="8">
        <v>1.5</v>
      </c>
      <c r="F66" s="8">
        <v>3</v>
      </c>
      <c r="G66" s="8">
        <v>4.5</v>
      </c>
    </row>
    <row r="67" spans="1:7" x14ac:dyDescent="0.3">
      <c r="A67" s="1">
        <f>'WL &amp; Q'!A67</f>
        <v>46234.624999999847</v>
      </c>
      <c r="B67" s="4">
        <f>IF('WL &amp; Q'!R67="","",'WL &amp; Q'!R67)</f>
        <v>0.43</v>
      </c>
      <c r="C67" s="6">
        <f t="shared" si="0"/>
        <v>2.4729134115373199</v>
      </c>
      <c r="D67" s="4">
        <f>IF('WL &amp; Q'!T67="","",'WL &amp; Q'!T67)</f>
        <v>0</v>
      </c>
      <c r="E67" s="8">
        <v>1.5</v>
      </c>
      <c r="F67" s="8">
        <v>3</v>
      </c>
      <c r="G67" s="8">
        <v>4.5</v>
      </c>
    </row>
    <row r="68" spans="1:7" x14ac:dyDescent="0.3">
      <c r="A68" s="1">
        <f>'WL &amp; Q'!A68</f>
        <v>46234.666666666511</v>
      </c>
      <c r="B68" s="4">
        <f>IF('WL &amp; Q'!R68="","",'WL &amp; Q'!R68)</f>
        <v>0.42</v>
      </c>
      <c r="C68" s="6">
        <f t="shared" si="0"/>
        <v>2.3969101110500004</v>
      </c>
      <c r="D68" s="4">
        <f>IF('WL &amp; Q'!T68="","",'WL &amp; Q'!T68)</f>
        <v>0</v>
      </c>
      <c r="E68" s="8">
        <v>1.5</v>
      </c>
      <c r="F68" s="8">
        <v>3</v>
      </c>
      <c r="G68" s="8">
        <v>4.5</v>
      </c>
    </row>
    <row r="69" spans="1:7" x14ac:dyDescent="0.3">
      <c r="A69" s="1">
        <f>'WL &amp; Q'!A69</f>
        <v>46234.708333333176</v>
      </c>
      <c r="B69" s="4">
        <f>IF('WL &amp; Q'!R69="","",'WL &amp; Q'!R69)</f>
        <v>0.42</v>
      </c>
      <c r="C69" s="6">
        <f t="shared" si="0"/>
        <v>2.3969101110500004</v>
      </c>
      <c r="D69" s="4">
        <f>IF('WL &amp; Q'!T69="","",'WL &amp; Q'!T69)</f>
        <v>0</v>
      </c>
      <c r="E69" s="8">
        <v>1.5</v>
      </c>
      <c r="F69" s="8">
        <v>3</v>
      </c>
      <c r="G69" s="8">
        <v>4.5</v>
      </c>
    </row>
    <row r="70" spans="1:7" x14ac:dyDescent="0.3">
      <c r="A70" s="1">
        <f>'WL &amp; Q'!A70</f>
        <v>46234.74999999984</v>
      </c>
      <c r="B70" s="4">
        <f>IF('WL &amp; Q'!R70="","",'WL &amp; Q'!R70)</f>
        <v>0.42</v>
      </c>
      <c r="C70" s="6">
        <f t="shared" ref="C70:C133" si="1">IF(B70="","",IF(B70&gt;2.5,19.135*(B70+0.5)^2-29.477*(B70+0.5)+32.54,3.0494*((B70+0.5)^2.8875)))</f>
        <v>2.3969101110500004</v>
      </c>
      <c r="D70" s="4">
        <f>IF('WL &amp; Q'!T70="","",'WL &amp; Q'!T70)</f>
        <v>0</v>
      </c>
      <c r="E70" s="8">
        <v>1.5</v>
      </c>
      <c r="F70" s="8">
        <v>3</v>
      </c>
      <c r="G70" s="8">
        <v>4.5</v>
      </c>
    </row>
    <row r="71" spans="1:7" x14ac:dyDescent="0.3">
      <c r="A71" s="1">
        <f>'WL &amp; Q'!A71</f>
        <v>46234.791666666504</v>
      </c>
      <c r="B71" s="4">
        <f>IF('WL &amp; Q'!R71="","",'WL &amp; Q'!R71)</f>
        <v>0.42</v>
      </c>
      <c r="C71" s="6">
        <f t="shared" si="1"/>
        <v>2.3969101110500004</v>
      </c>
      <c r="D71" s="4">
        <f>IF('WL &amp; Q'!T71="","",'WL &amp; Q'!T71)</f>
        <v>0</v>
      </c>
      <c r="E71" s="8">
        <v>1.5</v>
      </c>
      <c r="F71" s="8">
        <v>3</v>
      </c>
      <c r="G71" s="8">
        <v>4.5</v>
      </c>
    </row>
    <row r="72" spans="1:7" x14ac:dyDescent="0.3">
      <c r="A72" s="1">
        <f>'WL &amp; Q'!A72</f>
        <v>46234.833333333168</v>
      </c>
      <c r="B72" s="4">
        <f>IF('WL &amp; Q'!R72="","",'WL &amp; Q'!R72)</f>
        <v>0.42</v>
      </c>
      <c r="C72" s="6">
        <f t="shared" si="1"/>
        <v>2.3969101110500004</v>
      </c>
      <c r="D72" s="4">
        <f>IF('WL &amp; Q'!T72="","",'WL &amp; Q'!T72)</f>
        <v>0</v>
      </c>
      <c r="E72" s="8">
        <v>1.5</v>
      </c>
      <c r="F72" s="8">
        <v>3</v>
      </c>
      <c r="G72" s="8">
        <v>4.5</v>
      </c>
    </row>
    <row r="73" spans="1:7" x14ac:dyDescent="0.3">
      <c r="A73" s="1">
        <f>'WL &amp; Q'!A73</f>
        <v>46234.874999999833</v>
      </c>
      <c r="B73" s="4">
        <f>IF('WL &amp; Q'!R73="","",'WL &amp; Q'!R73)</f>
        <v>0.42</v>
      </c>
      <c r="C73" s="6">
        <f t="shared" si="1"/>
        <v>2.3969101110500004</v>
      </c>
      <c r="D73" s="4">
        <f>IF('WL &amp; Q'!T73="","",'WL &amp; Q'!T73)</f>
        <v>1.2</v>
      </c>
      <c r="E73" s="8">
        <v>1.5</v>
      </c>
      <c r="F73" s="8">
        <v>3</v>
      </c>
      <c r="G73" s="8">
        <v>4.5</v>
      </c>
    </row>
    <row r="74" spans="1:7" x14ac:dyDescent="0.3">
      <c r="A74" s="1">
        <f>'WL &amp; Q'!A74</f>
        <v>46234.916666666497</v>
      </c>
      <c r="B74" s="4">
        <f>IF('WL &amp; Q'!R74="","",'WL &amp; Q'!R74)</f>
        <v>0.42</v>
      </c>
      <c r="C74" s="6">
        <f t="shared" si="1"/>
        <v>2.3969101110500004</v>
      </c>
      <c r="D74" s="4">
        <f>IF('WL &amp; Q'!T74="","",'WL &amp; Q'!T74)</f>
        <v>0.5</v>
      </c>
      <c r="E74" s="8">
        <v>1.5</v>
      </c>
      <c r="F74" s="8">
        <v>3</v>
      </c>
      <c r="G74" s="8">
        <v>4.5</v>
      </c>
    </row>
    <row r="75" spans="1:7" x14ac:dyDescent="0.3">
      <c r="A75" s="1">
        <f>'WL &amp; Q'!A75</f>
        <v>46234.958333333161</v>
      </c>
      <c r="B75" s="4">
        <f>IF('WL &amp; Q'!R75="","",'WL &amp; Q'!R75)</f>
        <v>0.43</v>
      </c>
      <c r="C75" s="6">
        <f t="shared" si="1"/>
        <v>2.4729134115373199</v>
      </c>
      <c r="D75" s="4">
        <f>IF('WL &amp; Q'!T75="","",'WL &amp; Q'!T75)</f>
        <v>0.4</v>
      </c>
      <c r="E75" s="8">
        <v>1.5</v>
      </c>
      <c r="F75" s="8">
        <v>3</v>
      </c>
      <c r="G75" s="8">
        <v>4.5</v>
      </c>
    </row>
    <row r="76" spans="1:7" x14ac:dyDescent="0.3">
      <c r="A76" s="1">
        <f>'WL &amp; Q'!A76</f>
        <v>46234.999999999825</v>
      </c>
      <c r="B76" s="4">
        <f>IF('WL &amp; Q'!R76="","",'WL &amp; Q'!R76)</f>
        <v>0.43</v>
      </c>
      <c r="C76" s="6">
        <f t="shared" si="1"/>
        <v>2.4729134115373199</v>
      </c>
      <c r="D76" s="4">
        <f>IF('WL &amp; Q'!T76="","",'WL &amp; Q'!T76)</f>
        <v>0</v>
      </c>
      <c r="E76" s="8">
        <v>1.5</v>
      </c>
      <c r="F76" s="8">
        <v>3</v>
      </c>
      <c r="G76" s="8">
        <v>4.5</v>
      </c>
    </row>
    <row r="77" spans="1:7" x14ac:dyDescent="0.3">
      <c r="A77" s="1">
        <f>'WL &amp; Q'!A77</f>
        <v>46235.04166666649</v>
      </c>
      <c r="B77" s="4">
        <f>IF('WL &amp; Q'!R77="","",'WL &amp; Q'!R77)</f>
        <v>0.43</v>
      </c>
      <c r="C77" s="6">
        <f t="shared" si="1"/>
        <v>2.4729134115373199</v>
      </c>
      <c r="D77" s="4">
        <f>IF('WL &amp; Q'!T77="","",'WL &amp; Q'!T77)</f>
        <v>0</v>
      </c>
      <c r="E77" s="8">
        <v>1.5</v>
      </c>
      <c r="F77" s="8">
        <v>3</v>
      </c>
      <c r="G77" s="8">
        <v>4.5</v>
      </c>
    </row>
    <row r="78" spans="1:7" x14ac:dyDescent="0.3">
      <c r="A78" s="1">
        <f>'WL &amp; Q'!A78</f>
        <v>46235.083333333154</v>
      </c>
      <c r="B78" s="4">
        <f>IF('WL &amp; Q'!R78="","",'WL &amp; Q'!R78)</f>
        <v>0.44</v>
      </c>
      <c r="C78" s="6">
        <f t="shared" si="1"/>
        <v>2.5504750137381222</v>
      </c>
      <c r="D78" s="4">
        <f>IF('WL &amp; Q'!T78="","",'WL &amp; Q'!T78)</f>
        <v>0</v>
      </c>
      <c r="E78" s="8">
        <v>1.5</v>
      </c>
      <c r="F78" s="8">
        <v>3</v>
      </c>
      <c r="G78" s="8">
        <v>4.5</v>
      </c>
    </row>
    <row r="79" spans="1:7" x14ac:dyDescent="0.3">
      <c r="A79" s="1">
        <f>'WL &amp; Q'!A79</f>
        <v>46235.124999999818</v>
      </c>
      <c r="B79" s="4">
        <f>IF('WL &amp; Q'!R79="","",'WL &amp; Q'!R79)</f>
        <v>0.44</v>
      </c>
      <c r="C79" s="6">
        <f t="shared" si="1"/>
        <v>2.5504750137381222</v>
      </c>
      <c r="D79" s="4">
        <f>IF('WL &amp; Q'!T79="","",'WL &amp; Q'!T79)</f>
        <v>0</v>
      </c>
      <c r="E79" s="8">
        <v>1.5</v>
      </c>
      <c r="F79" s="8">
        <v>3</v>
      </c>
      <c r="G79" s="8">
        <v>4.5</v>
      </c>
    </row>
    <row r="80" spans="1:7" x14ac:dyDescent="0.3">
      <c r="A80" s="1">
        <f>'WL &amp; Q'!A80</f>
        <v>46235.166666666482</v>
      </c>
      <c r="B80" s="4">
        <f>IF('WL &amp; Q'!R80="","",'WL &amp; Q'!R80)</f>
        <v>0.66</v>
      </c>
      <c r="C80" s="6">
        <f t="shared" si="1"/>
        <v>4.6809805852030717</v>
      </c>
      <c r="D80" s="4">
        <f>IF('WL &amp; Q'!T80="","",'WL &amp; Q'!T80)</f>
        <v>27.7</v>
      </c>
      <c r="E80" s="8">
        <v>1.5</v>
      </c>
      <c r="F80" s="8">
        <v>3</v>
      </c>
      <c r="G80" s="8">
        <v>4.5</v>
      </c>
    </row>
    <row r="81" spans="1:7" x14ac:dyDescent="0.3">
      <c r="A81" s="1">
        <f>'WL &amp; Q'!A81</f>
        <v>46235.208333333147</v>
      </c>
      <c r="B81" s="4">
        <f>IF('WL &amp; Q'!R81="","",'WL &amp; Q'!R81)</f>
        <v>1.02</v>
      </c>
      <c r="C81" s="6">
        <f t="shared" si="1"/>
        <v>10.216161650359053</v>
      </c>
      <c r="D81" s="4">
        <f>IF('WL &amp; Q'!T81="","",'WL &amp; Q'!T81)</f>
        <v>11.5</v>
      </c>
      <c r="E81" s="8">
        <v>1.5</v>
      </c>
      <c r="F81" s="8">
        <v>3</v>
      </c>
      <c r="G81" s="8">
        <v>4.5</v>
      </c>
    </row>
    <row r="82" spans="1:7" x14ac:dyDescent="0.3">
      <c r="A82" s="1">
        <f>'WL &amp; Q'!A82</f>
        <v>46235.249999999811</v>
      </c>
      <c r="B82" s="4">
        <f>IF('WL &amp; Q'!R82="","",'WL &amp; Q'!R82)</f>
        <v>0.98</v>
      </c>
      <c r="C82" s="6">
        <f t="shared" si="1"/>
        <v>9.4589972491141996</v>
      </c>
      <c r="D82" s="4">
        <f>IF('WL &amp; Q'!T82="","",'WL &amp; Q'!T82)</f>
        <v>1.3</v>
      </c>
      <c r="E82" s="8">
        <v>1.5</v>
      </c>
      <c r="F82" s="8">
        <v>3</v>
      </c>
      <c r="G82" s="8">
        <v>4.5</v>
      </c>
    </row>
    <row r="83" spans="1:7" x14ac:dyDescent="0.3">
      <c r="A83" s="1">
        <f>'WL &amp; Q'!A83</f>
        <v>46235.291666666475</v>
      </c>
      <c r="B83" s="4">
        <f>IF('WL &amp; Q'!R83="","",'WL &amp; Q'!R83)</f>
        <v>0.95</v>
      </c>
      <c r="C83" s="6">
        <f t="shared" si="1"/>
        <v>8.9158859083025686</v>
      </c>
      <c r="D83" s="4">
        <f>IF('WL &amp; Q'!T83="","",'WL &amp; Q'!T83)</f>
        <v>1.8</v>
      </c>
      <c r="E83" s="8">
        <v>1.5</v>
      </c>
      <c r="F83" s="8">
        <v>3</v>
      </c>
      <c r="G83" s="8">
        <v>4.5</v>
      </c>
    </row>
    <row r="84" spans="1:7" x14ac:dyDescent="0.3">
      <c r="A84" s="1">
        <f>'WL &amp; Q'!A84</f>
        <v>46235.333333333139</v>
      </c>
      <c r="B84" s="4">
        <f>IF('WL &amp; Q'!R84="","",'WL &amp; Q'!R84)</f>
        <v>0.93</v>
      </c>
      <c r="C84" s="6">
        <f t="shared" si="1"/>
        <v>8.5653912239985175</v>
      </c>
      <c r="D84" s="4">
        <f>IF('WL &amp; Q'!T84="","",'WL &amp; Q'!T84)</f>
        <v>1.4</v>
      </c>
      <c r="E84" s="8">
        <v>1.5</v>
      </c>
      <c r="F84" s="8">
        <v>3</v>
      </c>
      <c r="G84" s="8">
        <v>4.5</v>
      </c>
    </row>
    <row r="85" spans="1:7" x14ac:dyDescent="0.3">
      <c r="A85" s="1">
        <f>'WL &amp; Q'!A85</f>
        <v>46235.374999999804</v>
      </c>
      <c r="B85" s="4">
        <f>IF('WL &amp; Q'!R85="","",'WL &amp; Q'!R85)</f>
        <v>0.85</v>
      </c>
      <c r="C85" s="6">
        <f t="shared" si="1"/>
        <v>7.2535924802425615</v>
      </c>
      <c r="D85" s="4">
        <f>IF('WL &amp; Q'!T85="","",'WL &amp; Q'!T85)</f>
        <v>3.2</v>
      </c>
      <c r="E85" s="8">
        <v>1.5</v>
      </c>
      <c r="F85" s="8">
        <v>3</v>
      </c>
      <c r="G85" s="8">
        <v>4.5</v>
      </c>
    </row>
    <row r="86" spans="1:7" x14ac:dyDescent="0.3">
      <c r="A86" s="1">
        <f>'WL &amp; Q'!A86</f>
        <v>46235.416666666468</v>
      </c>
      <c r="B86" s="4">
        <f>IF('WL &amp; Q'!R86="","",'WL &amp; Q'!R86)</f>
        <v>0.81</v>
      </c>
      <c r="C86" s="6">
        <f t="shared" si="1"/>
        <v>6.6502085073063615</v>
      </c>
      <c r="D86" s="4">
        <f>IF('WL &amp; Q'!T86="","",'WL &amp; Q'!T86)</f>
        <v>0.7</v>
      </c>
      <c r="E86" s="8">
        <v>1.5</v>
      </c>
      <c r="F86" s="8">
        <v>3</v>
      </c>
      <c r="G86" s="8">
        <v>4.5</v>
      </c>
    </row>
    <row r="87" spans="1:7" x14ac:dyDescent="0.3">
      <c r="A87" s="1">
        <f>'WL &amp; Q'!A87</f>
        <v>46235.458333333132</v>
      </c>
      <c r="B87" s="4">
        <f>IF('WL &amp; Q'!R87="","",'WL &amp; Q'!R87)</f>
        <v>0.81</v>
      </c>
      <c r="C87" s="6">
        <f t="shared" si="1"/>
        <v>6.6502085073063615</v>
      </c>
      <c r="D87" s="4">
        <f>IF('WL &amp; Q'!T87="","",'WL &amp; Q'!T87)</f>
        <v>0</v>
      </c>
      <c r="E87" s="8">
        <v>1.5</v>
      </c>
      <c r="F87" s="8">
        <v>3</v>
      </c>
      <c r="G87" s="8">
        <v>4.5</v>
      </c>
    </row>
    <row r="88" spans="1:7" x14ac:dyDescent="0.3">
      <c r="A88" s="1">
        <f>'WL &amp; Q'!A88</f>
        <v>46235.499999999796</v>
      </c>
      <c r="B88" s="4">
        <f>IF('WL &amp; Q'!R88="","",'WL &amp; Q'!R88)</f>
        <v>0.76</v>
      </c>
      <c r="C88" s="6">
        <f t="shared" si="1"/>
        <v>5.9433915844101195</v>
      </c>
      <c r="D88" s="4">
        <f>IF('WL &amp; Q'!T88="","",'WL &amp; Q'!T88)</f>
        <v>0</v>
      </c>
      <c r="E88" s="8">
        <v>1.5</v>
      </c>
      <c r="F88" s="8">
        <v>3</v>
      </c>
      <c r="G88" s="8">
        <v>4.5</v>
      </c>
    </row>
    <row r="89" spans="1:7" x14ac:dyDescent="0.3">
      <c r="A89" s="1">
        <f>'WL &amp; Q'!A89</f>
        <v>46235.541666666461</v>
      </c>
      <c r="B89" s="4">
        <f>IF('WL &amp; Q'!R89="","",'WL &amp; Q'!R89)</f>
        <v>0.75</v>
      </c>
      <c r="C89" s="6">
        <f t="shared" si="1"/>
        <v>5.8082066340376368</v>
      </c>
      <c r="D89" s="4">
        <f>IF('WL &amp; Q'!T89="","",'WL &amp; Q'!T89)</f>
        <v>1.1000000000000001</v>
      </c>
      <c r="E89" s="8">
        <v>1.5</v>
      </c>
      <c r="F89" s="8">
        <v>3</v>
      </c>
      <c r="G89" s="8">
        <v>4.5</v>
      </c>
    </row>
    <row r="90" spans="1:7" x14ac:dyDescent="0.3">
      <c r="A90" s="1">
        <f>'WL &amp; Q'!A90</f>
        <v>46235.583333333125</v>
      </c>
      <c r="B90" s="4">
        <f>IF('WL &amp; Q'!R90="","",'WL &amp; Q'!R90)</f>
        <v>0.74</v>
      </c>
      <c r="C90" s="6">
        <f t="shared" si="1"/>
        <v>5.675047643142344</v>
      </c>
      <c r="D90" s="4">
        <f>IF('WL &amp; Q'!T90="","",'WL &amp; Q'!T90)</f>
        <v>0.5</v>
      </c>
      <c r="E90" s="8">
        <v>1.5</v>
      </c>
      <c r="F90" s="8">
        <v>3</v>
      </c>
      <c r="G90" s="8">
        <v>4.5</v>
      </c>
    </row>
    <row r="91" spans="1:7" x14ac:dyDescent="0.3">
      <c r="A91" s="1">
        <f>'WL &amp; Q'!A91</f>
        <v>46235.624999999789</v>
      </c>
      <c r="B91" s="4">
        <f>IF('WL &amp; Q'!R91="","",'WL &amp; Q'!R91)</f>
        <v>0.72</v>
      </c>
      <c r="C91" s="6">
        <f t="shared" si="1"/>
        <v>5.4147499634334659</v>
      </c>
      <c r="D91" s="4">
        <f>IF('WL &amp; Q'!T91="","",'WL &amp; Q'!T91)</f>
        <v>1.2</v>
      </c>
      <c r="E91" s="8">
        <v>1.5</v>
      </c>
      <c r="F91" s="8">
        <v>3</v>
      </c>
      <c r="G91" s="8">
        <v>4.5</v>
      </c>
    </row>
    <row r="92" spans="1:7" x14ac:dyDescent="0.3">
      <c r="A92" s="1">
        <f>'WL &amp; Q'!A92</f>
        <v>46235.666666666453</v>
      </c>
      <c r="B92" s="4">
        <f>IF('WL &amp; Q'!R92="","",'WL &amp; Q'!R92)</f>
        <v>0.68</v>
      </c>
      <c r="C92" s="6">
        <f t="shared" si="1"/>
        <v>4.9178320397206949</v>
      </c>
      <c r="D92" s="4">
        <f>IF('WL &amp; Q'!T92="","",'WL &amp; Q'!T92)</f>
        <v>3.3</v>
      </c>
      <c r="E92" s="8">
        <v>1.5</v>
      </c>
      <c r="F92" s="8">
        <v>3</v>
      </c>
      <c r="G92" s="8">
        <v>4.5</v>
      </c>
    </row>
    <row r="93" spans="1:7" x14ac:dyDescent="0.3">
      <c r="A93" s="1">
        <f>'WL &amp; Q'!A93</f>
        <v>46235.708333333117</v>
      </c>
      <c r="B93" s="4">
        <f>IF('WL &amp; Q'!R93="","",'WL &amp; Q'!R93)</f>
        <v>0.67</v>
      </c>
      <c r="C93" s="6">
        <f t="shared" si="1"/>
        <v>4.7984510822675412</v>
      </c>
      <c r="D93" s="4">
        <f>IF('WL &amp; Q'!T93="","",'WL &amp; Q'!T93)</f>
        <v>1.8</v>
      </c>
      <c r="E93" s="8">
        <v>1.5</v>
      </c>
      <c r="F93" s="8">
        <v>3</v>
      </c>
      <c r="G93" s="8">
        <v>4.5</v>
      </c>
    </row>
    <row r="94" spans="1:7" x14ac:dyDescent="0.3">
      <c r="A94" s="1">
        <f>'WL &amp; Q'!A94</f>
        <v>46235.749999999782</v>
      </c>
      <c r="B94" s="4">
        <f>IF('WL &amp; Q'!R94="","",'WL &amp; Q'!R94)</f>
        <v>0.67</v>
      </c>
      <c r="C94" s="6">
        <f t="shared" si="1"/>
        <v>4.7984510822675412</v>
      </c>
      <c r="D94" s="4">
        <f>IF('WL &amp; Q'!T94="","",'WL &amp; Q'!T94)</f>
        <v>0.8</v>
      </c>
      <c r="E94" s="8">
        <v>1.5</v>
      </c>
      <c r="F94" s="8">
        <v>3</v>
      </c>
      <c r="G94" s="8">
        <v>4.5</v>
      </c>
    </row>
    <row r="95" spans="1:7" x14ac:dyDescent="0.3">
      <c r="A95" s="1">
        <f>'WL &amp; Q'!A95</f>
        <v>46235.791666666446</v>
      </c>
      <c r="B95" s="4">
        <f>IF('WL &amp; Q'!R95="","",'WL &amp; Q'!R95)</f>
        <v>0.66</v>
      </c>
      <c r="C95" s="6">
        <f t="shared" si="1"/>
        <v>4.6809805852030717</v>
      </c>
      <c r="D95" s="4">
        <f>IF('WL &amp; Q'!T95="","",'WL &amp; Q'!T95)</f>
        <v>0.3</v>
      </c>
      <c r="E95" s="8">
        <v>1.5</v>
      </c>
      <c r="F95" s="8">
        <v>3</v>
      </c>
      <c r="G95" s="8">
        <v>4.5</v>
      </c>
    </row>
    <row r="96" spans="1:7" x14ac:dyDescent="0.3">
      <c r="A96" s="1">
        <f>'WL &amp; Q'!A96</f>
        <v>46235.83333333311</v>
      </c>
      <c r="B96" s="4">
        <f>IF('WL &amp; Q'!R96="","",'WL &amp; Q'!R96)</f>
        <v>0.66</v>
      </c>
      <c r="C96" s="6">
        <f t="shared" si="1"/>
        <v>4.6809805852030717</v>
      </c>
      <c r="D96" s="4">
        <f>IF('WL &amp; Q'!T96="","",'WL &amp; Q'!T96)</f>
        <v>0</v>
      </c>
      <c r="E96" s="8">
        <v>1.5</v>
      </c>
      <c r="F96" s="8">
        <v>3</v>
      </c>
      <c r="G96" s="8">
        <v>4.5</v>
      </c>
    </row>
    <row r="97" spans="1:7" x14ac:dyDescent="0.3">
      <c r="A97" s="1">
        <f>'WL &amp; Q'!A97</f>
        <v>46235.874999999774</v>
      </c>
      <c r="B97" s="4">
        <f>IF('WL &amp; Q'!R97="","",'WL &amp; Q'!R97)</f>
        <v>0.66</v>
      </c>
      <c r="C97" s="6">
        <f t="shared" si="1"/>
        <v>4.6809805852030717</v>
      </c>
      <c r="D97" s="4">
        <f>IF('WL &amp; Q'!T97="","",'WL &amp; Q'!T97)</f>
        <v>0.5</v>
      </c>
      <c r="E97" s="8">
        <v>1.5</v>
      </c>
      <c r="F97" s="8">
        <v>3</v>
      </c>
      <c r="G97" s="8">
        <v>4.5</v>
      </c>
    </row>
    <row r="98" spans="1:7" x14ac:dyDescent="0.3">
      <c r="A98" s="1">
        <f>'WL &amp; Q'!A98</f>
        <v>46235.916666666439</v>
      </c>
      <c r="B98" s="4">
        <f>IF('WL &amp; Q'!R98="","",'WL &amp; Q'!R98)</f>
        <v>0.65</v>
      </c>
      <c r="C98" s="6">
        <f t="shared" si="1"/>
        <v>4.5654060497778257</v>
      </c>
      <c r="D98" s="4">
        <f>IF('WL &amp; Q'!T98="","",'WL &amp; Q'!T98)</f>
        <v>0</v>
      </c>
      <c r="E98" s="8">
        <v>1.5</v>
      </c>
      <c r="F98" s="8">
        <v>3</v>
      </c>
      <c r="G98" s="8">
        <v>4.5</v>
      </c>
    </row>
    <row r="99" spans="1:7" x14ac:dyDescent="0.3">
      <c r="A99" s="1">
        <f>'WL &amp; Q'!A99</f>
        <v>46235.958333333103</v>
      </c>
      <c r="B99" s="4">
        <f>IF('WL &amp; Q'!R99="","",'WL &amp; Q'!R99)</f>
        <v>0.65</v>
      </c>
      <c r="C99" s="6">
        <f t="shared" si="1"/>
        <v>4.5654060497778257</v>
      </c>
      <c r="D99" s="4">
        <f>IF('WL &amp; Q'!T99="","",'WL &amp; Q'!T99)</f>
        <v>0</v>
      </c>
      <c r="E99" s="8">
        <v>1.5</v>
      </c>
      <c r="F99" s="8">
        <v>3</v>
      </c>
      <c r="G99" s="8">
        <v>4.5</v>
      </c>
    </row>
    <row r="100" spans="1:7" x14ac:dyDescent="0.3">
      <c r="A100" s="1">
        <f>'WL &amp; Q'!A100</f>
        <v>46235.999999999767</v>
      </c>
      <c r="B100" s="4">
        <f>IF('WL &amp; Q'!R100="","",'WL &amp; Q'!R100)</f>
        <v>0.64</v>
      </c>
      <c r="C100" s="6">
        <f t="shared" si="1"/>
        <v>4.4517129631738817</v>
      </c>
      <c r="D100" s="4">
        <f>IF('WL &amp; Q'!T100="","",'WL &amp; Q'!T100)</f>
        <v>0</v>
      </c>
      <c r="E100" s="8">
        <v>1.5</v>
      </c>
      <c r="F100" s="8">
        <v>3</v>
      </c>
      <c r="G100" s="8">
        <v>4.5</v>
      </c>
    </row>
    <row r="101" spans="1:7" x14ac:dyDescent="0.3">
      <c r="A101" s="1">
        <f>'WL &amp; Q'!A101</f>
        <v>46236.041666666431</v>
      </c>
      <c r="B101" s="4">
        <f>IF('WL &amp; Q'!R101="","",'WL &amp; Q'!R101)</f>
        <v>0.64</v>
      </c>
      <c r="C101" s="6">
        <f t="shared" si="1"/>
        <v>4.4517129631738817</v>
      </c>
      <c r="D101" s="4">
        <f>IF('WL &amp; Q'!T101="","",'WL &amp; Q'!T101)</f>
        <v>0.5</v>
      </c>
      <c r="E101" s="8">
        <v>1.5</v>
      </c>
      <c r="F101" s="8">
        <v>3</v>
      </c>
      <c r="G101" s="8">
        <v>4.5</v>
      </c>
    </row>
    <row r="102" spans="1:7" x14ac:dyDescent="0.3">
      <c r="A102" s="1">
        <f>'WL &amp; Q'!A102</f>
        <v>46236.083333333096</v>
      </c>
      <c r="B102" s="4">
        <f>IF('WL &amp; Q'!R102="","",'WL &amp; Q'!R102)</f>
        <v>0.64</v>
      </c>
      <c r="C102" s="6">
        <f t="shared" si="1"/>
        <v>4.4517129631738817</v>
      </c>
      <c r="D102" s="4">
        <f>IF('WL &amp; Q'!T102="","",'WL &amp; Q'!T102)</f>
        <v>0</v>
      </c>
      <c r="E102" s="8">
        <v>1.5</v>
      </c>
      <c r="F102" s="8">
        <v>3</v>
      </c>
      <c r="G102" s="8">
        <v>4.5</v>
      </c>
    </row>
    <row r="103" spans="1:7" x14ac:dyDescent="0.3">
      <c r="A103" s="1">
        <f>'WL &amp; Q'!A103</f>
        <v>46236.12499999976</v>
      </c>
      <c r="B103" s="4">
        <f>IF('WL &amp; Q'!R103="","",'WL &amp; Q'!R103)</f>
        <v>0.64</v>
      </c>
      <c r="C103" s="6">
        <f t="shared" si="1"/>
        <v>4.4517129631738817</v>
      </c>
      <c r="D103" s="4">
        <f>IF('WL &amp; Q'!T103="","",'WL &amp; Q'!T103)</f>
        <v>0</v>
      </c>
      <c r="E103" s="8">
        <v>1.5</v>
      </c>
      <c r="F103" s="8">
        <v>3</v>
      </c>
      <c r="G103" s="8">
        <v>4.5</v>
      </c>
    </row>
    <row r="104" spans="1:7" x14ac:dyDescent="0.3">
      <c r="A104" s="1">
        <f>'WL &amp; Q'!A104</f>
        <v>46236.166666666424</v>
      </c>
      <c r="B104" s="4">
        <f>IF('WL &amp; Q'!R104="","",'WL &amp; Q'!R104)</f>
        <v>0.64</v>
      </c>
      <c r="C104" s="6">
        <f t="shared" si="1"/>
        <v>4.4517129631738817</v>
      </c>
      <c r="D104" s="4">
        <f>IF('WL &amp; Q'!T104="","",'WL &amp; Q'!T104)</f>
        <v>0</v>
      </c>
      <c r="E104" s="8">
        <v>1.5</v>
      </c>
      <c r="F104" s="8">
        <v>3</v>
      </c>
      <c r="G104" s="8">
        <v>4.5</v>
      </c>
    </row>
    <row r="105" spans="1:7" x14ac:dyDescent="0.3">
      <c r="A105" s="1">
        <f>'WL &amp; Q'!A105</f>
        <v>46236.208333333088</v>
      </c>
      <c r="B105" s="4">
        <f>IF('WL &amp; Q'!R105="","",'WL &amp; Q'!R105)</f>
        <v>0.63</v>
      </c>
      <c r="C105" s="6">
        <f t="shared" si="1"/>
        <v>4.3398867983686378</v>
      </c>
      <c r="D105" s="4">
        <f>IF('WL &amp; Q'!T105="","",'WL &amp; Q'!T105)</f>
        <v>0</v>
      </c>
      <c r="E105" s="8">
        <v>1.5</v>
      </c>
      <c r="F105" s="8">
        <v>3</v>
      </c>
      <c r="G105" s="8">
        <v>4.5</v>
      </c>
    </row>
    <row r="106" spans="1:7" x14ac:dyDescent="0.3">
      <c r="A106" s="1">
        <f>'WL &amp; Q'!A106</f>
        <v>46236.249999999753</v>
      </c>
      <c r="B106" s="4">
        <f>IF('WL &amp; Q'!R106="","",'WL &amp; Q'!R106)</f>
        <v>0.63</v>
      </c>
      <c r="C106" s="6">
        <f t="shared" si="1"/>
        <v>4.3398867983686378</v>
      </c>
      <c r="D106" s="4">
        <f>IF('WL &amp; Q'!T106="","",'WL &amp; Q'!T106)</f>
        <v>0</v>
      </c>
      <c r="E106" s="8">
        <v>1.5</v>
      </c>
      <c r="F106" s="8">
        <v>3</v>
      </c>
      <c r="G106" s="8">
        <v>4.5</v>
      </c>
    </row>
    <row r="107" spans="1:7" x14ac:dyDescent="0.3">
      <c r="A107" s="1">
        <f>'WL &amp; Q'!A107</f>
        <v>46236.291666666417</v>
      </c>
      <c r="B107" s="4">
        <f>IF('WL &amp; Q'!R107="","",'WL &amp; Q'!R107)</f>
        <v>0.62</v>
      </c>
      <c r="C107" s="6">
        <f t="shared" si="1"/>
        <v>4.2299130139961596</v>
      </c>
      <c r="D107" s="4">
        <f>IF('WL &amp; Q'!T107="","",'WL &amp; Q'!T107)</f>
        <v>0.5</v>
      </c>
      <c r="E107" s="8">
        <v>1.5</v>
      </c>
      <c r="F107" s="8">
        <v>3</v>
      </c>
      <c r="G107" s="8">
        <v>4.5</v>
      </c>
    </row>
    <row r="108" spans="1:7" x14ac:dyDescent="0.3">
      <c r="A108" s="1">
        <f>'WL &amp; Q'!A108</f>
        <v>46236.333333333081</v>
      </c>
      <c r="B108" s="4">
        <f>IF('WL &amp; Q'!R108="","",'WL &amp; Q'!R108)</f>
        <v>0.62</v>
      </c>
      <c r="C108" s="6">
        <f t="shared" si="1"/>
        <v>4.2299130139961596</v>
      </c>
      <c r="D108" s="4">
        <f>IF('WL &amp; Q'!T108="","",'WL &amp; Q'!T108)</f>
        <v>0</v>
      </c>
      <c r="E108" s="8">
        <v>1.5</v>
      </c>
      <c r="F108" s="8">
        <v>3</v>
      </c>
      <c r="G108" s="8">
        <v>4.5</v>
      </c>
    </row>
    <row r="109" spans="1:7" x14ac:dyDescent="0.3">
      <c r="A109" s="1">
        <f>'WL &amp; Q'!A109</f>
        <v>46236.374999999745</v>
      </c>
      <c r="B109" s="4">
        <f>IF('WL &amp; Q'!R109="","",'WL &amp; Q'!R109)</f>
        <v>0.65</v>
      </c>
      <c r="C109" s="6">
        <f t="shared" si="1"/>
        <v>4.5654060497778257</v>
      </c>
      <c r="D109" s="4">
        <f>IF('WL &amp; Q'!T109="","",'WL &amp; Q'!T109)</f>
        <v>0</v>
      </c>
      <c r="E109" s="8">
        <v>1.5</v>
      </c>
      <c r="F109" s="8">
        <v>3</v>
      </c>
      <c r="G109" s="8">
        <v>4.5</v>
      </c>
    </row>
    <row r="110" spans="1:7" x14ac:dyDescent="0.3">
      <c r="A110" s="1">
        <f>'WL &amp; Q'!A110</f>
        <v>46236.41666666641</v>
      </c>
      <c r="B110" s="4">
        <f>IF('WL &amp; Q'!R110="","",'WL &amp; Q'!R110)</f>
        <v>0.67</v>
      </c>
      <c r="C110" s="6">
        <f t="shared" si="1"/>
        <v>4.7984510822675412</v>
      </c>
      <c r="D110" s="4">
        <f>IF('WL &amp; Q'!T110="","",'WL &amp; Q'!T110)</f>
        <v>0</v>
      </c>
      <c r="E110" s="8">
        <v>1.5</v>
      </c>
      <c r="F110" s="8">
        <v>3</v>
      </c>
      <c r="G110" s="8">
        <v>4.5</v>
      </c>
    </row>
    <row r="111" spans="1:7" x14ac:dyDescent="0.3">
      <c r="A111" s="1">
        <f>'WL &amp; Q'!A111</f>
        <v>46236.458333333074</v>
      </c>
      <c r="B111" s="4">
        <f>IF('WL &amp; Q'!R111="","",'WL &amp; Q'!R111)</f>
        <v>0.69</v>
      </c>
      <c r="C111" s="6">
        <f t="shared" si="1"/>
        <v>5.039137942377196</v>
      </c>
      <c r="D111" s="4">
        <f>IF('WL &amp; Q'!T111="","",'WL &amp; Q'!T111)</f>
        <v>0</v>
      </c>
      <c r="E111" s="8">
        <v>1.5</v>
      </c>
      <c r="F111" s="8">
        <v>3</v>
      </c>
      <c r="G111" s="8">
        <v>4.5</v>
      </c>
    </row>
    <row r="112" spans="1:7" x14ac:dyDescent="0.3">
      <c r="A112" s="1">
        <f>'WL &amp; Q'!A112</f>
        <v>46236.499999999738</v>
      </c>
      <c r="B112" s="4">
        <f>IF('WL &amp; Q'!R112="","",'WL &amp; Q'!R112)</f>
        <v>0.69</v>
      </c>
      <c r="C112" s="6">
        <f t="shared" si="1"/>
        <v>5.039137942377196</v>
      </c>
      <c r="D112" s="4">
        <f>IF('WL &amp; Q'!T112="","",'WL &amp; Q'!T112)</f>
        <v>1.4</v>
      </c>
      <c r="E112" s="8">
        <v>1.5</v>
      </c>
      <c r="F112" s="8">
        <v>3</v>
      </c>
      <c r="G112" s="8">
        <v>4.5</v>
      </c>
    </row>
    <row r="113" spans="1:7" x14ac:dyDescent="0.3">
      <c r="A113" s="1">
        <f>'WL &amp; Q'!A113</f>
        <v>46236.541666666402</v>
      </c>
      <c r="B113" s="4">
        <f>IF('WL &amp; Q'!R113="","",'WL &amp; Q'!R113)</f>
        <v>0.7</v>
      </c>
      <c r="C113" s="6">
        <f t="shared" si="1"/>
        <v>5.1623832612482765</v>
      </c>
      <c r="D113" s="4">
        <f>IF('WL &amp; Q'!T113="","",'WL &amp; Q'!T113)</f>
        <v>0</v>
      </c>
      <c r="E113" s="8">
        <v>1.5</v>
      </c>
      <c r="F113" s="8">
        <v>3</v>
      </c>
      <c r="G113" s="8">
        <v>4.5</v>
      </c>
    </row>
    <row r="114" spans="1:7" x14ac:dyDescent="0.3">
      <c r="A114" s="1">
        <f>'WL &amp; Q'!A114</f>
        <v>46236.583333333067</v>
      </c>
      <c r="B114" s="4">
        <f>IF('WL &amp; Q'!R114="","",'WL &amp; Q'!R114)</f>
        <v>0.71</v>
      </c>
      <c r="C114" s="6">
        <f t="shared" si="1"/>
        <v>5.2875824536706935</v>
      </c>
      <c r="D114" s="4">
        <f>IF('WL &amp; Q'!T114="","",'WL &amp; Q'!T114)</f>
        <v>1.8</v>
      </c>
      <c r="E114" s="8">
        <v>1.5</v>
      </c>
      <c r="F114" s="8">
        <v>3</v>
      </c>
      <c r="G114" s="8">
        <v>4.5</v>
      </c>
    </row>
    <row r="115" spans="1:7" x14ac:dyDescent="0.3">
      <c r="A115" s="1">
        <f>'WL &amp; Q'!A115</f>
        <v>46236.624999999731</v>
      </c>
      <c r="B115" s="4">
        <f>IF('WL &amp; Q'!R115="","",'WL &amp; Q'!R115)</f>
        <v>0.7</v>
      </c>
      <c r="C115" s="6">
        <f t="shared" si="1"/>
        <v>5.1623832612482765</v>
      </c>
      <c r="D115" s="4">
        <f>IF('WL &amp; Q'!T115="","",'WL &amp; Q'!T115)</f>
        <v>2.2000000000000002</v>
      </c>
      <c r="E115" s="8">
        <v>1.5</v>
      </c>
      <c r="F115" s="8">
        <v>3</v>
      </c>
      <c r="G115" s="8">
        <v>4.5</v>
      </c>
    </row>
    <row r="116" spans="1:7" x14ac:dyDescent="0.3">
      <c r="A116" s="1">
        <f>'WL &amp; Q'!A116</f>
        <v>46236.666666666395</v>
      </c>
      <c r="B116" s="4">
        <f>IF('WL &amp; Q'!R116="","",'WL &amp; Q'!R116)</f>
        <v>0.7</v>
      </c>
      <c r="C116" s="6">
        <f t="shared" si="1"/>
        <v>5.1623832612482765</v>
      </c>
      <c r="D116" s="4">
        <f>IF('WL &amp; Q'!T116="","",'WL &amp; Q'!T116)</f>
        <v>2.6</v>
      </c>
      <c r="E116" s="8">
        <v>1.5</v>
      </c>
      <c r="F116" s="8">
        <v>3</v>
      </c>
      <c r="G116" s="8">
        <v>4.5</v>
      </c>
    </row>
    <row r="117" spans="1:7" x14ac:dyDescent="0.3">
      <c r="A117" s="1">
        <f>'WL &amp; Q'!A117</f>
        <v>46236.708333333059</v>
      </c>
      <c r="B117" s="4">
        <f>IF('WL &amp; Q'!R117="","",'WL &amp; Q'!R117)</f>
        <v>0.73</v>
      </c>
      <c r="C117" s="6">
        <f t="shared" si="1"/>
        <v>5.5439002209023807</v>
      </c>
      <c r="D117" s="4">
        <f>IF('WL &amp; Q'!T117="","",'WL &amp; Q'!T117)</f>
        <v>0</v>
      </c>
      <c r="E117" s="8">
        <v>1.5</v>
      </c>
      <c r="F117" s="8">
        <v>3</v>
      </c>
      <c r="G117" s="8">
        <v>4.5</v>
      </c>
    </row>
    <row r="118" spans="1:7" x14ac:dyDescent="0.3">
      <c r="A118" s="1">
        <f>'WL &amp; Q'!A118</f>
        <v>46236.749999999724</v>
      </c>
      <c r="B118" s="4">
        <f>IF('WL &amp; Q'!R118="","",'WL &amp; Q'!R118)</f>
        <v>0.83</v>
      </c>
      <c r="C118" s="6">
        <f t="shared" si="1"/>
        <v>6.9476192411106092</v>
      </c>
      <c r="D118" s="4">
        <f>IF('WL &amp; Q'!T118="","",'WL &amp; Q'!T118)</f>
        <v>7.5</v>
      </c>
      <c r="E118" s="8">
        <v>1.5</v>
      </c>
      <c r="F118" s="8">
        <v>3</v>
      </c>
      <c r="G118" s="8">
        <v>4.5</v>
      </c>
    </row>
    <row r="119" spans="1:7" x14ac:dyDescent="0.3">
      <c r="A119" s="1">
        <f>'WL &amp; Q'!A119</f>
        <v>46236.791666666388</v>
      </c>
      <c r="B119" s="4">
        <f>IF('WL &amp; Q'!R119="","",'WL &amp; Q'!R119)</f>
        <v>0.94</v>
      </c>
      <c r="C119" s="6">
        <f t="shared" si="1"/>
        <v>8.7394900426367137</v>
      </c>
      <c r="D119" s="4">
        <f>IF('WL &amp; Q'!T119="","",'WL &amp; Q'!T119)</f>
        <v>8.6999999999999993</v>
      </c>
      <c r="E119" s="8">
        <v>1.5</v>
      </c>
      <c r="F119" s="8">
        <v>3</v>
      </c>
      <c r="G119" s="8">
        <v>4.5</v>
      </c>
    </row>
    <row r="120" spans="1:7" x14ac:dyDescent="0.3">
      <c r="A120" s="1">
        <f>'WL &amp; Q'!A120</f>
        <v>46236.833333333052</v>
      </c>
      <c r="B120" s="4">
        <f>IF('WL &amp; Q'!R120="","",'WL &amp; Q'!R120)</f>
        <v>1.01</v>
      </c>
      <c r="C120" s="6">
        <f t="shared" si="1"/>
        <v>10.023290818310722</v>
      </c>
      <c r="D120" s="4">
        <f>IF('WL &amp; Q'!T120="","",'WL &amp; Q'!T120)</f>
        <v>5.3</v>
      </c>
      <c r="E120" s="8">
        <v>1.5</v>
      </c>
      <c r="F120" s="8">
        <v>3</v>
      </c>
      <c r="G120" s="8">
        <v>4.5</v>
      </c>
    </row>
    <row r="121" spans="1:7" x14ac:dyDescent="0.3">
      <c r="A121" s="1">
        <f>'WL &amp; Q'!A121</f>
        <v>46236.874999999716</v>
      </c>
      <c r="B121" s="4">
        <f>IF('WL &amp; Q'!R121="","",'WL &amp; Q'!R121)</f>
        <v>1.04</v>
      </c>
      <c r="C121" s="6">
        <f t="shared" si="1"/>
        <v>10.609147252958214</v>
      </c>
      <c r="D121" s="4">
        <f>IF('WL &amp; Q'!T121="","",'WL &amp; Q'!T121)</f>
        <v>1.3</v>
      </c>
      <c r="E121" s="8">
        <v>1.5</v>
      </c>
      <c r="F121" s="8">
        <v>3</v>
      </c>
      <c r="G121" s="8">
        <v>4.5</v>
      </c>
    </row>
    <row r="122" spans="1:7" x14ac:dyDescent="0.3">
      <c r="A122" s="1">
        <f>'WL &amp; Q'!A122</f>
        <v>46236.91666666638</v>
      </c>
      <c r="B122" s="4">
        <f>IF('WL &amp; Q'!R122="","",'WL &amp; Q'!R122)</f>
        <v>1.1100000000000001</v>
      </c>
      <c r="C122" s="6">
        <f t="shared" si="1"/>
        <v>12.062133005740378</v>
      </c>
      <c r="D122" s="4">
        <f>IF('WL &amp; Q'!T122="","",'WL &amp; Q'!T122)</f>
        <v>7.6</v>
      </c>
      <c r="E122" s="8">
        <v>1.5</v>
      </c>
      <c r="F122" s="8">
        <v>3</v>
      </c>
      <c r="G122" s="8">
        <v>4.5</v>
      </c>
    </row>
    <row r="123" spans="1:7" x14ac:dyDescent="0.3">
      <c r="A123" s="1">
        <f>'WL &amp; Q'!A123</f>
        <v>46236.958333333045</v>
      </c>
      <c r="B123" s="4">
        <f>IF('WL &amp; Q'!R123="","",'WL &amp; Q'!R123)</f>
        <v>1.1200000000000001</v>
      </c>
      <c r="C123" s="6">
        <f t="shared" si="1"/>
        <v>12.279735162300968</v>
      </c>
      <c r="D123" s="4">
        <f>IF('WL &amp; Q'!T123="","",'WL &amp; Q'!T123)</f>
        <v>6.1</v>
      </c>
      <c r="E123" s="8">
        <v>1.5</v>
      </c>
      <c r="F123" s="8">
        <v>3</v>
      </c>
      <c r="G123" s="8">
        <v>4.5</v>
      </c>
    </row>
    <row r="124" spans="1:7" x14ac:dyDescent="0.3">
      <c r="A124" s="1">
        <f>'WL &amp; Q'!A124</f>
        <v>46236.999999999709</v>
      </c>
      <c r="B124" s="4">
        <f>IF('WL &amp; Q'!R124="","",'WL &amp; Q'!R124)</f>
        <v>1.39</v>
      </c>
      <c r="C124" s="6">
        <f t="shared" si="1"/>
        <v>19.164515995325715</v>
      </c>
      <c r="D124" s="4">
        <f>IF('WL &amp; Q'!T124="","",'WL &amp; Q'!T124)</f>
        <v>11.9</v>
      </c>
      <c r="E124" s="8">
        <v>1.5</v>
      </c>
      <c r="F124" s="8">
        <v>3</v>
      </c>
      <c r="G124" s="8">
        <v>4.5</v>
      </c>
    </row>
    <row r="125" spans="1:7" x14ac:dyDescent="0.3">
      <c r="A125" s="1">
        <f>'WL &amp; Q'!A125</f>
        <v>46237.041666666373</v>
      </c>
      <c r="B125" s="4">
        <f>IF('WL &amp; Q'!R125="","",'WL &amp; Q'!R125)</f>
        <v>1.57</v>
      </c>
      <c r="C125" s="6">
        <f t="shared" si="1"/>
        <v>24.921763390362578</v>
      </c>
      <c r="D125" s="4">
        <f>IF('WL &amp; Q'!T125="","",'WL &amp; Q'!T125)</f>
        <v>9.1</v>
      </c>
      <c r="E125" s="8">
        <v>1.5</v>
      </c>
      <c r="F125" s="8">
        <v>3</v>
      </c>
      <c r="G125" s="8">
        <v>4.5</v>
      </c>
    </row>
    <row r="126" spans="1:7" x14ac:dyDescent="0.3">
      <c r="A126" s="1">
        <f>'WL &amp; Q'!A126</f>
        <v>46237.083333333037</v>
      </c>
      <c r="B126" s="4">
        <f>IF('WL &amp; Q'!R126="","",'WL &amp; Q'!R126)</f>
        <v>1.68</v>
      </c>
      <c r="C126" s="6">
        <f t="shared" si="1"/>
        <v>28.940599368516832</v>
      </c>
      <c r="D126" s="4">
        <f>IF('WL &amp; Q'!T126="","",'WL &amp; Q'!T126)</f>
        <v>7.2</v>
      </c>
      <c r="E126" s="8">
        <v>1.5</v>
      </c>
      <c r="F126" s="8">
        <v>3</v>
      </c>
      <c r="G126" s="8">
        <v>4.5</v>
      </c>
    </row>
    <row r="127" spans="1:7" x14ac:dyDescent="0.3">
      <c r="A127" s="1">
        <f>'WL &amp; Q'!A127</f>
        <v>46237.124999999702</v>
      </c>
      <c r="B127" s="4">
        <f>IF('WL &amp; Q'!R127="","",'WL &amp; Q'!R127)</f>
        <v>2.08</v>
      </c>
      <c r="C127" s="6">
        <f t="shared" si="1"/>
        <v>47.07239516908399</v>
      </c>
      <c r="D127" s="4">
        <f>IF('WL &amp; Q'!T127="","",'WL &amp; Q'!T127)</f>
        <v>9.5</v>
      </c>
      <c r="E127" s="8">
        <v>1.5</v>
      </c>
      <c r="F127" s="8">
        <v>3</v>
      </c>
      <c r="G127" s="8">
        <v>4.5</v>
      </c>
    </row>
    <row r="128" spans="1:7" x14ac:dyDescent="0.3">
      <c r="A128" s="1">
        <f>'WL &amp; Q'!A128</f>
        <v>46237.166666666366</v>
      </c>
      <c r="B128" s="4">
        <f>IF('WL &amp; Q'!R128="","",'WL &amp; Q'!R128)</f>
        <v>2.21</v>
      </c>
      <c r="C128" s="6">
        <f t="shared" si="1"/>
        <v>54.251683988701849</v>
      </c>
      <c r="D128" s="4">
        <f>IF('WL &amp; Q'!T128="","",'WL &amp; Q'!T128)</f>
        <v>5.9</v>
      </c>
      <c r="E128" s="8">
        <v>1.5</v>
      </c>
      <c r="F128" s="8">
        <v>3</v>
      </c>
      <c r="G128" s="8">
        <v>4.5</v>
      </c>
    </row>
    <row r="129" spans="1:7" x14ac:dyDescent="0.3">
      <c r="A129" s="1">
        <f>'WL &amp; Q'!A129</f>
        <v>46237.20833333303</v>
      </c>
      <c r="B129" s="4">
        <f>IF('WL &amp; Q'!R129="","",'WL &amp; Q'!R129)</f>
        <v>2.14</v>
      </c>
      <c r="C129" s="6">
        <f t="shared" si="1"/>
        <v>50.303214078743352</v>
      </c>
      <c r="D129" s="4">
        <f>IF('WL &amp; Q'!T129="","",'WL &amp; Q'!T129)</f>
        <v>8.6999999999999993</v>
      </c>
      <c r="E129" s="8">
        <v>1.5</v>
      </c>
      <c r="F129" s="8">
        <v>3</v>
      </c>
      <c r="G129" s="8">
        <v>4.5</v>
      </c>
    </row>
    <row r="130" spans="1:7" x14ac:dyDescent="0.3">
      <c r="A130" s="1">
        <f>'WL &amp; Q'!A130</f>
        <v>46237.249999999694</v>
      </c>
      <c r="B130" s="4">
        <f>IF('WL &amp; Q'!R130="","",'WL &amp; Q'!R130)</f>
        <v>2.13</v>
      </c>
      <c r="C130" s="6">
        <f t="shared" si="1"/>
        <v>49.754987300596405</v>
      </c>
      <c r="D130" s="4">
        <f>IF('WL &amp; Q'!T130="","",'WL &amp; Q'!T130)</f>
        <v>3.4</v>
      </c>
      <c r="E130" s="8">
        <v>1.5</v>
      </c>
      <c r="F130" s="8">
        <v>3</v>
      </c>
      <c r="G130" s="8">
        <v>4.5</v>
      </c>
    </row>
    <row r="131" spans="1:7" x14ac:dyDescent="0.3">
      <c r="A131" s="1">
        <f>'WL &amp; Q'!A131</f>
        <v>46237.291666666359</v>
      </c>
      <c r="B131" s="4">
        <f>IF('WL &amp; Q'!R131="","",'WL &amp; Q'!R131)</f>
        <v>2.1</v>
      </c>
      <c r="C131" s="6">
        <f t="shared" si="1"/>
        <v>48.133776628057461</v>
      </c>
      <c r="D131" s="4">
        <f>IF('WL &amp; Q'!T131="","",'WL &amp; Q'!T131)</f>
        <v>1.2</v>
      </c>
      <c r="E131" s="8">
        <v>1.5</v>
      </c>
      <c r="F131" s="8">
        <v>3</v>
      </c>
      <c r="G131" s="8">
        <v>4.5</v>
      </c>
    </row>
    <row r="132" spans="1:7" x14ac:dyDescent="0.3">
      <c r="A132" s="1">
        <f>'WL &amp; Q'!A132</f>
        <v>46237.333333333023</v>
      </c>
      <c r="B132" s="4">
        <f>IF('WL &amp; Q'!R132="","",'WL &amp; Q'!R132)</f>
        <v>2.02</v>
      </c>
      <c r="C132" s="6">
        <f t="shared" si="1"/>
        <v>43.980327343376374</v>
      </c>
      <c r="D132" s="4">
        <f>IF('WL &amp; Q'!T132="","",'WL &amp; Q'!T132)</f>
        <v>4.5999999999999996</v>
      </c>
      <c r="E132" s="8">
        <v>1.5</v>
      </c>
      <c r="F132" s="8">
        <v>3</v>
      </c>
      <c r="G132" s="8">
        <v>4.5</v>
      </c>
    </row>
    <row r="133" spans="1:7" x14ac:dyDescent="0.3">
      <c r="A133" s="1">
        <f>'WL &amp; Q'!A133</f>
        <v>46237.374999999687</v>
      </c>
      <c r="B133" s="4">
        <f>IF('WL &amp; Q'!R133="","",'WL &amp; Q'!R133)</f>
        <v>2.19</v>
      </c>
      <c r="C133" s="6">
        <f t="shared" si="1"/>
        <v>53.103617203200216</v>
      </c>
      <c r="D133" s="4">
        <f>IF('WL &amp; Q'!T133="","",'WL &amp; Q'!T133)</f>
        <v>21.4</v>
      </c>
      <c r="E133" s="8">
        <v>1.5</v>
      </c>
      <c r="F133" s="8">
        <v>3</v>
      </c>
      <c r="G133" s="8">
        <v>4.5</v>
      </c>
    </row>
    <row r="134" spans="1:7" x14ac:dyDescent="0.3">
      <c r="A134" s="1">
        <f>'WL &amp; Q'!A134</f>
        <v>46237.416666666351</v>
      </c>
      <c r="B134" s="4">
        <f>IF('WL &amp; Q'!R134="","",'WL &amp; Q'!R134)</f>
        <v>3.06</v>
      </c>
      <c r="C134" s="6">
        <f t="shared" ref="C134:C197" si="2">IF(B134="","",IF(B134&gt;2.5,19.135*(B134+0.5)^2-29.477*(B134+0.5)+32.54,3.0494*((B134+0.5)^2.8875)))</f>
        <v>170.11121600000001</v>
      </c>
      <c r="D134" s="4">
        <f>IF('WL &amp; Q'!T134="","",'WL &amp; Q'!T134)</f>
        <v>34.799999999999997</v>
      </c>
      <c r="E134" s="8">
        <v>1.5</v>
      </c>
      <c r="F134" s="8">
        <v>3</v>
      </c>
      <c r="G134" s="8">
        <v>4.5</v>
      </c>
    </row>
    <row r="135" spans="1:7" x14ac:dyDescent="0.3">
      <c r="A135" s="1">
        <f>'WL &amp; Q'!A135</f>
        <v>46237.458333333016</v>
      </c>
      <c r="B135" s="4">
        <f>IF('WL &amp; Q'!R135="","",'WL &amp; Q'!R135)</f>
        <v>3.3</v>
      </c>
      <c r="C135" s="6">
        <f t="shared" si="2"/>
        <v>196.83680000000004</v>
      </c>
      <c r="D135" s="4">
        <f>IF('WL &amp; Q'!T135="","",'WL &amp; Q'!T135)</f>
        <v>4.8</v>
      </c>
      <c r="E135" s="8">
        <v>1.5</v>
      </c>
      <c r="F135" s="8">
        <v>3</v>
      </c>
      <c r="G135" s="8">
        <v>4.5</v>
      </c>
    </row>
    <row r="136" spans="1:7" x14ac:dyDescent="0.3">
      <c r="A136" s="1">
        <f>'WL &amp; Q'!A136</f>
        <v>46237.49999999968</v>
      </c>
      <c r="B136" s="4">
        <f>IF('WL &amp; Q'!R136="","",'WL &amp; Q'!R136)</f>
        <v>3.19</v>
      </c>
      <c r="C136" s="6">
        <f t="shared" si="2"/>
        <v>184.31394350000002</v>
      </c>
      <c r="D136" s="4">
        <f>IF('WL &amp; Q'!T136="","",'WL &amp; Q'!T136)</f>
        <v>28.6</v>
      </c>
      <c r="E136" s="8">
        <v>1.5</v>
      </c>
      <c r="F136" s="8">
        <v>3</v>
      </c>
      <c r="G136" s="8">
        <v>4.5</v>
      </c>
    </row>
    <row r="137" spans="1:7" x14ac:dyDescent="0.3">
      <c r="A137" s="1">
        <f>'WL &amp; Q'!A137</f>
        <v>46237.541666666344</v>
      </c>
      <c r="B137" s="4">
        <f>IF('WL &amp; Q'!R137="","",'WL &amp; Q'!R137)</f>
        <v>3.42</v>
      </c>
      <c r="C137" s="6">
        <f t="shared" si="2"/>
        <v>211.02622399999998</v>
      </c>
      <c r="D137" s="4">
        <f>IF('WL &amp; Q'!T137="","",'WL &amp; Q'!T137)</f>
        <v>22.8</v>
      </c>
      <c r="E137" s="8">
        <v>1.5</v>
      </c>
      <c r="F137" s="8">
        <v>3</v>
      </c>
      <c r="G137" s="8">
        <v>4.5</v>
      </c>
    </row>
    <row r="138" spans="1:7" x14ac:dyDescent="0.3">
      <c r="A138" s="1">
        <f>'WL &amp; Q'!A138</f>
        <v>46237.583333333008</v>
      </c>
      <c r="B138" s="4">
        <f>IF('WL &amp; Q'!R138="","",'WL &amp; Q'!R138)</f>
        <v>3.38</v>
      </c>
      <c r="C138" s="6">
        <f t="shared" si="2"/>
        <v>206.23518399999998</v>
      </c>
      <c r="D138" s="4">
        <f>IF('WL &amp; Q'!T138="","",'WL &amp; Q'!T138)</f>
        <v>10.199999999999999</v>
      </c>
      <c r="E138" s="8">
        <v>1.5</v>
      </c>
      <c r="F138" s="8">
        <v>3</v>
      </c>
      <c r="G138" s="8">
        <v>4.5</v>
      </c>
    </row>
    <row r="139" spans="1:7" x14ac:dyDescent="0.3">
      <c r="A139" s="1">
        <f>'WL &amp; Q'!A139</f>
        <v>46237.624999999673</v>
      </c>
      <c r="B139" s="4">
        <f>IF('WL &amp; Q'!R139="","",'WL &amp; Q'!R139)</f>
        <v>3.11</v>
      </c>
      <c r="C139" s="6">
        <f t="shared" si="2"/>
        <v>175.4972635</v>
      </c>
      <c r="D139" s="4">
        <f>IF('WL &amp; Q'!T139="","",'WL &amp; Q'!T139)</f>
        <v>8.1999999999999993</v>
      </c>
      <c r="E139" s="8">
        <v>1.5</v>
      </c>
      <c r="F139" s="8">
        <v>3</v>
      </c>
      <c r="G139" s="8">
        <v>4.5</v>
      </c>
    </row>
    <row r="140" spans="1:7" x14ac:dyDescent="0.3">
      <c r="A140" s="1">
        <f>'WL &amp; Q'!A140</f>
        <v>46237.666666666337</v>
      </c>
      <c r="B140" s="4">
        <f>IF('WL &amp; Q'!R140="","",'WL &amp; Q'!R140)</f>
        <v>2.78</v>
      </c>
      <c r="C140" s="6">
        <f t="shared" si="2"/>
        <v>141.71742399999999</v>
      </c>
      <c r="D140" s="4">
        <f>IF('WL &amp; Q'!T140="","",'WL &amp; Q'!T140)</f>
        <v>2.4</v>
      </c>
      <c r="E140" s="8">
        <v>1.5</v>
      </c>
      <c r="F140" s="8">
        <v>3</v>
      </c>
      <c r="G140" s="8">
        <v>4.5</v>
      </c>
    </row>
    <row r="141" spans="1:7" x14ac:dyDescent="0.3">
      <c r="A141" s="1">
        <f>'WL &amp; Q'!A141</f>
        <v>46237.708333333001</v>
      </c>
      <c r="B141" s="4">
        <f>IF('WL &amp; Q'!R141="","",'WL &amp; Q'!R141)</f>
        <v>2.5499999999999998</v>
      </c>
      <c r="C141" s="6">
        <f t="shared" si="2"/>
        <v>120.6384875</v>
      </c>
      <c r="D141" s="4">
        <f>IF('WL &amp; Q'!T141="","",'WL &amp; Q'!T141)</f>
        <v>0.5</v>
      </c>
      <c r="E141" s="8">
        <v>1.5</v>
      </c>
      <c r="F141" s="8">
        <v>3</v>
      </c>
      <c r="G141" s="8">
        <v>4.5</v>
      </c>
    </row>
    <row r="142" spans="1:7" x14ac:dyDescent="0.3">
      <c r="A142" s="1">
        <f>'WL &amp; Q'!A142</f>
        <v>46237.749999999665</v>
      </c>
      <c r="B142" s="4">
        <f>IF('WL &amp; Q'!R142="","",'WL &amp; Q'!R142)</f>
        <v>2.2799999999999998</v>
      </c>
      <c r="C142" s="6">
        <f t="shared" si="2"/>
        <v>58.397431266069923</v>
      </c>
      <c r="D142" s="4">
        <f>IF('WL &amp; Q'!T142="","",'WL &amp; Q'!T142)</f>
        <v>0</v>
      </c>
      <c r="E142" s="8">
        <v>1.5</v>
      </c>
      <c r="F142" s="8">
        <v>3</v>
      </c>
      <c r="G142" s="8">
        <v>4.5</v>
      </c>
    </row>
    <row r="143" spans="1:7" x14ac:dyDescent="0.3">
      <c r="A143" s="1">
        <f>'WL &amp; Q'!A143</f>
        <v>46237.79166666633</v>
      </c>
      <c r="B143" s="4">
        <f>IF('WL &amp; Q'!R143="","",'WL &amp; Q'!R143)</f>
        <v>2.23</v>
      </c>
      <c r="C143" s="6">
        <f t="shared" si="2"/>
        <v>55.415855131201333</v>
      </c>
      <c r="D143" s="4">
        <f>IF('WL &amp; Q'!T143="","",'WL &amp; Q'!T143)</f>
        <v>4.8</v>
      </c>
      <c r="E143" s="8">
        <v>1.5</v>
      </c>
      <c r="F143" s="8">
        <v>3</v>
      </c>
      <c r="G143" s="8">
        <v>4.5</v>
      </c>
    </row>
    <row r="144" spans="1:7" x14ac:dyDescent="0.3">
      <c r="A144" s="1">
        <f>'WL &amp; Q'!A144</f>
        <v>46237.833333332994</v>
      </c>
      <c r="B144" s="4">
        <f>IF('WL &amp; Q'!R144="","",'WL &amp; Q'!R144)</f>
        <v>2.09</v>
      </c>
      <c r="C144" s="6">
        <f t="shared" si="2"/>
        <v>47.601152164094515</v>
      </c>
      <c r="D144" s="4">
        <f>IF('WL &amp; Q'!T144="","",'WL &amp; Q'!T144)</f>
        <v>0</v>
      </c>
      <c r="E144" s="8">
        <v>1.5</v>
      </c>
      <c r="F144" s="8">
        <v>3</v>
      </c>
      <c r="G144" s="8">
        <v>4.5</v>
      </c>
    </row>
    <row r="145" spans="1:7" x14ac:dyDescent="0.3">
      <c r="A145" s="1">
        <f>'WL &amp; Q'!A145</f>
        <v>46237.874999999658</v>
      </c>
      <c r="B145" s="4">
        <f>IF('WL &amp; Q'!R145="","",'WL &amp; Q'!R145)</f>
        <v>1.82</v>
      </c>
      <c r="C145" s="6">
        <f t="shared" si="2"/>
        <v>34.638649582711842</v>
      </c>
      <c r="D145" s="4">
        <f>IF('WL &amp; Q'!T145="","",'WL &amp; Q'!T145)</f>
        <v>0.3</v>
      </c>
      <c r="E145" s="8">
        <v>1.5</v>
      </c>
      <c r="F145" s="8">
        <v>3</v>
      </c>
      <c r="G145" s="8">
        <v>4.5</v>
      </c>
    </row>
    <row r="146" spans="1:7" x14ac:dyDescent="0.3">
      <c r="A146" s="1">
        <f>'WL &amp; Q'!A146</f>
        <v>46237.916666666322</v>
      </c>
      <c r="B146" s="4">
        <f>IF('WL &amp; Q'!R146="","",'WL &amp; Q'!R146)</f>
        <v>1.71</v>
      </c>
      <c r="C146" s="6">
        <f t="shared" si="2"/>
        <v>30.105586078740711</v>
      </c>
      <c r="D146" s="4">
        <f>IF('WL &amp; Q'!T146="","",'WL &amp; Q'!T146)</f>
        <v>0</v>
      </c>
      <c r="E146" s="8">
        <v>1.5</v>
      </c>
      <c r="F146" s="8">
        <v>3</v>
      </c>
      <c r="G146" s="8">
        <v>4.5</v>
      </c>
    </row>
    <row r="147" spans="1:7" x14ac:dyDescent="0.3">
      <c r="A147" s="1">
        <f>'WL &amp; Q'!A147</f>
        <v>46237.958333332987</v>
      </c>
      <c r="B147" s="4">
        <f>IF('WL &amp; Q'!R147="","",'WL &amp; Q'!R147)</f>
        <v>1.68</v>
      </c>
      <c r="C147" s="6">
        <f t="shared" si="2"/>
        <v>28.940599368516832</v>
      </c>
      <c r="D147" s="4">
        <f>IF('WL &amp; Q'!T147="","",'WL &amp; Q'!T147)</f>
        <v>0</v>
      </c>
      <c r="E147" s="8">
        <v>1.5</v>
      </c>
      <c r="F147" s="8">
        <v>3</v>
      </c>
      <c r="G147" s="8">
        <v>4.5</v>
      </c>
    </row>
    <row r="148" spans="1:7" x14ac:dyDescent="0.3">
      <c r="A148" s="1">
        <f>'WL &amp; Q'!A148</f>
        <v>46237.999999999651</v>
      </c>
      <c r="B148" s="4">
        <f>IF('WL &amp; Q'!R148="","",'WL &amp; Q'!R148)</f>
        <v>1.56</v>
      </c>
      <c r="C148" s="6">
        <f t="shared" si="2"/>
        <v>24.575705540235013</v>
      </c>
      <c r="D148" s="4">
        <f>IF('WL &amp; Q'!T148="","",'WL &amp; Q'!T148)</f>
        <v>0</v>
      </c>
      <c r="E148" s="8">
        <v>1.5</v>
      </c>
      <c r="F148" s="8">
        <v>3</v>
      </c>
      <c r="G148" s="8">
        <v>4.5</v>
      </c>
    </row>
    <row r="149" spans="1:7" x14ac:dyDescent="0.3">
      <c r="A149" s="1">
        <f>'WL &amp; Q'!A149</f>
        <v>46238.041666666315</v>
      </c>
      <c r="B149" s="4">
        <f>IF('WL &amp; Q'!R149="","",'WL &amp; Q'!R149)</f>
        <v>1.5</v>
      </c>
      <c r="C149" s="6">
        <f t="shared" si="2"/>
        <v>22.56516473736648</v>
      </c>
      <c r="D149" s="4">
        <f>IF('WL &amp; Q'!T149="","",'WL &amp; Q'!T149)</f>
        <v>0</v>
      </c>
      <c r="E149" s="8">
        <v>1.5</v>
      </c>
      <c r="F149" s="8">
        <v>3</v>
      </c>
      <c r="G149" s="8">
        <v>4.5</v>
      </c>
    </row>
    <row r="150" spans="1:7" x14ac:dyDescent="0.3">
      <c r="A150" s="1">
        <f>'WL &amp; Q'!A150</f>
        <v>46238.083333332979</v>
      </c>
      <c r="B150" s="4">
        <f>IF('WL &amp; Q'!R150="","",'WL &amp; Q'!R150)</f>
        <v>1.45</v>
      </c>
      <c r="C150" s="6">
        <f t="shared" si="2"/>
        <v>20.974389865308012</v>
      </c>
      <c r="D150" s="4">
        <f>IF('WL &amp; Q'!T150="","",'WL &amp; Q'!T150)</f>
        <v>1.8</v>
      </c>
      <c r="E150" s="8">
        <v>1.5</v>
      </c>
      <c r="F150" s="8">
        <v>3</v>
      </c>
      <c r="G150" s="8">
        <v>4.5</v>
      </c>
    </row>
    <row r="151" spans="1:7" x14ac:dyDescent="0.3">
      <c r="A151" s="1">
        <f>'WL &amp; Q'!A151</f>
        <v>46238.124999999643</v>
      </c>
      <c r="B151" s="4">
        <f>IF('WL &amp; Q'!R151="","",'WL &amp; Q'!R151)</f>
        <v>1.45</v>
      </c>
      <c r="C151" s="6">
        <f t="shared" si="2"/>
        <v>20.974389865308012</v>
      </c>
      <c r="D151" s="4">
        <f>IF('WL &amp; Q'!T151="","",'WL &amp; Q'!T151)</f>
        <v>1.2</v>
      </c>
      <c r="E151" s="8">
        <v>1.5</v>
      </c>
      <c r="F151" s="8">
        <v>3</v>
      </c>
      <c r="G151" s="8">
        <v>4.5</v>
      </c>
    </row>
    <row r="152" spans="1:7" x14ac:dyDescent="0.3">
      <c r="A152" s="1">
        <f>'WL &amp; Q'!A152</f>
        <v>46238.166666666308</v>
      </c>
      <c r="B152" s="4">
        <f>IF('WL &amp; Q'!R152="","",'WL &amp; Q'!R152)</f>
        <v>1.43</v>
      </c>
      <c r="C152" s="6">
        <f t="shared" si="2"/>
        <v>20.359219548880962</v>
      </c>
      <c r="D152" s="4">
        <f>IF('WL &amp; Q'!T152="","",'WL &amp; Q'!T152)</f>
        <v>0</v>
      </c>
      <c r="E152" s="8">
        <v>1.5</v>
      </c>
      <c r="F152" s="8">
        <v>3</v>
      </c>
      <c r="G152" s="8">
        <v>4.5</v>
      </c>
    </row>
    <row r="153" spans="1:7" x14ac:dyDescent="0.3">
      <c r="A153" s="1">
        <f>'WL &amp; Q'!A153</f>
        <v>46238.208333332972</v>
      </c>
      <c r="B153" s="4">
        <f>IF('WL &amp; Q'!R153="","",'WL &amp; Q'!R153)</f>
        <v>1.38</v>
      </c>
      <c r="C153" s="6">
        <f t="shared" si="2"/>
        <v>18.87318450958804</v>
      </c>
      <c r="D153" s="4">
        <f>IF('WL &amp; Q'!T153="","",'WL &amp; Q'!T153)</f>
        <v>3.8</v>
      </c>
      <c r="E153" s="8">
        <v>1.5</v>
      </c>
      <c r="F153" s="8">
        <v>3</v>
      </c>
      <c r="G153" s="8">
        <v>4.5</v>
      </c>
    </row>
    <row r="154" spans="1:7" x14ac:dyDescent="0.3">
      <c r="A154" s="1">
        <f>'WL &amp; Q'!A154</f>
        <v>46238.249999999636</v>
      </c>
      <c r="B154" s="4">
        <f>IF('WL &amp; Q'!R154="","",'WL &amp; Q'!R154)</f>
        <v>1.33</v>
      </c>
      <c r="C154" s="6">
        <f t="shared" si="2"/>
        <v>17.459906656177232</v>
      </c>
      <c r="D154" s="4">
        <f>IF('WL &amp; Q'!T154="","",'WL &amp; Q'!T154)</f>
        <v>2.4</v>
      </c>
      <c r="E154" s="8">
        <v>1.5</v>
      </c>
      <c r="F154" s="8">
        <v>3</v>
      </c>
      <c r="G154" s="8">
        <v>4.5</v>
      </c>
    </row>
    <row r="155" spans="1:7" x14ac:dyDescent="0.3">
      <c r="A155" s="1">
        <f>'WL &amp; Q'!A155</f>
        <v>46238.2916666663</v>
      </c>
      <c r="B155" s="4">
        <f>IF('WL &amp; Q'!R155="","",'WL &amp; Q'!R155)</f>
        <v>1.31</v>
      </c>
      <c r="C155" s="6">
        <f t="shared" si="2"/>
        <v>16.914582432371613</v>
      </c>
      <c r="D155" s="4">
        <f>IF('WL &amp; Q'!T155="","",'WL &amp; Q'!T155)</f>
        <v>0.8</v>
      </c>
      <c r="E155" s="8">
        <v>1.5</v>
      </c>
      <c r="F155" s="8">
        <v>3</v>
      </c>
      <c r="G155" s="8">
        <v>4.5</v>
      </c>
    </row>
    <row r="156" spans="1:7" x14ac:dyDescent="0.3">
      <c r="A156" s="1">
        <f>'WL &amp; Q'!A156</f>
        <v>46238.333333332965</v>
      </c>
      <c r="B156" s="4">
        <f>IF('WL &amp; Q'!R156="","",'WL &amp; Q'!R156)</f>
        <v>1.27</v>
      </c>
      <c r="C156" s="6">
        <f t="shared" si="2"/>
        <v>15.85759064483829</v>
      </c>
      <c r="D156" s="4">
        <f>IF('WL &amp; Q'!T156="","",'WL &amp; Q'!T156)</f>
        <v>9.1999999999999993</v>
      </c>
      <c r="E156" s="8">
        <v>1.5</v>
      </c>
      <c r="F156" s="8">
        <v>3</v>
      </c>
      <c r="G156" s="8">
        <v>4.5</v>
      </c>
    </row>
    <row r="157" spans="1:7" x14ac:dyDescent="0.3">
      <c r="A157" s="1">
        <f>'WL &amp; Q'!A157</f>
        <v>46238.374999999629</v>
      </c>
      <c r="B157" s="4">
        <f>IF('WL &amp; Q'!R157="","",'WL &amp; Q'!R157)</f>
        <v>1.32</v>
      </c>
      <c r="C157" s="6">
        <f t="shared" si="2"/>
        <v>17.185830683644909</v>
      </c>
      <c r="D157" s="4">
        <f>IF('WL &amp; Q'!T157="","",'WL &amp; Q'!T157)</f>
        <v>7.9</v>
      </c>
      <c r="E157" s="8">
        <v>1.5</v>
      </c>
      <c r="F157" s="8">
        <v>3</v>
      </c>
      <c r="G157" s="8">
        <v>4.5</v>
      </c>
    </row>
    <row r="158" spans="1:7" x14ac:dyDescent="0.3">
      <c r="A158" s="1">
        <f>'WL &amp; Q'!A158</f>
        <v>46238.416666666293</v>
      </c>
      <c r="B158" s="4">
        <f>IF('WL &amp; Q'!R158="","",'WL &amp; Q'!R158)</f>
        <v>1.42</v>
      </c>
      <c r="C158" s="6">
        <f t="shared" si="2"/>
        <v>20.056109582057218</v>
      </c>
      <c r="D158" s="4">
        <f>IF('WL &amp; Q'!T158="","",'WL &amp; Q'!T158)</f>
        <v>1.4</v>
      </c>
      <c r="E158" s="8">
        <v>1.5</v>
      </c>
      <c r="F158" s="8">
        <v>3</v>
      </c>
      <c r="G158" s="8">
        <v>4.5</v>
      </c>
    </row>
    <row r="159" spans="1:7" x14ac:dyDescent="0.3">
      <c r="A159" s="1">
        <f>'WL &amp; Q'!A159</f>
        <v>46238.458333332957</v>
      </c>
      <c r="B159" s="4">
        <f>IF('WL &amp; Q'!R159="","",'WL &amp; Q'!R159)</f>
        <v>1.38</v>
      </c>
      <c r="C159" s="6">
        <f t="shared" si="2"/>
        <v>18.87318450958804</v>
      </c>
      <c r="D159" s="4">
        <f>IF('WL &amp; Q'!T159="","",'WL &amp; Q'!T159)</f>
        <v>1.1000000000000001</v>
      </c>
      <c r="E159" s="8">
        <v>1.5</v>
      </c>
      <c r="F159" s="8">
        <v>3</v>
      </c>
      <c r="G159" s="8">
        <v>4.5</v>
      </c>
    </row>
    <row r="160" spans="1:7" x14ac:dyDescent="0.3">
      <c r="A160" s="1">
        <f>'WL &amp; Q'!A160</f>
        <v>46238.499999999622</v>
      </c>
      <c r="B160" s="4">
        <f>IF('WL &amp; Q'!R160="","",'WL &amp; Q'!R160)</f>
        <v>1.36</v>
      </c>
      <c r="C160" s="6">
        <f t="shared" si="2"/>
        <v>18.299238706821864</v>
      </c>
      <c r="D160" s="4">
        <f>IF('WL &amp; Q'!T160="","",'WL &amp; Q'!T160)</f>
        <v>0</v>
      </c>
      <c r="E160" s="8">
        <v>1.5</v>
      </c>
      <c r="F160" s="8">
        <v>3</v>
      </c>
      <c r="G160" s="8">
        <v>4.5</v>
      </c>
    </row>
    <row r="161" spans="1:7" x14ac:dyDescent="0.3">
      <c r="A161" s="1">
        <f>'WL &amp; Q'!A161</f>
        <v>46238.541666666286</v>
      </c>
      <c r="B161" s="4" t="str">
        <f>IF('WL &amp; Q'!R161="","",'WL &amp; Q'!R161)</f>
        <v/>
      </c>
      <c r="C161" s="6" t="str">
        <f t="shared" si="2"/>
        <v/>
      </c>
      <c r="D161" s="4" t="str">
        <f>IF('WL &amp; Q'!T161="","",'WL &amp; Q'!T161)</f>
        <v/>
      </c>
      <c r="E161" s="8">
        <v>1.5</v>
      </c>
      <c r="F161" s="8">
        <v>3</v>
      </c>
      <c r="G161" s="8">
        <v>4.5</v>
      </c>
    </row>
    <row r="162" spans="1:7" x14ac:dyDescent="0.3">
      <c r="A162" s="1">
        <f>'WL &amp; Q'!A162</f>
        <v>46238.58333333295</v>
      </c>
      <c r="B162" s="4" t="str">
        <f>IF('WL &amp; Q'!R162="","",'WL &amp; Q'!R162)</f>
        <v/>
      </c>
      <c r="C162" s="6" t="str">
        <f t="shared" si="2"/>
        <v/>
      </c>
      <c r="D162" s="4" t="str">
        <f>IF('WL &amp; Q'!T162="","",'WL &amp; Q'!T162)</f>
        <v/>
      </c>
      <c r="E162" s="8">
        <v>1.5</v>
      </c>
      <c r="F162" s="8">
        <v>3</v>
      </c>
      <c r="G162" s="8">
        <v>4.5</v>
      </c>
    </row>
    <row r="163" spans="1:7" x14ac:dyDescent="0.3">
      <c r="A163" s="1">
        <f>'WL &amp; Q'!A163</f>
        <v>46238.624999999614</v>
      </c>
      <c r="B163" s="4" t="str">
        <f>IF('WL &amp; Q'!R163="","",'WL &amp; Q'!R163)</f>
        <v/>
      </c>
      <c r="C163" s="6" t="str">
        <f t="shared" si="2"/>
        <v/>
      </c>
      <c r="D163" s="4" t="str">
        <f>IF('WL &amp; Q'!T163="","",'WL &amp; Q'!T163)</f>
        <v/>
      </c>
      <c r="E163" s="8">
        <v>1.5</v>
      </c>
      <c r="F163" s="8">
        <v>3</v>
      </c>
      <c r="G163" s="8">
        <v>4.5</v>
      </c>
    </row>
    <row r="164" spans="1:7" x14ac:dyDescent="0.3">
      <c r="A164" s="1">
        <f>'WL &amp; Q'!A164</f>
        <v>46238.666666666279</v>
      </c>
      <c r="B164" s="4" t="str">
        <f>IF('WL &amp; Q'!R164="","",'WL &amp; Q'!R164)</f>
        <v/>
      </c>
      <c r="C164" s="6" t="str">
        <f t="shared" si="2"/>
        <v/>
      </c>
      <c r="D164" s="4" t="str">
        <f>IF('WL &amp; Q'!T164="","",'WL &amp; Q'!T164)</f>
        <v/>
      </c>
      <c r="E164" s="8">
        <v>1.5</v>
      </c>
      <c r="F164" s="8">
        <v>3</v>
      </c>
      <c r="G164" s="8">
        <v>4.5</v>
      </c>
    </row>
    <row r="165" spans="1:7" x14ac:dyDescent="0.3">
      <c r="A165" s="1">
        <f>'WL &amp; Q'!A165</f>
        <v>46238.708333332943</v>
      </c>
      <c r="B165" s="4" t="str">
        <f>IF('WL &amp; Q'!R165="","",'WL &amp; Q'!R165)</f>
        <v/>
      </c>
      <c r="C165" s="6" t="str">
        <f t="shared" si="2"/>
        <v/>
      </c>
      <c r="D165" s="4" t="str">
        <f>IF('WL &amp; Q'!T165="","",'WL &amp; Q'!T165)</f>
        <v/>
      </c>
      <c r="E165" s="8">
        <v>1.5</v>
      </c>
      <c r="F165" s="8">
        <v>3</v>
      </c>
      <c r="G165" s="8">
        <v>4.5</v>
      </c>
    </row>
    <row r="166" spans="1:7" x14ac:dyDescent="0.3">
      <c r="A166" s="1">
        <f>'WL &amp; Q'!A166</f>
        <v>46238.749999999607</v>
      </c>
      <c r="B166" s="4" t="str">
        <f>IF('WL &amp; Q'!R166="","",'WL &amp; Q'!R166)</f>
        <v/>
      </c>
      <c r="C166" s="6" t="str">
        <f t="shared" si="2"/>
        <v/>
      </c>
      <c r="D166" s="4" t="str">
        <f>IF('WL &amp; Q'!T166="","",'WL &amp; Q'!T166)</f>
        <v/>
      </c>
      <c r="E166" s="8">
        <v>1.5</v>
      </c>
      <c r="F166" s="8">
        <v>3</v>
      </c>
      <c r="G166" s="8">
        <v>4.5</v>
      </c>
    </row>
    <row r="167" spans="1:7" x14ac:dyDescent="0.3">
      <c r="A167" s="1">
        <f>'WL &amp; Q'!A167</f>
        <v>46238.791666666271</v>
      </c>
      <c r="B167" s="4" t="str">
        <f>IF('WL &amp; Q'!R167="","",'WL &amp; Q'!R167)</f>
        <v/>
      </c>
      <c r="C167" s="6" t="str">
        <f t="shared" si="2"/>
        <v/>
      </c>
      <c r="D167" s="4" t="str">
        <f>IF('WL &amp; Q'!T167="","",'WL &amp; Q'!T167)</f>
        <v/>
      </c>
      <c r="E167" s="8">
        <v>1.5</v>
      </c>
      <c r="F167" s="8">
        <v>3</v>
      </c>
      <c r="G167" s="8">
        <v>4.5</v>
      </c>
    </row>
    <row r="168" spans="1:7" x14ac:dyDescent="0.3">
      <c r="A168" s="1">
        <f>'WL &amp; Q'!A168</f>
        <v>46238.833333332936</v>
      </c>
      <c r="B168" s="4" t="str">
        <f>IF('WL &amp; Q'!R168="","",'WL &amp; Q'!R168)</f>
        <v/>
      </c>
      <c r="C168" s="6" t="str">
        <f t="shared" si="2"/>
        <v/>
      </c>
      <c r="D168" s="4" t="str">
        <f>IF('WL &amp; Q'!T168="","",'WL &amp; Q'!T168)</f>
        <v/>
      </c>
      <c r="E168" s="8">
        <v>1.5</v>
      </c>
      <c r="F168" s="8">
        <v>3</v>
      </c>
      <c r="G168" s="8">
        <v>4.5</v>
      </c>
    </row>
    <row r="169" spans="1:7" x14ac:dyDescent="0.3">
      <c r="A169" s="1">
        <f>'WL &amp; Q'!A169</f>
        <v>46238.8749999996</v>
      </c>
      <c r="B169" s="4" t="str">
        <f>IF('WL &amp; Q'!R169="","",'WL &amp; Q'!R169)</f>
        <v/>
      </c>
      <c r="C169" s="6" t="str">
        <f t="shared" si="2"/>
        <v/>
      </c>
      <c r="D169" s="4" t="str">
        <f>IF('WL &amp; Q'!T169="","",'WL &amp; Q'!T169)</f>
        <v/>
      </c>
      <c r="E169" s="8">
        <v>1.5</v>
      </c>
      <c r="F169" s="8">
        <v>3</v>
      </c>
      <c r="G169" s="8">
        <v>4.5</v>
      </c>
    </row>
    <row r="170" spans="1:7" x14ac:dyDescent="0.3">
      <c r="A170" s="1">
        <f>'WL &amp; Q'!A170</f>
        <v>46238.916666666264</v>
      </c>
      <c r="B170" s="4" t="str">
        <f>IF('WL &amp; Q'!R170="","",'WL &amp; Q'!R170)</f>
        <v/>
      </c>
      <c r="C170" s="6" t="str">
        <f t="shared" si="2"/>
        <v/>
      </c>
      <c r="D170" s="4" t="str">
        <f>IF('WL &amp; Q'!T170="","",'WL &amp; Q'!T170)</f>
        <v/>
      </c>
      <c r="E170" s="8">
        <v>1.5</v>
      </c>
      <c r="F170" s="8">
        <v>3</v>
      </c>
      <c r="G170" s="8">
        <v>4.5</v>
      </c>
    </row>
    <row r="171" spans="1:7" x14ac:dyDescent="0.3">
      <c r="A171" s="1">
        <f>'WL &amp; Q'!A171</f>
        <v>46238.958333332928</v>
      </c>
      <c r="B171" s="4" t="str">
        <f>IF('WL &amp; Q'!R171="","",'WL &amp; Q'!R171)</f>
        <v/>
      </c>
      <c r="C171" s="6" t="str">
        <f t="shared" si="2"/>
        <v/>
      </c>
      <c r="D171" s="4" t="str">
        <f>IF('WL &amp; Q'!T171="","",'WL &amp; Q'!T171)</f>
        <v/>
      </c>
      <c r="E171" s="8">
        <v>1.5</v>
      </c>
      <c r="F171" s="8">
        <v>3</v>
      </c>
      <c r="G171" s="8">
        <v>4.5</v>
      </c>
    </row>
    <row r="172" spans="1:7" x14ac:dyDescent="0.3">
      <c r="A172" s="1">
        <f>'WL &amp; Q'!A172</f>
        <v>46238.999999999593</v>
      </c>
      <c r="B172" s="4" t="str">
        <f>IF('WL &amp; Q'!R172="","",'WL &amp; Q'!R172)</f>
        <v/>
      </c>
      <c r="C172" s="6" t="str">
        <f t="shared" si="2"/>
        <v/>
      </c>
      <c r="D172" s="4" t="str">
        <f>IF('WL &amp; Q'!T172="","",'WL &amp; Q'!T172)</f>
        <v/>
      </c>
      <c r="E172" s="8">
        <v>1.5</v>
      </c>
      <c r="F172" s="8">
        <v>3</v>
      </c>
      <c r="G172" s="8">
        <v>4.5</v>
      </c>
    </row>
    <row r="173" spans="1:7" x14ac:dyDescent="0.3">
      <c r="A173" s="1">
        <f>'WL &amp; Q'!A173</f>
        <v>46239.041666666257</v>
      </c>
      <c r="B173" s="4" t="str">
        <f>IF('WL &amp; Q'!R173="","",'WL &amp; Q'!R173)</f>
        <v/>
      </c>
      <c r="C173" s="6" t="str">
        <f t="shared" si="2"/>
        <v/>
      </c>
      <c r="D173" s="4" t="str">
        <f>IF('WL &amp; Q'!T173="","",'WL &amp; Q'!T173)</f>
        <v/>
      </c>
      <c r="E173" s="8">
        <v>1.5</v>
      </c>
      <c r="F173" s="8">
        <v>3</v>
      </c>
      <c r="G173" s="8">
        <v>4.5</v>
      </c>
    </row>
    <row r="174" spans="1:7" x14ac:dyDescent="0.3">
      <c r="A174" s="1">
        <f>'WL &amp; Q'!A174</f>
        <v>46239.083333332921</v>
      </c>
      <c r="B174" s="4" t="str">
        <f>IF('WL &amp; Q'!R174="","",'WL &amp; Q'!R174)</f>
        <v/>
      </c>
      <c r="C174" s="6" t="str">
        <f t="shared" si="2"/>
        <v/>
      </c>
      <c r="D174" s="4" t="str">
        <f>IF('WL &amp; Q'!T174="","",'WL &amp; Q'!T174)</f>
        <v/>
      </c>
      <c r="E174" s="8">
        <v>1.5</v>
      </c>
      <c r="F174" s="8">
        <v>3</v>
      </c>
      <c r="G174" s="8">
        <v>4.5</v>
      </c>
    </row>
    <row r="175" spans="1:7" x14ac:dyDescent="0.3">
      <c r="A175" s="1">
        <f>'WL &amp; Q'!A175</f>
        <v>46239.124999999585</v>
      </c>
      <c r="B175" s="4" t="str">
        <f>IF('WL &amp; Q'!R175="","",'WL &amp; Q'!R175)</f>
        <v/>
      </c>
      <c r="C175" s="6" t="str">
        <f t="shared" si="2"/>
        <v/>
      </c>
      <c r="D175" s="4" t="str">
        <f>IF('WL &amp; Q'!T175="","",'WL &amp; Q'!T175)</f>
        <v/>
      </c>
      <c r="E175" s="8">
        <v>1.5</v>
      </c>
      <c r="F175" s="8">
        <v>3</v>
      </c>
      <c r="G175" s="8">
        <v>4.5</v>
      </c>
    </row>
    <row r="176" spans="1:7" x14ac:dyDescent="0.3">
      <c r="A176" s="1">
        <f>'WL &amp; Q'!A176</f>
        <v>46239.16666666625</v>
      </c>
      <c r="B176" s="4" t="str">
        <f>IF('WL &amp; Q'!R176="","",'WL &amp; Q'!R176)</f>
        <v/>
      </c>
      <c r="C176" s="6" t="str">
        <f t="shared" si="2"/>
        <v/>
      </c>
      <c r="D176" s="4" t="str">
        <f>IF('WL &amp; Q'!T176="","",'WL &amp; Q'!T176)</f>
        <v/>
      </c>
      <c r="E176" s="8">
        <v>1.5</v>
      </c>
      <c r="F176" s="8">
        <v>3</v>
      </c>
      <c r="G176" s="8">
        <v>4.5</v>
      </c>
    </row>
    <row r="177" spans="1:7" x14ac:dyDescent="0.3">
      <c r="A177" s="1">
        <f>'WL &amp; Q'!A177</f>
        <v>46239.208333332914</v>
      </c>
      <c r="B177" s="4" t="str">
        <f>IF('WL &amp; Q'!R177="","",'WL &amp; Q'!R177)</f>
        <v/>
      </c>
      <c r="C177" s="6" t="str">
        <f t="shared" si="2"/>
        <v/>
      </c>
      <c r="D177" s="4" t="str">
        <f>IF('WL &amp; Q'!T177="","",'WL &amp; Q'!T177)</f>
        <v/>
      </c>
      <c r="E177" s="8">
        <v>1.5</v>
      </c>
      <c r="F177" s="8">
        <v>3</v>
      </c>
      <c r="G177" s="8">
        <v>4.5</v>
      </c>
    </row>
    <row r="178" spans="1:7" x14ac:dyDescent="0.3">
      <c r="A178" s="1">
        <f>'WL &amp; Q'!A178</f>
        <v>46239.249999999578</v>
      </c>
      <c r="B178" s="4" t="str">
        <f>IF('WL &amp; Q'!R178="","",'WL &amp; Q'!R178)</f>
        <v/>
      </c>
      <c r="C178" s="6" t="str">
        <f t="shared" si="2"/>
        <v/>
      </c>
      <c r="D178" s="4" t="str">
        <f>IF('WL &amp; Q'!T178="","",'WL &amp; Q'!T178)</f>
        <v/>
      </c>
      <c r="E178" s="8">
        <v>1.5</v>
      </c>
      <c r="F178" s="8">
        <v>3</v>
      </c>
      <c r="G178" s="8">
        <v>4.5</v>
      </c>
    </row>
    <row r="179" spans="1:7" x14ac:dyDescent="0.3">
      <c r="A179" s="1">
        <f>'WL &amp; Q'!A179</f>
        <v>46239.291666666242</v>
      </c>
      <c r="B179" s="4" t="str">
        <f>IF('WL &amp; Q'!R179="","",'WL &amp; Q'!R179)</f>
        <v/>
      </c>
      <c r="C179" s="6" t="str">
        <f t="shared" si="2"/>
        <v/>
      </c>
      <c r="D179" s="4" t="str">
        <f>IF('WL &amp; Q'!T179="","",'WL &amp; Q'!T179)</f>
        <v/>
      </c>
      <c r="E179" s="8">
        <v>1.5</v>
      </c>
      <c r="F179" s="8">
        <v>3</v>
      </c>
      <c r="G179" s="8">
        <v>4.5</v>
      </c>
    </row>
    <row r="180" spans="1:7" x14ac:dyDescent="0.3">
      <c r="A180" s="1">
        <f>'WL &amp; Q'!A180</f>
        <v>46239.333333332906</v>
      </c>
      <c r="B180" s="4" t="str">
        <f>IF('WL &amp; Q'!R180="","",'WL &amp; Q'!R180)</f>
        <v/>
      </c>
      <c r="C180" s="6" t="str">
        <f t="shared" si="2"/>
        <v/>
      </c>
      <c r="D180" s="4" t="str">
        <f>IF('WL &amp; Q'!T180="","",'WL &amp; Q'!T180)</f>
        <v/>
      </c>
      <c r="E180" s="8">
        <v>1.5</v>
      </c>
      <c r="F180" s="8">
        <v>3</v>
      </c>
      <c r="G180" s="8">
        <v>4.5</v>
      </c>
    </row>
    <row r="181" spans="1:7" x14ac:dyDescent="0.3">
      <c r="A181" s="1">
        <f>'WL &amp; Q'!A181</f>
        <v>46239.374999999571</v>
      </c>
      <c r="B181" s="4" t="str">
        <f>IF('WL &amp; Q'!R181="","",'WL &amp; Q'!R181)</f>
        <v/>
      </c>
      <c r="C181" s="6" t="str">
        <f t="shared" si="2"/>
        <v/>
      </c>
      <c r="D181" s="4" t="str">
        <f>IF('WL &amp; Q'!T181="","",'WL &amp; Q'!T181)</f>
        <v/>
      </c>
      <c r="E181" s="8">
        <v>1.5</v>
      </c>
      <c r="F181" s="8">
        <v>3</v>
      </c>
      <c r="G181" s="8">
        <v>4.5</v>
      </c>
    </row>
    <row r="182" spans="1:7" x14ac:dyDescent="0.3">
      <c r="A182" s="1">
        <f>'WL &amp; Q'!A182</f>
        <v>46239.416666666235</v>
      </c>
      <c r="B182" s="4" t="str">
        <f>IF('WL &amp; Q'!R182="","",'WL &amp; Q'!R182)</f>
        <v/>
      </c>
      <c r="C182" s="6" t="str">
        <f t="shared" si="2"/>
        <v/>
      </c>
      <c r="D182" s="4" t="str">
        <f>IF('WL &amp; Q'!T182="","",'WL &amp; Q'!T182)</f>
        <v/>
      </c>
      <c r="E182" s="8">
        <v>1.5</v>
      </c>
      <c r="F182" s="8">
        <v>3</v>
      </c>
      <c r="G182" s="8">
        <v>4.5</v>
      </c>
    </row>
    <row r="183" spans="1:7" x14ac:dyDescent="0.3">
      <c r="A183" s="1">
        <f>'WL &amp; Q'!A183</f>
        <v>46239.458333332899</v>
      </c>
      <c r="B183" s="4" t="str">
        <f>IF('WL &amp; Q'!R183="","",'WL &amp; Q'!R183)</f>
        <v/>
      </c>
      <c r="C183" s="6" t="str">
        <f t="shared" si="2"/>
        <v/>
      </c>
      <c r="D183" s="4" t="str">
        <f>IF('WL &amp; Q'!T183="","",'WL &amp; Q'!T183)</f>
        <v/>
      </c>
      <c r="E183" s="8">
        <v>1.5</v>
      </c>
      <c r="F183" s="8">
        <v>3</v>
      </c>
      <c r="G183" s="8">
        <v>4.5</v>
      </c>
    </row>
    <row r="184" spans="1:7" x14ac:dyDescent="0.3">
      <c r="A184" s="1">
        <f>'WL &amp; Q'!A184</f>
        <v>46239.499999999563</v>
      </c>
      <c r="B184" s="4" t="str">
        <f>IF('WL &amp; Q'!R184="","",'WL &amp; Q'!R184)</f>
        <v/>
      </c>
      <c r="C184" s="6" t="str">
        <f t="shared" si="2"/>
        <v/>
      </c>
      <c r="D184" s="4" t="str">
        <f>IF('WL &amp; Q'!T184="","",'WL &amp; Q'!T184)</f>
        <v/>
      </c>
      <c r="E184" s="8">
        <v>1.5</v>
      </c>
      <c r="F184" s="8">
        <v>3</v>
      </c>
      <c r="G184" s="8">
        <v>4.5</v>
      </c>
    </row>
    <row r="185" spans="1:7" x14ac:dyDescent="0.3">
      <c r="A185" s="1">
        <f>'WL &amp; Q'!A185</f>
        <v>46239.541666666228</v>
      </c>
      <c r="B185" s="4" t="str">
        <f>IF('WL &amp; Q'!R185="","",'WL &amp; Q'!R185)</f>
        <v/>
      </c>
      <c r="C185" s="6" t="str">
        <f t="shared" si="2"/>
        <v/>
      </c>
      <c r="D185" s="4" t="str">
        <f>IF('WL &amp; Q'!T185="","",'WL &amp; Q'!T185)</f>
        <v/>
      </c>
      <c r="E185" s="8">
        <v>1.5</v>
      </c>
      <c r="F185" s="8">
        <v>3</v>
      </c>
      <c r="G185" s="8">
        <v>4.5</v>
      </c>
    </row>
    <row r="186" spans="1:7" x14ac:dyDescent="0.3">
      <c r="A186" s="1">
        <f>'WL &amp; Q'!A186</f>
        <v>46239.583333332892</v>
      </c>
      <c r="B186" s="4" t="str">
        <f>IF('WL &amp; Q'!R186="","",'WL &amp; Q'!R186)</f>
        <v/>
      </c>
      <c r="C186" s="6" t="str">
        <f t="shared" si="2"/>
        <v/>
      </c>
      <c r="D186" s="4" t="str">
        <f>IF('WL &amp; Q'!T186="","",'WL &amp; Q'!T186)</f>
        <v/>
      </c>
      <c r="E186" s="8">
        <v>1.5</v>
      </c>
      <c r="F186" s="8">
        <v>3</v>
      </c>
      <c r="G186" s="8">
        <v>4.5</v>
      </c>
    </row>
    <row r="187" spans="1:7" x14ac:dyDescent="0.3">
      <c r="A187" s="1">
        <f>'WL &amp; Q'!A187</f>
        <v>46239.624999999556</v>
      </c>
      <c r="B187" s="4" t="str">
        <f>IF('WL &amp; Q'!R187="","",'WL &amp; Q'!R187)</f>
        <v/>
      </c>
      <c r="C187" s="6" t="str">
        <f t="shared" si="2"/>
        <v/>
      </c>
      <c r="D187" s="4" t="str">
        <f>IF('WL &amp; Q'!T187="","",'WL &amp; Q'!T187)</f>
        <v/>
      </c>
      <c r="E187" s="8">
        <v>1.5</v>
      </c>
      <c r="F187" s="8">
        <v>3</v>
      </c>
      <c r="G187" s="8">
        <v>4.5</v>
      </c>
    </row>
    <row r="188" spans="1:7" x14ac:dyDescent="0.3">
      <c r="A188" s="1">
        <f>'WL &amp; Q'!A188</f>
        <v>46239.66666666622</v>
      </c>
      <c r="B188" s="4" t="str">
        <f>IF('WL &amp; Q'!R188="","",'WL &amp; Q'!R188)</f>
        <v/>
      </c>
      <c r="C188" s="6" t="str">
        <f t="shared" si="2"/>
        <v/>
      </c>
      <c r="D188" s="4" t="str">
        <f>IF('WL &amp; Q'!T188="","",'WL &amp; Q'!T188)</f>
        <v/>
      </c>
      <c r="E188" s="8">
        <v>1.5</v>
      </c>
      <c r="F188" s="8">
        <v>3</v>
      </c>
      <c r="G188" s="8">
        <v>4.5</v>
      </c>
    </row>
    <row r="189" spans="1:7" x14ac:dyDescent="0.3">
      <c r="A189" s="1">
        <f>'WL &amp; Q'!A189</f>
        <v>46239.708333332885</v>
      </c>
      <c r="B189" s="4" t="str">
        <f>IF('WL &amp; Q'!R189="","",'WL &amp; Q'!R189)</f>
        <v/>
      </c>
      <c r="C189" s="6" t="str">
        <f t="shared" si="2"/>
        <v/>
      </c>
      <c r="D189" s="4" t="str">
        <f>IF('WL &amp; Q'!T189="","",'WL &amp; Q'!T189)</f>
        <v/>
      </c>
      <c r="E189" s="8">
        <v>1.5</v>
      </c>
      <c r="F189" s="8">
        <v>3</v>
      </c>
      <c r="G189" s="8">
        <v>4.5</v>
      </c>
    </row>
    <row r="190" spans="1:7" x14ac:dyDescent="0.3">
      <c r="A190" s="1">
        <f>'WL &amp; Q'!A190</f>
        <v>46239.749999999549</v>
      </c>
      <c r="B190" s="4" t="str">
        <f>IF('WL &amp; Q'!R190="","",'WL &amp; Q'!R190)</f>
        <v/>
      </c>
      <c r="C190" s="6" t="str">
        <f t="shared" si="2"/>
        <v/>
      </c>
      <c r="D190" s="4" t="str">
        <f>IF('WL &amp; Q'!T190="","",'WL &amp; Q'!T190)</f>
        <v/>
      </c>
      <c r="E190" s="8">
        <v>1.5</v>
      </c>
      <c r="F190" s="8">
        <v>3</v>
      </c>
      <c r="G190" s="8">
        <v>4.5</v>
      </c>
    </row>
    <row r="191" spans="1:7" x14ac:dyDescent="0.3">
      <c r="A191" s="1">
        <f>'WL &amp; Q'!A191</f>
        <v>46239.791666666213</v>
      </c>
      <c r="B191" s="4" t="str">
        <f>IF('WL &amp; Q'!R191="","",'WL &amp; Q'!R191)</f>
        <v/>
      </c>
      <c r="C191" s="6" t="str">
        <f t="shared" si="2"/>
        <v/>
      </c>
      <c r="D191" s="4" t="str">
        <f>IF('WL &amp; Q'!T191="","",'WL &amp; Q'!T191)</f>
        <v/>
      </c>
      <c r="E191" s="8">
        <v>1.5</v>
      </c>
      <c r="F191" s="8">
        <v>3</v>
      </c>
      <c r="G191" s="8">
        <v>4.5</v>
      </c>
    </row>
    <row r="192" spans="1:7" x14ac:dyDescent="0.3">
      <c r="A192" s="1">
        <f>'WL &amp; Q'!A192</f>
        <v>46239.833333332877</v>
      </c>
      <c r="B192" s="4" t="str">
        <f>IF('WL &amp; Q'!R192="","",'WL &amp; Q'!R192)</f>
        <v/>
      </c>
      <c r="C192" s="6" t="str">
        <f t="shared" si="2"/>
        <v/>
      </c>
      <c r="D192" s="4" t="str">
        <f>IF('WL &amp; Q'!T192="","",'WL &amp; Q'!T192)</f>
        <v/>
      </c>
      <c r="E192" s="8">
        <v>1.5</v>
      </c>
      <c r="F192" s="8">
        <v>3</v>
      </c>
      <c r="G192" s="8">
        <v>4.5</v>
      </c>
    </row>
    <row r="193" spans="1:7" x14ac:dyDescent="0.3">
      <c r="A193" s="1">
        <f>'WL &amp; Q'!A193</f>
        <v>46239.874999999542</v>
      </c>
      <c r="B193" s="4" t="str">
        <f>IF('WL &amp; Q'!R193="","",'WL &amp; Q'!R193)</f>
        <v/>
      </c>
      <c r="C193" s="6" t="str">
        <f t="shared" si="2"/>
        <v/>
      </c>
      <c r="D193" s="4" t="str">
        <f>IF('WL &amp; Q'!T193="","",'WL &amp; Q'!T193)</f>
        <v/>
      </c>
      <c r="E193" s="8">
        <v>1.5</v>
      </c>
      <c r="F193" s="8">
        <v>3</v>
      </c>
      <c r="G193" s="8">
        <v>4.5</v>
      </c>
    </row>
    <row r="194" spans="1:7" x14ac:dyDescent="0.3">
      <c r="A194" s="1">
        <f>'WL &amp; Q'!A194</f>
        <v>46239.916666666206</v>
      </c>
      <c r="B194" s="4" t="str">
        <f>IF('WL &amp; Q'!R194="","",'WL &amp; Q'!R194)</f>
        <v/>
      </c>
      <c r="C194" s="6" t="str">
        <f t="shared" si="2"/>
        <v/>
      </c>
      <c r="D194" s="4" t="str">
        <f>IF('WL &amp; Q'!T194="","",'WL &amp; Q'!T194)</f>
        <v/>
      </c>
      <c r="E194" s="8">
        <v>1.5</v>
      </c>
      <c r="F194" s="8">
        <v>3</v>
      </c>
      <c r="G194" s="8">
        <v>4.5</v>
      </c>
    </row>
    <row r="195" spans="1:7" x14ac:dyDescent="0.3">
      <c r="A195" s="1">
        <f>'WL &amp; Q'!A195</f>
        <v>46239.95833333287</v>
      </c>
      <c r="B195" s="4" t="str">
        <f>IF('WL &amp; Q'!R195="","",'WL &amp; Q'!R195)</f>
        <v/>
      </c>
      <c r="C195" s="6" t="str">
        <f t="shared" si="2"/>
        <v/>
      </c>
      <c r="D195" s="4" t="str">
        <f>IF('WL &amp; Q'!T195="","",'WL &amp; Q'!T195)</f>
        <v/>
      </c>
      <c r="E195" s="8">
        <v>1.5</v>
      </c>
      <c r="F195" s="8">
        <v>3</v>
      </c>
      <c r="G195" s="8">
        <v>4.5</v>
      </c>
    </row>
    <row r="196" spans="1:7" x14ac:dyDescent="0.3">
      <c r="A196" s="1">
        <f>'WL &amp; Q'!A196</f>
        <v>46239.999999999534</v>
      </c>
      <c r="B196" s="4" t="str">
        <f>IF('WL &amp; Q'!R196="","",'WL &amp; Q'!R196)</f>
        <v/>
      </c>
      <c r="C196" s="6" t="str">
        <f t="shared" si="2"/>
        <v/>
      </c>
      <c r="D196" s="4" t="str">
        <f>IF('WL &amp; Q'!T196="","",'WL &amp; Q'!T196)</f>
        <v/>
      </c>
      <c r="E196" s="8">
        <v>1.5</v>
      </c>
      <c r="F196" s="8">
        <v>3</v>
      </c>
      <c r="G196" s="8">
        <v>4.5</v>
      </c>
    </row>
    <row r="197" spans="1:7" x14ac:dyDescent="0.3">
      <c r="A197" s="1">
        <f>'WL &amp; Q'!A197</f>
        <v>46240.041666666199</v>
      </c>
      <c r="B197" s="4" t="str">
        <f>IF('WL &amp; Q'!R197="","",'WL &amp; Q'!R197)</f>
        <v/>
      </c>
      <c r="C197" s="6" t="str">
        <f t="shared" si="2"/>
        <v/>
      </c>
      <c r="D197" s="4" t="str">
        <f>IF('WL &amp; Q'!T197="","",'WL &amp; Q'!T197)</f>
        <v/>
      </c>
      <c r="E197" s="8">
        <v>1.5</v>
      </c>
      <c r="F197" s="8">
        <v>3</v>
      </c>
      <c r="G197" s="8">
        <v>4.5</v>
      </c>
    </row>
    <row r="198" spans="1:7" x14ac:dyDescent="0.3">
      <c r="A198" s="1">
        <f>'WL &amp; Q'!A198</f>
        <v>46240.083333332863</v>
      </c>
      <c r="B198" s="4" t="str">
        <f>IF('WL &amp; Q'!R198="","",'WL &amp; Q'!R198)</f>
        <v/>
      </c>
      <c r="C198" s="6" t="str">
        <f t="shared" ref="C198:C261" si="3">IF(B198="","",IF(B198&gt;2.5,19.135*(B198+0.5)^2-29.477*(B198+0.5)+32.54,3.0494*((B198+0.5)^2.8875)))</f>
        <v/>
      </c>
      <c r="D198" s="4" t="str">
        <f>IF('WL &amp; Q'!T198="","",'WL &amp; Q'!T198)</f>
        <v/>
      </c>
      <c r="E198" s="8">
        <v>1.5</v>
      </c>
      <c r="F198" s="8">
        <v>3</v>
      </c>
      <c r="G198" s="8">
        <v>4.5</v>
      </c>
    </row>
    <row r="199" spans="1:7" x14ac:dyDescent="0.3">
      <c r="A199" s="1">
        <f>'WL &amp; Q'!A199</f>
        <v>46240.124999999527</v>
      </c>
      <c r="B199" s="4" t="str">
        <f>IF('WL &amp; Q'!R199="","",'WL &amp; Q'!R199)</f>
        <v/>
      </c>
      <c r="C199" s="6" t="str">
        <f t="shared" si="3"/>
        <v/>
      </c>
      <c r="D199" s="4" t="str">
        <f>IF('WL &amp; Q'!T199="","",'WL &amp; Q'!T199)</f>
        <v/>
      </c>
      <c r="E199" s="8">
        <v>1.5</v>
      </c>
      <c r="F199" s="8">
        <v>3</v>
      </c>
      <c r="G199" s="8">
        <v>4.5</v>
      </c>
    </row>
    <row r="200" spans="1:7" x14ac:dyDescent="0.3">
      <c r="A200" s="1">
        <f>'WL &amp; Q'!A200</f>
        <v>46240.166666666191</v>
      </c>
      <c r="B200" s="4" t="str">
        <f>IF('WL &amp; Q'!R200="","",'WL &amp; Q'!R200)</f>
        <v/>
      </c>
      <c r="C200" s="6" t="str">
        <f t="shared" si="3"/>
        <v/>
      </c>
      <c r="D200" s="4" t="str">
        <f>IF('WL &amp; Q'!T200="","",'WL &amp; Q'!T200)</f>
        <v/>
      </c>
      <c r="E200" s="8">
        <v>1.5</v>
      </c>
      <c r="F200" s="8">
        <v>3</v>
      </c>
      <c r="G200" s="8">
        <v>4.5</v>
      </c>
    </row>
    <row r="201" spans="1:7" x14ac:dyDescent="0.3">
      <c r="A201" s="1">
        <f>'WL &amp; Q'!A201</f>
        <v>46240.208333332856</v>
      </c>
      <c r="B201" s="4" t="str">
        <f>IF('WL &amp; Q'!R201="","",'WL &amp; Q'!R201)</f>
        <v/>
      </c>
      <c r="C201" s="6" t="str">
        <f t="shared" si="3"/>
        <v/>
      </c>
      <c r="D201" s="4" t="str">
        <f>IF('WL &amp; Q'!T201="","",'WL &amp; Q'!T201)</f>
        <v/>
      </c>
      <c r="E201" s="8">
        <v>1.5</v>
      </c>
      <c r="F201" s="8">
        <v>3</v>
      </c>
      <c r="G201" s="8">
        <v>4.5</v>
      </c>
    </row>
    <row r="202" spans="1:7" x14ac:dyDescent="0.3">
      <c r="A202" s="1">
        <f>'WL &amp; Q'!A202</f>
        <v>46240.24999999952</v>
      </c>
      <c r="B202" s="4" t="str">
        <f>IF('WL &amp; Q'!R202="","",'WL &amp; Q'!R202)</f>
        <v/>
      </c>
      <c r="C202" s="6" t="str">
        <f t="shared" si="3"/>
        <v/>
      </c>
      <c r="D202" s="4" t="str">
        <f>IF('WL &amp; Q'!T202="","",'WL &amp; Q'!T202)</f>
        <v/>
      </c>
      <c r="E202" s="8">
        <v>1.5</v>
      </c>
      <c r="F202" s="8">
        <v>3</v>
      </c>
      <c r="G202" s="8">
        <v>4.5</v>
      </c>
    </row>
    <row r="203" spans="1:7" x14ac:dyDescent="0.3">
      <c r="A203" s="1">
        <f>'WL &amp; Q'!A203</f>
        <v>46240.291666666184</v>
      </c>
      <c r="B203" s="4" t="str">
        <f>IF('WL &amp; Q'!R203="","",'WL &amp; Q'!R203)</f>
        <v/>
      </c>
      <c r="C203" s="6" t="str">
        <f t="shared" si="3"/>
        <v/>
      </c>
      <c r="D203" s="4" t="str">
        <f>IF('WL &amp; Q'!T203="","",'WL &amp; Q'!T203)</f>
        <v/>
      </c>
      <c r="E203" s="8">
        <v>1.5</v>
      </c>
      <c r="F203" s="8">
        <v>3</v>
      </c>
      <c r="G203" s="8">
        <v>4.5</v>
      </c>
    </row>
    <row r="204" spans="1:7" x14ac:dyDescent="0.3">
      <c r="A204" s="1">
        <f>'WL &amp; Q'!A204</f>
        <v>46240.333333332848</v>
      </c>
      <c r="B204" s="4" t="str">
        <f>IF('WL &amp; Q'!R204="","",'WL &amp; Q'!R204)</f>
        <v/>
      </c>
      <c r="C204" s="6" t="str">
        <f t="shared" si="3"/>
        <v/>
      </c>
      <c r="D204" s="4" t="str">
        <f>IF('WL &amp; Q'!T204="","",'WL &amp; Q'!T204)</f>
        <v/>
      </c>
      <c r="E204" s="8">
        <v>1.5</v>
      </c>
      <c r="F204" s="8">
        <v>3</v>
      </c>
      <c r="G204" s="8">
        <v>4.5</v>
      </c>
    </row>
    <row r="205" spans="1:7" x14ac:dyDescent="0.3">
      <c r="A205" s="1">
        <f>'WL &amp; Q'!A205</f>
        <v>46240.374999999513</v>
      </c>
      <c r="B205" s="4" t="str">
        <f>IF('WL &amp; Q'!R205="","",'WL &amp; Q'!R205)</f>
        <v/>
      </c>
      <c r="C205" s="6" t="str">
        <f t="shared" si="3"/>
        <v/>
      </c>
      <c r="D205" s="4" t="str">
        <f>IF('WL &amp; Q'!T205="","",'WL &amp; Q'!T205)</f>
        <v/>
      </c>
      <c r="E205" s="8">
        <v>1.5</v>
      </c>
      <c r="F205" s="8">
        <v>3</v>
      </c>
      <c r="G205" s="8">
        <v>4.5</v>
      </c>
    </row>
    <row r="206" spans="1:7" x14ac:dyDescent="0.3">
      <c r="A206" s="1">
        <f>'WL &amp; Q'!A206</f>
        <v>46240.416666666177</v>
      </c>
      <c r="B206" s="4" t="str">
        <f>IF('WL &amp; Q'!R206="","",'WL &amp; Q'!R206)</f>
        <v/>
      </c>
      <c r="C206" s="6" t="str">
        <f t="shared" si="3"/>
        <v/>
      </c>
      <c r="D206" s="4" t="str">
        <f>IF('WL &amp; Q'!T206="","",'WL &amp; Q'!T206)</f>
        <v/>
      </c>
      <c r="E206" s="8">
        <v>1.5</v>
      </c>
      <c r="F206" s="8">
        <v>3</v>
      </c>
      <c r="G206" s="8">
        <v>4.5</v>
      </c>
    </row>
    <row r="207" spans="1:7" x14ac:dyDescent="0.3">
      <c r="A207" s="1">
        <f>'WL &amp; Q'!A207</f>
        <v>46240.458333332841</v>
      </c>
      <c r="B207" s="4" t="str">
        <f>IF('WL &amp; Q'!R207="","",'WL &amp; Q'!R207)</f>
        <v/>
      </c>
      <c r="C207" s="6" t="str">
        <f t="shared" si="3"/>
        <v/>
      </c>
      <c r="D207" s="4" t="str">
        <f>IF('WL &amp; Q'!T207="","",'WL &amp; Q'!T207)</f>
        <v/>
      </c>
      <c r="E207" s="8">
        <v>1.5</v>
      </c>
      <c r="F207" s="8">
        <v>3</v>
      </c>
      <c r="G207" s="8">
        <v>4.5</v>
      </c>
    </row>
    <row r="208" spans="1:7" x14ac:dyDescent="0.3">
      <c r="A208" s="1">
        <f>'WL &amp; Q'!A208</f>
        <v>46240.499999999505</v>
      </c>
      <c r="B208" s="4" t="str">
        <f>IF('WL &amp; Q'!R208="","",'WL &amp; Q'!R208)</f>
        <v/>
      </c>
      <c r="C208" s="6" t="str">
        <f t="shared" si="3"/>
        <v/>
      </c>
      <c r="D208" s="4" t="str">
        <f>IF('WL &amp; Q'!T208="","",'WL &amp; Q'!T208)</f>
        <v/>
      </c>
      <c r="E208" s="8">
        <v>1.5</v>
      </c>
      <c r="F208" s="8">
        <v>3</v>
      </c>
      <c r="G208" s="8">
        <v>4.5</v>
      </c>
    </row>
    <row r="209" spans="1:7" x14ac:dyDescent="0.3">
      <c r="A209" s="1">
        <f>'WL &amp; Q'!A209</f>
        <v>46240.541666666169</v>
      </c>
      <c r="B209" s="4" t="str">
        <f>IF('WL &amp; Q'!R209="","",'WL &amp; Q'!R209)</f>
        <v/>
      </c>
      <c r="C209" s="6" t="str">
        <f t="shared" si="3"/>
        <v/>
      </c>
      <c r="D209" s="4" t="str">
        <f>IF('WL &amp; Q'!T209="","",'WL &amp; Q'!T209)</f>
        <v/>
      </c>
      <c r="E209" s="8">
        <v>1.5</v>
      </c>
      <c r="F209" s="8">
        <v>3</v>
      </c>
      <c r="G209" s="8">
        <v>4.5</v>
      </c>
    </row>
    <row r="210" spans="1:7" x14ac:dyDescent="0.3">
      <c r="A210" s="1">
        <f>'WL &amp; Q'!A210</f>
        <v>46240.583333332834</v>
      </c>
      <c r="B210" s="4" t="str">
        <f>IF('WL &amp; Q'!R210="","",'WL &amp; Q'!R210)</f>
        <v/>
      </c>
      <c r="C210" s="6" t="str">
        <f t="shared" si="3"/>
        <v/>
      </c>
      <c r="D210" s="4" t="str">
        <f>IF('WL &amp; Q'!T210="","",'WL &amp; Q'!T210)</f>
        <v/>
      </c>
      <c r="E210" s="8">
        <v>1.5</v>
      </c>
      <c r="F210" s="8">
        <v>3</v>
      </c>
      <c r="G210" s="8">
        <v>4.5</v>
      </c>
    </row>
    <row r="211" spans="1:7" x14ac:dyDescent="0.3">
      <c r="A211" s="1">
        <f>'WL &amp; Q'!A211</f>
        <v>46240.624999999498</v>
      </c>
      <c r="B211" s="4" t="str">
        <f>IF('WL &amp; Q'!R211="","",'WL &amp; Q'!R211)</f>
        <v/>
      </c>
      <c r="C211" s="6" t="str">
        <f t="shared" si="3"/>
        <v/>
      </c>
      <c r="D211" s="4" t="str">
        <f>IF('WL &amp; Q'!T211="","",'WL &amp; Q'!T211)</f>
        <v/>
      </c>
      <c r="E211" s="8">
        <v>1.5</v>
      </c>
      <c r="F211" s="8">
        <v>3</v>
      </c>
      <c r="G211" s="8">
        <v>4.5</v>
      </c>
    </row>
    <row r="212" spans="1:7" x14ac:dyDescent="0.3">
      <c r="A212" s="1">
        <f>'WL &amp; Q'!A212</f>
        <v>46240.666666666162</v>
      </c>
      <c r="B212" s="4" t="str">
        <f>IF('WL &amp; Q'!R212="","",'WL &amp; Q'!R212)</f>
        <v/>
      </c>
      <c r="C212" s="6" t="str">
        <f t="shared" si="3"/>
        <v/>
      </c>
      <c r="D212" s="4" t="str">
        <f>IF('WL &amp; Q'!T212="","",'WL &amp; Q'!T212)</f>
        <v/>
      </c>
      <c r="E212" s="8">
        <v>1.5</v>
      </c>
      <c r="F212" s="8">
        <v>3</v>
      </c>
      <c r="G212" s="8">
        <v>4.5</v>
      </c>
    </row>
    <row r="213" spans="1:7" x14ac:dyDescent="0.3">
      <c r="A213" s="1">
        <f>'WL &amp; Q'!A213</f>
        <v>46240.708333332826</v>
      </c>
      <c r="B213" s="4" t="str">
        <f>IF('WL &amp; Q'!R213="","",'WL &amp; Q'!R213)</f>
        <v/>
      </c>
      <c r="C213" s="6" t="str">
        <f t="shared" si="3"/>
        <v/>
      </c>
      <c r="D213" s="4" t="str">
        <f>IF('WL &amp; Q'!T213="","",'WL &amp; Q'!T213)</f>
        <v/>
      </c>
      <c r="E213" s="8">
        <v>1.5</v>
      </c>
      <c r="F213" s="8">
        <v>3</v>
      </c>
      <c r="G213" s="8">
        <v>4.5</v>
      </c>
    </row>
    <row r="214" spans="1:7" x14ac:dyDescent="0.3">
      <c r="A214" s="1">
        <f>'WL &amp; Q'!A214</f>
        <v>46240.749999999491</v>
      </c>
      <c r="B214" s="4" t="str">
        <f>IF('WL &amp; Q'!R214="","",'WL &amp; Q'!R214)</f>
        <v/>
      </c>
      <c r="C214" s="6" t="str">
        <f t="shared" si="3"/>
        <v/>
      </c>
      <c r="D214" s="4" t="str">
        <f>IF('WL &amp; Q'!T214="","",'WL &amp; Q'!T214)</f>
        <v/>
      </c>
      <c r="E214" s="8">
        <v>1.5</v>
      </c>
      <c r="F214" s="8">
        <v>3</v>
      </c>
      <c r="G214" s="8">
        <v>4.5</v>
      </c>
    </row>
    <row r="215" spans="1:7" x14ac:dyDescent="0.3">
      <c r="A215" s="1">
        <f>'WL &amp; Q'!A215</f>
        <v>46240.791666666155</v>
      </c>
      <c r="B215" s="4" t="str">
        <f>IF('WL &amp; Q'!R215="","",'WL &amp; Q'!R215)</f>
        <v/>
      </c>
      <c r="C215" s="6" t="str">
        <f t="shared" si="3"/>
        <v/>
      </c>
      <c r="D215" s="4" t="str">
        <f>IF('WL &amp; Q'!T215="","",'WL &amp; Q'!T215)</f>
        <v/>
      </c>
      <c r="E215" s="8">
        <v>1.5</v>
      </c>
      <c r="F215" s="8">
        <v>3</v>
      </c>
      <c r="G215" s="8">
        <v>4.5</v>
      </c>
    </row>
    <row r="216" spans="1:7" x14ac:dyDescent="0.3">
      <c r="A216" s="1">
        <f>'WL &amp; Q'!A216</f>
        <v>46240.833333332819</v>
      </c>
      <c r="B216" s="4" t="str">
        <f>IF('WL &amp; Q'!R216="","",'WL &amp; Q'!R216)</f>
        <v/>
      </c>
      <c r="C216" s="6" t="str">
        <f t="shared" si="3"/>
        <v/>
      </c>
      <c r="D216" s="4" t="str">
        <f>IF('WL &amp; Q'!T216="","",'WL &amp; Q'!T216)</f>
        <v/>
      </c>
      <c r="E216" s="8">
        <v>1.5</v>
      </c>
      <c r="F216" s="8">
        <v>3</v>
      </c>
      <c r="G216" s="8">
        <v>4.5</v>
      </c>
    </row>
    <row r="217" spans="1:7" x14ac:dyDescent="0.3">
      <c r="A217" s="1">
        <f>'WL &amp; Q'!A217</f>
        <v>46240.874999999483</v>
      </c>
      <c r="B217" s="4" t="str">
        <f>IF('WL &amp; Q'!R217="","",'WL &amp; Q'!R217)</f>
        <v/>
      </c>
      <c r="C217" s="6" t="str">
        <f t="shared" si="3"/>
        <v/>
      </c>
      <c r="D217" s="4" t="str">
        <f>IF('WL &amp; Q'!T217="","",'WL &amp; Q'!T217)</f>
        <v/>
      </c>
      <c r="E217" s="8">
        <v>1.5</v>
      </c>
      <c r="F217" s="8">
        <v>3</v>
      </c>
      <c r="G217" s="8">
        <v>4.5</v>
      </c>
    </row>
    <row r="218" spans="1:7" x14ac:dyDescent="0.3">
      <c r="A218" s="1">
        <f>'WL &amp; Q'!A218</f>
        <v>46240.916666666148</v>
      </c>
      <c r="B218" s="4" t="str">
        <f>IF('WL &amp; Q'!R218="","",'WL &amp; Q'!R218)</f>
        <v/>
      </c>
      <c r="C218" s="6" t="str">
        <f t="shared" si="3"/>
        <v/>
      </c>
      <c r="D218" s="4" t="str">
        <f>IF('WL &amp; Q'!T218="","",'WL &amp; Q'!T218)</f>
        <v/>
      </c>
      <c r="E218" s="8">
        <v>1.5</v>
      </c>
      <c r="F218" s="8">
        <v>3</v>
      </c>
      <c r="G218" s="8">
        <v>4.5</v>
      </c>
    </row>
    <row r="219" spans="1:7" x14ac:dyDescent="0.3">
      <c r="A219" s="1">
        <f>'WL &amp; Q'!A219</f>
        <v>46240.958333332812</v>
      </c>
      <c r="B219" s="4" t="str">
        <f>IF('WL &amp; Q'!R219="","",'WL &amp; Q'!R219)</f>
        <v/>
      </c>
      <c r="C219" s="6" t="str">
        <f t="shared" si="3"/>
        <v/>
      </c>
      <c r="D219" s="4" t="str">
        <f>IF('WL &amp; Q'!T219="","",'WL &amp; Q'!T219)</f>
        <v/>
      </c>
      <c r="E219" s="8">
        <v>1.5</v>
      </c>
      <c r="F219" s="8">
        <v>3</v>
      </c>
      <c r="G219" s="8">
        <v>4.5</v>
      </c>
    </row>
    <row r="220" spans="1:7" x14ac:dyDescent="0.3">
      <c r="A220" s="1">
        <f>'WL &amp; Q'!A220</f>
        <v>46240.999999999476</v>
      </c>
      <c r="B220" s="4" t="str">
        <f>IF('WL &amp; Q'!R220="","",'WL &amp; Q'!R220)</f>
        <v/>
      </c>
      <c r="C220" s="6" t="str">
        <f t="shared" si="3"/>
        <v/>
      </c>
      <c r="D220" s="4" t="str">
        <f>IF('WL &amp; Q'!T220="","",'WL &amp; Q'!T220)</f>
        <v/>
      </c>
      <c r="E220" s="8">
        <v>1.5</v>
      </c>
      <c r="F220" s="8">
        <v>3</v>
      </c>
      <c r="G220" s="8">
        <v>4.5</v>
      </c>
    </row>
    <row r="221" spans="1:7" x14ac:dyDescent="0.3">
      <c r="A221" s="1">
        <f>'WL &amp; Q'!A221</f>
        <v>46241.04166666614</v>
      </c>
      <c r="B221" s="4" t="str">
        <f>IF('WL &amp; Q'!R221="","",'WL &amp; Q'!R221)</f>
        <v/>
      </c>
      <c r="C221" s="6" t="str">
        <f t="shared" si="3"/>
        <v/>
      </c>
      <c r="D221" s="4" t="str">
        <f>IF('WL &amp; Q'!T221="","",'WL &amp; Q'!T221)</f>
        <v/>
      </c>
      <c r="E221" s="8">
        <v>1.5</v>
      </c>
      <c r="F221" s="8">
        <v>3</v>
      </c>
      <c r="G221" s="8">
        <v>4.5</v>
      </c>
    </row>
    <row r="222" spans="1:7" x14ac:dyDescent="0.3">
      <c r="A222" s="1">
        <f>'WL &amp; Q'!A222</f>
        <v>46241.083333332805</v>
      </c>
      <c r="B222" s="4" t="str">
        <f>IF('WL &amp; Q'!R222="","",'WL &amp; Q'!R222)</f>
        <v/>
      </c>
      <c r="C222" s="6" t="str">
        <f t="shared" si="3"/>
        <v/>
      </c>
      <c r="D222" s="4" t="str">
        <f>IF('WL &amp; Q'!T222="","",'WL &amp; Q'!T222)</f>
        <v/>
      </c>
      <c r="E222" s="8">
        <v>1.5</v>
      </c>
      <c r="F222" s="8">
        <v>3</v>
      </c>
      <c r="G222" s="8">
        <v>4.5</v>
      </c>
    </row>
    <row r="223" spans="1:7" x14ac:dyDescent="0.3">
      <c r="A223" s="1">
        <f>'WL &amp; Q'!A223</f>
        <v>46241.124999999469</v>
      </c>
      <c r="B223" s="4" t="str">
        <f>IF('WL &amp; Q'!R223="","",'WL &amp; Q'!R223)</f>
        <v/>
      </c>
      <c r="C223" s="6" t="str">
        <f t="shared" si="3"/>
        <v/>
      </c>
      <c r="D223" s="4" t="str">
        <f>IF('WL &amp; Q'!T223="","",'WL &amp; Q'!T223)</f>
        <v/>
      </c>
      <c r="E223" s="8">
        <v>1.5</v>
      </c>
      <c r="F223" s="8">
        <v>3</v>
      </c>
      <c r="G223" s="8">
        <v>4.5</v>
      </c>
    </row>
    <row r="224" spans="1:7" x14ac:dyDescent="0.3">
      <c r="A224" s="1">
        <f>'WL &amp; Q'!A224</f>
        <v>46241.166666666133</v>
      </c>
      <c r="B224" s="4" t="str">
        <f>IF('WL &amp; Q'!R224="","",'WL &amp; Q'!R224)</f>
        <v/>
      </c>
      <c r="C224" s="6" t="str">
        <f t="shared" si="3"/>
        <v/>
      </c>
      <c r="D224" s="4" t="str">
        <f>IF('WL &amp; Q'!T224="","",'WL &amp; Q'!T224)</f>
        <v/>
      </c>
      <c r="E224" s="8">
        <v>1.5</v>
      </c>
      <c r="F224" s="8">
        <v>3</v>
      </c>
      <c r="G224" s="8">
        <v>4.5</v>
      </c>
    </row>
    <row r="225" spans="1:7" x14ac:dyDescent="0.3">
      <c r="A225" s="1">
        <f>'WL &amp; Q'!A225</f>
        <v>46241.208333332797</v>
      </c>
      <c r="B225" s="4" t="str">
        <f>IF('WL &amp; Q'!R225="","",'WL &amp; Q'!R225)</f>
        <v/>
      </c>
      <c r="C225" s="6" t="str">
        <f t="shared" si="3"/>
        <v/>
      </c>
      <c r="D225" s="4" t="str">
        <f>IF('WL &amp; Q'!T225="","",'WL &amp; Q'!T225)</f>
        <v/>
      </c>
      <c r="E225" s="8">
        <v>1.5</v>
      </c>
      <c r="F225" s="8">
        <v>3</v>
      </c>
      <c r="G225" s="8">
        <v>4.5</v>
      </c>
    </row>
    <row r="226" spans="1:7" x14ac:dyDescent="0.3">
      <c r="A226" s="1">
        <f>'WL &amp; Q'!A226</f>
        <v>46241.249999999462</v>
      </c>
      <c r="B226" s="4" t="str">
        <f>IF('WL &amp; Q'!R226="","",'WL &amp; Q'!R226)</f>
        <v/>
      </c>
      <c r="C226" s="6" t="str">
        <f t="shared" si="3"/>
        <v/>
      </c>
      <c r="D226" s="4" t="str">
        <f>IF('WL &amp; Q'!T226="","",'WL &amp; Q'!T226)</f>
        <v/>
      </c>
      <c r="E226" s="8">
        <v>1.5</v>
      </c>
      <c r="F226" s="8">
        <v>3</v>
      </c>
      <c r="G226" s="8">
        <v>4.5</v>
      </c>
    </row>
    <row r="227" spans="1:7" x14ac:dyDescent="0.3">
      <c r="A227" s="1">
        <f>'WL &amp; Q'!A227</f>
        <v>46241.291666666126</v>
      </c>
      <c r="B227" s="4" t="str">
        <f>IF('WL &amp; Q'!R227="","",'WL &amp; Q'!R227)</f>
        <v/>
      </c>
      <c r="C227" s="6" t="str">
        <f t="shared" si="3"/>
        <v/>
      </c>
      <c r="D227" s="4" t="str">
        <f>IF('WL &amp; Q'!T227="","",'WL &amp; Q'!T227)</f>
        <v/>
      </c>
      <c r="E227" s="8">
        <v>1.5</v>
      </c>
      <c r="F227" s="8">
        <v>3</v>
      </c>
      <c r="G227" s="8">
        <v>4.5</v>
      </c>
    </row>
    <row r="228" spans="1:7" x14ac:dyDescent="0.3">
      <c r="A228" s="1">
        <f>'WL &amp; Q'!A228</f>
        <v>46241.33333333279</v>
      </c>
      <c r="B228" s="4" t="str">
        <f>IF('WL &amp; Q'!R228="","",'WL &amp; Q'!R228)</f>
        <v/>
      </c>
      <c r="C228" s="6" t="str">
        <f t="shared" si="3"/>
        <v/>
      </c>
      <c r="D228" s="4" t="str">
        <f>IF('WL &amp; Q'!T228="","",'WL &amp; Q'!T228)</f>
        <v/>
      </c>
      <c r="E228" s="8">
        <v>1.5</v>
      </c>
      <c r="F228" s="8">
        <v>3</v>
      </c>
      <c r="G228" s="8">
        <v>4.5</v>
      </c>
    </row>
    <row r="229" spans="1:7" x14ac:dyDescent="0.3">
      <c r="A229" s="1">
        <f>'WL &amp; Q'!A229</f>
        <v>46241.374999999454</v>
      </c>
      <c r="B229" s="4" t="str">
        <f>IF('WL &amp; Q'!R229="","",'WL &amp; Q'!R229)</f>
        <v/>
      </c>
      <c r="C229" s="6" t="str">
        <f t="shared" si="3"/>
        <v/>
      </c>
      <c r="D229" s="4" t="str">
        <f>IF('WL &amp; Q'!T229="","",'WL &amp; Q'!T229)</f>
        <v/>
      </c>
      <c r="E229" s="8">
        <v>1.5</v>
      </c>
      <c r="F229" s="8">
        <v>3</v>
      </c>
      <c r="G229" s="8">
        <v>4.5</v>
      </c>
    </row>
    <row r="230" spans="1:7" x14ac:dyDescent="0.3">
      <c r="A230" s="1">
        <f>'WL &amp; Q'!A230</f>
        <v>46241.416666666119</v>
      </c>
      <c r="B230" s="4" t="str">
        <f>IF('WL &amp; Q'!R230="","",'WL &amp; Q'!R230)</f>
        <v/>
      </c>
      <c r="C230" s="6" t="str">
        <f t="shared" si="3"/>
        <v/>
      </c>
      <c r="D230" s="4" t="str">
        <f>IF('WL &amp; Q'!T230="","",'WL &amp; Q'!T230)</f>
        <v/>
      </c>
      <c r="E230" s="8">
        <v>1.5</v>
      </c>
      <c r="F230" s="8">
        <v>3</v>
      </c>
      <c r="G230" s="8">
        <v>4.5</v>
      </c>
    </row>
    <row r="231" spans="1:7" x14ac:dyDescent="0.3">
      <c r="A231" s="1">
        <f>'WL &amp; Q'!A231</f>
        <v>46241.458333332783</v>
      </c>
      <c r="B231" s="4" t="str">
        <f>IF('WL &amp; Q'!R231="","",'WL &amp; Q'!R231)</f>
        <v/>
      </c>
      <c r="C231" s="6" t="str">
        <f t="shared" si="3"/>
        <v/>
      </c>
      <c r="D231" s="4" t="str">
        <f>IF('WL &amp; Q'!T231="","",'WL &amp; Q'!T231)</f>
        <v/>
      </c>
      <c r="E231" s="8">
        <v>1.5</v>
      </c>
      <c r="F231" s="8">
        <v>3</v>
      </c>
      <c r="G231" s="8">
        <v>4.5</v>
      </c>
    </row>
    <row r="232" spans="1:7" x14ac:dyDescent="0.3">
      <c r="A232" s="1">
        <f>'WL &amp; Q'!A232</f>
        <v>46241.499999999447</v>
      </c>
      <c r="B232" s="4" t="str">
        <f>IF('WL &amp; Q'!R232="","",'WL &amp; Q'!R232)</f>
        <v/>
      </c>
      <c r="C232" s="6" t="str">
        <f t="shared" si="3"/>
        <v/>
      </c>
      <c r="D232" s="4" t="str">
        <f>IF('WL &amp; Q'!T232="","",'WL &amp; Q'!T232)</f>
        <v/>
      </c>
      <c r="E232" s="8">
        <v>1.5</v>
      </c>
      <c r="F232" s="8">
        <v>3</v>
      </c>
      <c r="G232" s="8">
        <v>4.5</v>
      </c>
    </row>
    <row r="233" spans="1:7" x14ac:dyDescent="0.3">
      <c r="A233" s="1">
        <f>'WL &amp; Q'!A233</f>
        <v>46241.541666666111</v>
      </c>
      <c r="B233" s="4" t="str">
        <f>IF('WL &amp; Q'!R233="","",'WL &amp; Q'!R233)</f>
        <v/>
      </c>
      <c r="C233" s="6" t="str">
        <f t="shared" si="3"/>
        <v/>
      </c>
      <c r="D233" s="4" t="str">
        <f>IF('WL &amp; Q'!T233="","",'WL &amp; Q'!T233)</f>
        <v/>
      </c>
      <c r="E233" s="8">
        <v>1.5</v>
      </c>
      <c r="F233" s="8">
        <v>3</v>
      </c>
      <c r="G233" s="8">
        <v>4.5</v>
      </c>
    </row>
    <row r="234" spans="1:7" x14ac:dyDescent="0.3">
      <c r="A234" s="1">
        <f>'WL &amp; Q'!A234</f>
        <v>46241.583333332776</v>
      </c>
      <c r="B234" s="4" t="str">
        <f>IF('WL &amp; Q'!R234="","",'WL &amp; Q'!R234)</f>
        <v/>
      </c>
      <c r="C234" s="6" t="str">
        <f t="shared" si="3"/>
        <v/>
      </c>
      <c r="D234" s="4" t="str">
        <f>IF('WL &amp; Q'!T234="","",'WL &amp; Q'!T234)</f>
        <v/>
      </c>
      <c r="E234" s="8">
        <v>1.5</v>
      </c>
      <c r="F234" s="8">
        <v>3</v>
      </c>
      <c r="G234" s="8">
        <v>4.5</v>
      </c>
    </row>
    <row r="235" spans="1:7" x14ac:dyDescent="0.3">
      <c r="A235" s="1">
        <f>'WL &amp; Q'!A235</f>
        <v>46241.62499999944</v>
      </c>
      <c r="B235" s="4" t="str">
        <f>IF('WL &amp; Q'!R235="","",'WL &amp; Q'!R235)</f>
        <v/>
      </c>
      <c r="C235" s="6" t="str">
        <f t="shared" si="3"/>
        <v/>
      </c>
      <c r="D235" s="4" t="str">
        <f>IF('WL &amp; Q'!T235="","",'WL &amp; Q'!T235)</f>
        <v/>
      </c>
      <c r="E235" s="8">
        <v>1.5</v>
      </c>
      <c r="F235" s="8">
        <v>3</v>
      </c>
      <c r="G235" s="8">
        <v>4.5</v>
      </c>
    </row>
    <row r="236" spans="1:7" x14ac:dyDescent="0.3">
      <c r="A236" s="1">
        <f>'WL &amp; Q'!A236</f>
        <v>46241.666666666104</v>
      </c>
      <c r="B236" s="4" t="str">
        <f>IF('WL &amp; Q'!R236="","",'WL &amp; Q'!R236)</f>
        <v/>
      </c>
      <c r="C236" s="6" t="str">
        <f t="shared" si="3"/>
        <v/>
      </c>
      <c r="D236" s="4" t="str">
        <f>IF('WL &amp; Q'!T236="","",'WL &amp; Q'!T236)</f>
        <v/>
      </c>
      <c r="E236" s="8">
        <v>1.5</v>
      </c>
      <c r="F236" s="8">
        <v>3</v>
      </c>
      <c r="G236" s="8">
        <v>4.5</v>
      </c>
    </row>
    <row r="237" spans="1:7" x14ac:dyDescent="0.3">
      <c r="A237" s="1">
        <f>'WL &amp; Q'!A237</f>
        <v>46241.708333332768</v>
      </c>
      <c r="B237" s="4" t="str">
        <f>IF('WL &amp; Q'!R237="","",'WL &amp; Q'!R237)</f>
        <v/>
      </c>
      <c r="C237" s="6" t="str">
        <f t="shared" si="3"/>
        <v/>
      </c>
      <c r="D237" s="4" t="str">
        <f>IF('WL &amp; Q'!T237="","",'WL &amp; Q'!T237)</f>
        <v/>
      </c>
      <c r="E237" s="8">
        <v>1.5</v>
      </c>
      <c r="F237" s="8">
        <v>3</v>
      </c>
      <c r="G237" s="8">
        <v>4.5</v>
      </c>
    </row>
    <row r="238" spans="1:7" x14ac:dyDescent="0.3">
      <c r="A238" s="1">
        <f>'WL &amp; Q'!A238</f>
        <v>46241.749999999432</v>
      </c>
      <c r="B238" s="4" t="str">
        <f>IF('WL &amp; Q'!R238="","",'WL &amp; Q'!R238)</f>
        <v/>
      </c>
      <c r="C238" s="6" t="str">
        <f t="shared" si="3"/>
        <v/>
      </c>
      <c r="D238" s="4" t="str">
        <f>IF('WL &amp; Q'!T238="","",'WL &amp; Q'!T238)</f>
        <v/>
      </c>
      <c r="E238" s="8">
        <v>1.5</v>
      </c>
      <c r="F238" s="8">
        <v>3</v>
      </c>
      <c r="G238" s="8">
        <v>4.5</v>
      </c>
    </row>
    <row r="239" spans="1:7" x14ac:dyDescent="0.3">
      <c r="A239" s="1">
        <f>'WL &amp; Q'!A239</f>
        <v>46241.791666666097</v>
      </c>
      <c r="B239" s="4" t="str">
        <f>IF('WL &amp; Q'!R239="","",'WL &amp; Q'!R239)</f>
        <v/>
      </c>
      <c r="C239" s="6" t="str">
        <f t="shared" si="3"/>
        <v/>
      </c>
      <c r="D239" s="4" t="str">
        <f>IF('WL &amp; Q'!T239="","",'WL &amp; Q'!T239)</f>
        <v/>
      </c>
      <c r="E239" s="8">
        <v>1.5</v>
      </c>
      <c r="F239" s="8">
        <v>3</v>
      </c>
      <c r="G239" s="8">
        <v>4.5</v>
      </c>
    </row>
    <row r="240" spans="1:7" x14ac:dyDescent="0.3">
      <c r="A240" s="1">
        <f>'WL &amp; Q'!A240</f>
        <v>46241.833333332761</v>
      </c>
      <c r="B240" s="4" t="str">
        <f>IF('WL &amp; Q'!R240="","",'WL &amp; Q'!R240)</f>
        <v/>
      </c>
      <c r="C240" s="6" t="str">
        <f t="shared" si="3"/>
        <v/>
      </c>
      <c r="D240" s="4" t="str">
        <f>IF('WL &amp; Q'!T240="","",'WL &amp; Q'!T240)</f>
        <v/>
      </c>
      <c r="E240" s="8">
        <v>1.5</v>
      </c>
      <c r="F240" s="8">
        <v>3</v>
      </c>
      <c r="G240" s="8">
        <v>4.5</v>
      </c>
    </row>
    <row r="241" spans="1:7" x14ac:dyDescent="0.3">
      <c r="A241" s="1">
        <f>'WL &amp; Q'!A241</f>
        <v>46241.874999999425</v>
      </c>
      <c r="B241" s="4" t="str">
        <f>IF('WL &amp; Q'!R241="","",'WL &amp; Q'!R241)</f>
        <v/>
      </c>
      <c r="C241" s="6" t="str">
        <f t="shared" si="3"/>
        <v/>
      </c>
      <c r="D241" s="4" t="str">
        <f>IF('WL &amp; Q'!T241="","",'WL &amp; Q'!T241)</f>
        <v/>
      </c>
      <c r="E241" s="8">
        <v>1.5</v>
      </c>
      <c r="F241" s="8">
        <v>3</v>
      </c>
      <c r="G241" s="8">
        <v>4.5</v>
      </c>
    </row>
    <row r="242" spans="1:7" x14ac:dyDescent="0.3">
      <c r="A242" s="1">
        <f>'WL &amp; Q'!A242</f>
        <v>46241.916666666089</v>
      </c>
      <c r="B242" s="4" t="str">
        <f>IF('WL &amp; Q'!R242="","",'WL &amp; Q'!R242)</f>
        <v/>
      </c>
      <c r="C242" s="6" t="str">
        <f t="shared" si="3"/>
        <v/>
      </c>
      <c r="D242" s="4" t="str">
        <f>IF('WL &amp; Q'!T242="","",'WL &amp; Q'!T242)</f>
        <v/>
      </c>
      <c r="E242" s="8">
        <v>1.5</v>
      </c>
      <c r="F242" s="8">
        <v>3</v>
      </c>
      <c r="G242" s="8">
        <v>4.5</v>
      </c>
    </row>
    <row r="243" spans="1:7" x14ac:dyDescent="0.3">
      <c r="A243" s="1">
        <f>'WL &amp; Q'!A243</f>
        <v>46241.958333332754</v>
      </c>
      <c r="B243" s="4" t="str">
        <f>IF('WL &amp; Q'!R243="","",'WL &amp; Q'!R243)</f>
        <v/>
      </c>
      <c r="C243" s="6" t="str">
        <f t="shared" si="3"/>
        <v/>
      </c>
      <c r="D243" s="4" t="str">
        <f>IF('WL &amp; Q'!T243="","",'WL &amp; Q'!T243)</f>
        <v/>
      </c>
      <c r="E243" s="8">
        <v>1.5</v>
      </c>
      <c r="F243" s="8">
        <v>3</v>
      </c>
      <c r="G243" s="8">
        <v>4.5</v>
      </c>
    </row>
    <row r="244" spans="1:7" x14ac:dyDescent="0.3">
      <c r="A244" s="1">
        <f>'WL &amp; Q'!A244</f>
        <v>46241.999999999418</v>
      </c>
      <c r="B244" s="4" t="str">
        <f>IF('WL &amp; Q'!R244="","",'WL &amp; Q'!R244)</f>
        <v/>
      </c>
      <c r="C244" s="6" t="str">
        <f t="shared" si="3"/>
        <v/>
      </c>
      <c r="D244" s="4" t="str">
        <f>IF('WL &amp; Q'!T244="","",'WL &amp; Q'!T244)</f>
        <v/>
      </c>
      <c r="E244" s="8">
        <v>1.5</v>
      </c>
      <c r="F244" s="8">
        <v>3</v>
      </c>
      <c r="G244" s="8">
        <v>4.5</v>
      </c>
    </row>
    <row r="245" spans="1:7" x14ac:dyDescent="0.3">
      <c r="A245" s="1">
        <f>'WL &amp; Q'!A245</f>
        <v>46242.041666666082</v>
      </c>
      <c r="B245" s="4" t="str">
        <f>IF('WL &amp; Q'!R245="","",'WL &amp; Q'!R245)</f>
        <v/>
      </c>
      <c r="C245" s="6" t="str">
        <f t="shared" si="3"/>
        <v/>
      </c>
      <c r="D245" s="4" t="str">
        <f>IF('WL &amp; Q'!T245="","",'WL &amp; Q'!T245)</f>
        <v/>
      </c>
      <c r="E245" s="8">
        <v>1.5</v>
      </c>
      <c r="F245" s="8">
        <v>3</v>
      </c>
      <c r="G245" s="8">
        <v>4.5</v>
      </c>
    </row>
    <row r="246" spans="1:7" x14ac:dyDescent="0.3">
      <c r="A246" s="1">
        <f>'WL &amp; Q'!A246</f>
        <v>46242.083333332746</v>
      </c>
      <c r="B246" s="4" t="str">
        <f>IF('WL &amp; Q'!R246="","",'WL &amp; Q'!R246)</f>
        <v/>
      </c>
      <c r="C246" s="6" t="str">
        <f t="shared" si="3"/>
        <v/>
      </c>
      <c r="D246" s="4" t="str">
        <f>IF('WL &amp; Q'!T246="","",'WL &amp; Q'!T246)</f>
        <v/>
      </c>
      <c r="E246" s="8">
        <v>1.5</v>
      </c>
      <c r="F246" s="8">
        <v>3</v>
      </c>
      <c r="G246" s="8">
        <v>4.5</v>
      </c>
    </row>
    <row r="247" spans="1:7" x14ac:dyDescent="0.3">
      <c r="A247" s="1">
        <f>'WL &amp; Q'!A247</f>
        <v>46242.124999999411</v>
      </c>
      <c r="B247" s="4" t="str">
        <f>IF('WL &amp; Q'!R247="","",'WL &amp; Q'!R247)</f>
        <v/>
      </c>
      <c r="C247" s="6" t="str">
        <f t="shared" si="3"/>
        <v/>
      </c>
      <c r="D247" s="4" t="str">
        <f>IF('WL &amp; Q'!T247="","",'WL &amp; Q'!T247)</f>
        <v/>
      </c>
      <c r="E247" s="8">
        <v>1.5</v>
      </c>
      <c r="F247" s="8">
        <v>3</v>
      </c>
      <c r="G247" s="8">
        <v>4.5</v>
      </c>
    </row>
    <row r="248" spans="1:7" x14ac:dyDescent="0.3">
      <c r="A248" s="1">
        <f>'WL &amp; Q'!A248</f>
        <v>46242.166666666075</v>
      </c>
      <c r="B248" s="4" t="str">
        <f>IF('WL &amp; Q'!R248="","",'WL &amp; Q'!R248)</f>
        <v/>
      </c>
      <c r="C248" s="6" t="str">
        <f t="shared" si="3"/>
        <v/>
      </c>
      <c r="D248" s="4" t="str">
        <f>IF('WL &amp; Q'!T248="","",'WL &amp; Q'!T248)</f>
        <v/>
      </c>
      <c r="E248" s="8">
        <v>1.5</v>
      </c>
      <c r="F248" s="8">
        <v>3</v>
      </c>
      <c r="G248" s="8">
        <v>4.5</v>
      </c>
    </row>
    <row r="249" spans="1:7" x14ac:dyDescent="0.3">
      <c r="A249" s="1">
        <f>'WL &amp; Q'!A249</f>
        <v>46242.208333332739</v>
      </c>
      <c r="B249" s="4" t="str">
        <f>IF('WL &amp; Q'!R249="","",'WL &amp; Q'!R249)</f>
        <v/>
      </c>
      <c r="C249" s="6" t="str">
        <f t="shared" si="3"/>
        <v/>
      </c>
      <c r="D249" s="4" t="str">
        <f>IF('WL &amp; Q'!T249="","",'WL &amp; Q'!T249)</f>
        <v/>
      </c>
      <c r="E249" s="8">
        <v>1.5</v>
      </c>
      <c r="F249" s="8">
        <v>3</v>
      </c>
      <c r="G249" s="8">
        <v>4.5</v>
      </c>
    </row>
    <row r="250" spans="1:7" x14ac:dyDescent="0.3">
      <c r="A250" s="1">
        <f>'WL &amp; Q'!A250</f>
        <v>46242.249999999403</v>
      </c>
      <c r="B250" s="4" t="str">
        <f>IF('WL &amp; Q'!R250="","",'WL &amp; Q'!R250)</f>
        <v/>
      </c>
      <c r="C250" s="6" t="str">
        <f t="shared" si="3"/>
        <v/>
      </c>
      <c r="D250" s="4" t="str">
        <f>IF('WL &amp; Q'!T250="","",'WL &amp; Q'!T250)</f>
        <v/>
      </c>
      <c r="E250" s="8">
        <v>1.5</v>
      </c>
      <c r="F250" s="8">
        <v>3</v>
      </c>
      <c r="G250" s="8">
        <v>4.5</v>
      </c>
    </row>
    <row r="251" spans="1:7" x14ac:dyDescent="0.3">
      <c r="A251" s="1">
        <f>'WL &amp; Q'!A251</f>
        <v>46242.291666666068</v>
      </c>
      <c r="B251" s="4" t="str">
        <f>IF('WL &amp; Q'!R251="","",'WL &amp; Q'!R251)</f>
        <v/>
      </c>
      <c r="C251" s="6" t="str">
        <f t="shared" si="3"/>
        <v/>
      </c>
      <c r="D251" s="4" t="str">
        <f>IF('WL &amp; Q'!T251="","",'WL &amp; Q'!T251)</f>
        <v/>
      </c>
      <c r="E251" s="8">
        <v>1.5</v>
      </c>
      <c r="F251" s="8">
        <v>3</v>
      </c>
      <c r="G251" s="8">
        <v>4.5</v>
      </c>
    </row>
    <row r="252" spans="1:7" x14ac:dyDescent="0.3">
      <c r="A252" s="1">
        <f>'WL &amp; Q'!A252</f>
        <v>46242.333333332732</v>
      </c>
      <c r="B252" s="4" t="str">
        <f>IF('WL &amp; Q'!R252="","",'WL &amp; Q'!R252)</f>
        <v/>
      </c>
      <c r="C252" s="6" t="str">
        <f t="shared" si="3"/>
        <v/>
      </c>
      <c r="D252" s="4" t="str">
        <f>IF('WL &amp; Q'!T252="","",'WL &amp; Q'!T252)</f>
        <v/>
      </c>
      <c r="E252" s="8">
        <v>1.5</v>
      </c>
      <c r="F252" s="8">
        <v>3</v>
      </c>
      <c r="G252" s="8">
        <v>4.5</v>
      </c>
    </row>
    <row r="253" spans="1:7" x14ac:dyDescent="0.3">
      <c r="A253" s="1">
        <f>'WL &amp; Q'!A253</f>
        <v>46242.374999999396</v>
      </c>
      <c r="B253" s="4" t="str">
        <f>IF('WL &amp; Q'!R253="","",'WL &amp; Q'!R253)</f>
        <v/>
      </c>
      <c r="C253" s="6" t="str">
        <f t="shared" si="3"/>
        <v/>
      </c>
      <c r="D253" s="4" t="str">
        <f>IF('WL &amp; Q'!T253="","",'WL &amp; Q'!T253)</f>
        <v/>
      </c>
      <c r="E253" s="8">
        <v>1.5</v>
      </c>
      <c r="F253" s="8">
        <v>3</v>
      </c>
      <c r="G253" s="8">
        <v>4.5</v>
      </c>
    </row>
    <row r="254" spans="1:7" x14ac:dyDescent="0.3">
      <c r="A254" s="1">
        <f>'WL &amp; Q'!A254</f>
        <v>46242.41666666606</v>
      </c>
      <c r="B254" s="4" t="str">
        <f>IF('WL &amp; Q'!R254="","",'WL &amp; Q'!R254)</f>
        <v/>
      </c>
      <c r="C254" s="6" t="str">
        <f t="shared" si="3"/>
        <v/>
      </c>
      <c r="D254" s="4" t="str">
        <f>IF('WL &amp; Q'!T254="","",'WL &amp; Q'!T254)</f>
        <v/>
      </c>
      <c r="E254" s="8">
        <v>1.5</v>
      </c>
      <c r="F254" s="8">
        <v>3</v>
      </c>
      <c r="G254" s="8">
        <v>4.5</v>
      </c>
    </row>
    <row r="255" spans="1:7" x14ac:dyDescent="0.3">
      <c r="A255" s="1">
        <f>'WL &amp; Q'!A255</f>
        <v>46242.458333332725</v>
      </c>
      <c r="B255" s="4" t="str">
        <f>IF('WL &amp; Q'!R255="","",'WL &amp; Q'!R255)</f>
        <v/>
      </c>
      <c r="C255" s="6" t="str">
        <f t="shared" si="3"/>
        <v/>
      </c>
      <c r="D255" s="4" t="str">
        <f>IF('WL &amp; Q'!T255="","",'WL &amp; Q'!T255)</f>
        <v/>
      </c>
      <c r="E255" s="8">
        <v>1.5</v>
      </c>
      <c r="F255" s="8">
        <v>3</v>
      </c>
      <c r="G255" s="8">
        <v>4.5</v>
      </c>
    </row>
    <row r="256" spans="1:7" x14ac:dyDescent="0.3">
      <c r="A256" s="1">
        <f>'WL &amp; Q'!A256</f>
        <v>46242.499999999389</v>
      </c>
      <c r="B256" s="4" t="str">
        <f>IF('WL &amp; Q'!R256="","",'WL &amp; Q'!R256)</f>
        <v/>
      </c>
      <c r="C256" s="6" t="str">
        <f t="shared" si="3"/>
        <v/>
      </c>
      <c r="D256" s="4" t="str">
        <f>IF('WL &amp; Q'!T256="","",'WL &amp; Q'!T256)</f>
        <v/>
      </c>
      <c r="E256" s="8">
        <v>1.5</v>
      </c>
      <c r="F256" s="8">
        <v>3</v>
      </c>
      <c r="G256" s="8">
        <v>4.5</v>
      </c>
    </row>
    <row r="257" spans="1:7" x14ac:dyDescent="0.3">
      <c r="A257" s="1">
        <f>'WL &amp; Q'!A257</f>
        <v>46242.541666666053</v>
      </c>
      <c r="B257" s="4" t="str">
        <f>IF('WL &amp; Q'!R257="","",'WL &amp; Q'!R257)</f>
        <v/>
      </c>
      <c r="C257" s="6" t="str">
        <f t="shared" si="3"/>
        <v/>
      </c>
      <c r="D257" s="4" t="str">
        <f>IF('WL &amp; Q'!T257="","",'WL &amp; Q'!T257)</f>
        <v/>
      </c>
      <c r="E257" s="8">
        <v>1.5</v>
      </c>
      <c r="F257" s="8">
        <v>3</v>
      </c>
      <c r="G257" s="8">
        <v>4.5</v>
      </c>
    </row>
    <row r="258" spans="1:7" x14ac:dyDescent="0.3">
      <c r="A258" s="1">
        <f>'WL &amp; Q'!A258</f>
        <v>46242.583333332717</v>
      </c>
      <c r="B258" s="4" t="str">
        <f>IF('WL &amp; Q'!R258="","",'WL &amp; Q'!R258)</f>
        <v/>
      </c>
      <c r="C258" s="6" t="str">
        <f t="shared" si="3"/>
        <v/>
      </c>
      <c r="D258" s="4" t="str">
        <f>IF('WL &amp; Q'!T258="","",'WL &amp; Q'!T258)</f>
        <v/>
      </c>
      <c r="E258" s="8">
        <v>1.5</v>
      </c>
      <c r="F258" s="8">
        <v>3</v>
      </c>
      <c r="G258" s="8">
        <v>4.5</v>
      </c>
    </row>
    <row r="259" spans="1:7" x14ac:dyDescent="0.3">
      <c r="A259" s="1">
        <f>'WL &amp; Q'!A259</f>
        <v>46242.624999999382</v>
      </c>
      <c r="B259" s="4" t="str">
        <f>IF('WL &amp; Q'!R259="","",'WL &amp; Q'!R259)</f>
        <v/>
      </c>
      <c r="C259" s="6" t="str">
        <f t="shared" si="3"/>
        <v/>
      </c>
      <c r="D259" s="4" t="str">
        <f>IF('WL &amp; Q'!T259="","",'WL &amp; Q'!T259)</f>
        <v/>
      </c>
      <c r="E259" s="8">
        <v>1.5</v>
      </c>
      <c r="F259" s="8">
        <v>3</v>
      </c>
      <c r="G259" s="8">
        <v>4.5</v>
      </c>
    </row>
    <row r="260" spans="1:7" x14ac:dyDescent="0.3">
      <c r="A260" s="1">
        <f>'WL &amp; Q'!A260</f>
        <v>46242.666666666046</v>
      </c>
      <c r="B260" s="4" t="str">
        <f>IF('WL &amp; Q'!R260="","",'WL &amp; Q'!R260)</f>
        <v/>
      </c>
      <c r="C260" s="6" t="str">
        <f t="shared" si="3"/>
        <v/>
      </c>
      <c r="D260" s="4" t="str">
        <f>IF('WL &amp; Q'!T260="","",'WL &amp; Q'!T260)</f>
        <v/>
      </c>
      <c r="E260" s="8">
        <v>1.5</v>
      </c>
      <c r="F260" s="8">
        <v>3</v>
      </c>
      <c r="G260" s="8">
        <v>4.5</v>
      </c>
    </row>
    <row r="261" spans="1:7" x14ac:dyDescent="0.3">
      <c r="A261" s="1">
        <f>'WL &amp; Q'!A261</f>
        <v>46242.70833333271</v>
      </c>
      <c r="B261" s="4" t="str">
        <f>IF('WL &amp; Q'!R261="","",'WL &amp; Q'!R261)</f>
        <v/>
      </c>
      <c r="C261" s="6" t="str">
        <f t="shared" si="3"/>
        <v/>
      </c>
      <c r="D261" s="4" t="str">
        <f>IF('WL &amp; Q'!T261="","",'WL &amp; Q'!T261)</f>
        <v/>
      </c>
      <c r="E261" s="8">
        <v>1.5</v>
      </c>
      <c r="F261" s="8">
        <v>3</v>
      </c>
      <c r="G261" s="8">
        <v>4.5</v>
      </c>
    </row>
    <row r="262" spans="1:7" x14ac:dyDescent="0.3">
      <c r="A262" s="1">
        <f>'WL &amp; Q'!A262</f>
        <v>46242.749999999374</v>
      </c>
      <c r="B262" s="4" t="str">
        <f>IF('WL &amp; Q'!R262="","",'WL &amp; Q'!R262)</f>
        <v/>
      </c>
      <c r="C262" s="6" t="str">
        <f t="shared" ref="C262:C268" si="4">IF(B262="","",IF(B262&gt;2.5,19.135*(B262+0.5)^2-29.477*(B262+0.5)+32.54,3.0494*((B262+0.5)^2.8875)))</f>
        <v/>
      </c>
      <c r="D262" s="4" t="str">
        <f>IF('WL &amp; Q'!T262="","",'WL &amp; Q'!T262)</f>
        <v/>
      </c>
      <c r="E262" s="8">
        <v>1.5</v>
      </c>
      <c r="F262" s="8">
        <v>3</v>
      </c>
      <c r="G262" s="8">
        <v>4.5</v>
      </c>
    </row>
    <row r="263" spans="1:7" x14ac:dyDescent="0.3">
      <c r="A263" s="1">
        <f>'WL &amp; Q'!A263</f>
        <v>46242.791666666039</v>
      </c>
      <c r="B263" s="4" t="str">
        <f>IF('WL &amp; Q'!R263="","",'WL &amp; Q'!R263)</f>
        <v/>
      </c>
      <c r="C263" s="6" t="str">
        <f t="shared" si="4"/>
        <v/>
      </c>
      <c r="D263" s="4" t="str">
        <f>IF('WL &amp; Q'!T263="","",'WL &amp; Q'!T263)</f>
        <v/>
      </c>
      <c r="E263" s="8">
        <v>1.5</v>
      </c>
      <c r="F263" s="8">
        <v>3</v>
      </c>
      <c r="G263" s="8">
        <v>4.5</v>
      </c>
    </row>
    <row r="264" spans="1:7" x14ac:dyDescent="0.3">
      <c r="A264" s="1">
        <f>'WL &amp; Q'!A264</f>
        <v>46242.833333332703</v>
      </c>
      <c r="B264" s="4" t="str">
        <f>IF('WL &amp; Q'!R264="","",'WL &amp; Q'!R264)</f>
        <v/>
      </c>
      <c r="C264" s="6" t="str">
        <f t="shared" si="4"/>
        <v/>
      </c>
      <c r="D264" s="4" t="str">
        <f>IF('WL &amp; Q'!T264="","",'WL &amp; Q'!T264)</f>
        <v/>
      </c>
      <c r="E264" s="8">
        <v>1.5</v>
      </c>
      <c r="F264" s="8">
        <v>3</v>
      </c>
      <c r="G264" s="8">
        <v>4.5</v>
      </c>
    </row>
    <row r="265" spans="1:7" x14ac:dyDescent="0.3">
      <c r="A265" s="1">
        <f>'WL &amp; Q'!A265</f>
        <v>46242.874999999367</v>
      </c>
      <c r="B265" s="4" t="str">
        <f>IF('WL &amp; Q'!R265="","",'WL &amp; Q'!R265)</f>
        <v/>
      </c>
      <c r="C265" s="6" t="str">
        <f t="shared" si="4"/>
        <v/>
      </c>
      <c r="D265" s="4" t="str">
        <f>IF('WL &amp; Q'!T265="","",'WL &amp; Q'!T265)</f>
        <v/>
      </c>
      <c r="E265" s="8">
        <v>1.5</v>
      </c>
      <c r="F265" s="8">
        <v>3</v>
      </c>
      <c r="G265" s="8">
        <v>4.5</v>
      </c>
    </row>
    <row r="266" spans="1:7" x14ac:dyDescent="0.3">
      <c r="A266" s="1">
        <f>'WL &amp; Q'!A266</f>
        <v>46242.916666666031</v>
      </c>
      <c r="B266" s="4" t="str">
        <f>IF('WL &amp; Q'!R266="","",'WL &amp; Q'!R266)</f>
        <v/>
      </c>
      <c r="C266" s="6" t="str">
        <f t="shared" si="4"/>
        <v/>
      </c>
      <c r="D266" s="4" t="str">
        <f>IF('WL &amp; Q'!T266="","",'WL &amp; Q'!T266)</f>
        <v/>
      </c>
      <c r="E266" s="8">
        <v>1.5</v>
      </c>
      <c r="F266" s="8">
        <v>3</v>
      </c>
      <c r="G266" s="8">
        <v>4.5</v>
      </c>
    </row>
    <row r="267" spans="1:7" x14ac:dyDescent="0.3">
      <c r="A267" s="1">
        <f>'WL &amp; Q'!A267</f>
        <v>46242.958333332695</v>
      </c>
      <c r="B267" s="4" t="str">
        <f>IF('WL &amp; Q'!R267="","",'WL &amp; Q'!R267)</f>
        <v/>
      </c>
      <c r="C267" s="6" t="str">
        <f t="shared" si="4"/>
        <v/>
      </c>
      <c r="D267" s="4" t="str">
        <f>IF('WL &amp; Q'!T267="","",'WL &amp; Q'!T267)</f>
        <v/>
      </c>
      <c r="E267" s="8">
        <v>1.5</v>
      </c>
      <c r="F267" s="8">
        <v>3</v>
      </c>
      <c r="G267" s="8">
        <v>4.5</v>
      </c>
    </row>
    <row r="268" spans="1:7" x14ac:dyDescent="0.3">
      <c r="A268" s="1">
        <f>'WL &amp; Q'!A268</f>
        <v>46242.99999999936</v>
      </c>
      <c r="B268" s="4" t="str">
        <f>IF('WL &amp; Q'!R268="","",'WL &amp; Q'!R268)</f>
        <v/>
      </c>
      <c r="C268" s="6" t="str">
        <f t="shared" si="4"/>
        <v/>
      </c>
      <c r="D268" s="4" t="str">
        <f>IF('WL &amp; Q'!T268="","",'WL &amp; Q'!T268)</f>
        <v/>
      </c>
      <c r="E268" s="8">
        <v>1.5</v>
      </c>
      <c r="F268" s="8">
        <v>3</v>
      </c>
      <c r="G268" s="8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WL &amp; Q</vt:lpstr>
      <vt:lpstr>Daily RF</vt:lpstr>
      <vt:lpstr>Hanwella</vt:lpstr>
      <vt:lpstr>Glencourse</vt:lpstr>
      <vt:lpstr>Kithulgala</vt:lpstr>
      <vt:lpstr>Holombuwa</vt:lpstr>
      <vt:lpstr>Deraniyagala</vt:lpstr>
      <vt:lpstr>Norwood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2025-12-03T06:32:47Z</dcterms:created>
  <dcterms:modified xsi:type="dcterms:W3CDTF">2026-09-24T08:23:22Z</dcterms:modified>
</cp:coreProperties>
</file>